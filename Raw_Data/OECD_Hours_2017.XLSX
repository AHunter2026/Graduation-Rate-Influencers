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ml.chartshapes+xml"/>
  <Override PartName="/xl/drawings/drawing5.xml" ContentType="application/vnd.openxmlformats-officedocument.drawing+xml"/>
  <Override PartName="/xl/charts/chart3.xml" ContentType="application/vnd.openxmlformats-officedocument.drawingml.chart+xml"/>
  <Override PartName="/xl/drawings/drawing6.xml" ContentType="application/vnd.openxmlformats-officedocument.drawingml.chartshape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customProperty6.bin" ContentType="application/vnd.openxmlformats-officedocument.spreadsheetml.customProperty"/>
  <Override PartName="/xl/customProperty7.bin" ContentType="application/vnd.openxmlformats-officedocument.spreadsheetml.customProperty"/>
  <Override PartName="/xl/customProperty8.bin" ContentType="application/vnd.openxmlformats-officedocument.spreadsheetml.customProperty"/>
  <Override PartName="/xl/customProperty9.bin" ContentType="application/vnd.openxmlformats-officedocument.spreadsheetml.customProperty"/>
  <Override PartName="/xl/customProperty10.bin" ContentType="application/vnd.openxmlformats-officedocument.spreadsheetml.customProperty"/>
  <Override PartName="/xl/customProperty11.bin" ContentType="application/vnd.openxmlformats-officedocument.spreadsheetml.customProperty"/>
  <Override PartName="/xl/customProperty12.bin" ContentType="application/vnd.openxmlformats-officedocument.spreadsheetml.customProperty"/>
  <Override PartName="/xl/customProperty13.bin" ContentType="application/vnd.openxmlformats-officedocument.spreadsheetml.customProperty"/>
  <Override PartName="/xl/drawings/drawing7.xml" ContentType="application/vnd.openxmlformats-officedocument.drawing+xml"/>
  <Override PartName="/xl/charts/chart4.xml" ContentType="application/vnd.openxmlformats-officedocument.drawingml.chart+xml"/>
  <Override PartName="/xl/drawings/drawing8.xml" ContentType="application/vnd.openxmlformats-officedocument.drawingml.chartshapes+xml"/>
  <Override PartName="/xl/customProperty14.bin" ContentType="application/vnd.openxmlformats-officedocument.spreadsheetml.customProperty"/>
  <Override PartName="/xl/customProperty15.bin" ContentType="application/vnd.openxmlformats-officedocument.spreadsheetml.customProperty"/>
  <Override PartName="/xl/customProperty16.bin" ContentType="application/vnd.openxmlformats-officedocument.spreadsheetml.customProperty"/>
  <Override PartName="/xl/customProperty17.bin" ContentType="application/vnd.openxmlformats-officedocument.spreadsheetml.customProperty"/>
  <Override PartName="/xl/customProperty18.bin" ContentType="application/vnd.openxmlformats-officedocument.spreadsheetml.customProperty"/>
  <Override PartName="/xl/customProperty19.bin" ContentType="application/vnd.openxmlformats-officedocument.spreadsheetml.customProperty"/>
  <Override PartName="/xl/customProperty20.bin" ContentType="application/vnd.openxmlformats-officedocument.spreadsheetml.customProperty"/>
  <Override PartName="/xl/customProperty21.bin" ContentType="application/vnd.openxmlformats-officedocument.spreadsheetml.customProperty"/>
  <Override PartName="/xl/customProperty22.bin" ContentType="application/vnd.openxmlformats-officedocument.spreadsheetml.customProperty"/>
  <Override PartName="/xl/customProperty23.bin" ContentType="application/vnd.openxmlformats-officedocument.spreadsheetml.customProperty"/>
  <Override PartName="/xl/customProperty24.bin" ContentType="application/vnd.openxmlformats-officedocument.spreadsheetml.customProperty"/>
  <Override PartName="/xl/customProperty25.bin" ContentType="application/vnd.openxmlformats-officedocument.spreadsheetml.customProperty"/>
  <Override PartName="/xl/customProperty26.bin" ContentType="application/vnd.openxmlformats-officedocument.spreadsheetml.customProperty"/>
  <Override PartName="/xl/drawings/drawing9.xml" ContentType="application/vnd.openxmlformats-officedocument.drawing+xml"/>
  <Override PartName="/xl/charts/chart5.xml" ContentType="application/vnd.openxmlformats-officedocument.drawingml.chart+xml"/>
  <Override PartName="/xl/drawings/drawing10.xml" ContentType="application/vnd.openxmlformats-officedocument.drawingml.chartshapes+xml"/>
  <Override PartName="/xl/customProperty27.bin" ContentType="application/vnd.openxmlformats-officedocument.spreadsheetml.customProperty"/>
  <Override PartName="/xl/customProperty28.bin" ContentType="application/vnd.openxmlformats-officedocument.spreadsheetml.customProperty"/>
  <Override PartName="/xl/customProperty29.bin" ContentType="application/vnd.openxmlformats-officedocument.spreadsheetml.customProperty"/>
  <Override PartName="/xl/customProperty30.bin" ContentType="application/vnd.openxmlformats-officedocument.spreadsheetml.customProperty"/>
  <Override PartName="/xl/customProperty31.bin" ContentType="application/vnd.openxmlformats-officedocument.spreadsheetml.customProperty"/>
  <Override PartName="/xl/customProperty32.bin" ContentType="application/vnd.openxmlformats-officedocument.spreadsheetml.customProperty"/>
  <Override PartName="/xl/customProperty33.bin" ContentType="application/vnd.openxmlformats-officedocument.spreadsheetml.customProperty"/>
  <Override PartName="/xl/customProperty34.bin" ContentType="application/vnd.openxmlformats-officedocument.spreadsheetml.customProperty"/>
  <Override PartName="/xl/customProperty35.bin" ContentType="application/vnd.openxmlformats-officedocument.spreadsheetml.customProperty"/>
  <Override PartName="/xl/customProperty36.bin" ContentType="application/vnd.openxmlformats-officedocument.spreadsheetml.customProperty"/>
  <Override PartName="/xl/customProperty37.bin" ContentType="application/vnd.openxmlformats-officedocument.spreadsheetml.customProperty"/>
  <Override PartName="/xl/customProperty38.bin" ContentType="application/vnd.openxmlformats-officedocument.spreadsheetml.customProperty"/>
  <Override PartName="/xl/customProperty39.bin" ContentType="application/vnd.openxmlformats-officedocument.spreadsheetml.customProperty"/>
  <Override PartName="/xl/drawings/drawing11.xml" ContentType="application/vnd.openxmlformats-officedocument.drawing+xml"/>
  <Override PartName="/xl/charts/chart6.xml" ContentType="application/vnd.openxmlformats-officedocument.drawingml.chart+xml"/>
  <Override PartName="/xl/drawings/drawing12.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autoCompressPictures="0"/>
  <mc:AlternateContent xmlns:mc="http://schemas.openxmlformats.org/markup-compatibility/2006">
    <mc:Choice Requires="x15">
      <x15ac:absPath xmlns:x15ac="http://schemas.microsoft.com/office/spreadsheetml/2010/11/ac" url="\\PACSVR2.main.oecd.org\Publications\Tools\StatEditors\StatLinksFormatter\data\962018021P1 - Education at a Glance 2018, OECD Indicators\"/>
    </mc:Choice>
  </mc:AlternateContent>
  <bookViews>
    <workbookView xWindow="2340" yWindow="132" windowWidth="17520" windowHeight="6960" tabRatio="776" firstSheet="5" activeTab="7"/>
  </bookViews>
  <sheets>
    <sheet name="Contents" sheetId="106" r:id="rId1"/>
    <sheet name="Table D4.1." sheetId="142" r:id="rId2"/>
    <sheet name="Table D4.2." sheetId="143" r:id="rId3"/>
    <sheet name="Table D4.3." sheetId="146" r:id="rId4"/>
    <sheet name="Figure D4.1." sheetId="163" r:id="rId5"/>
    <sheet name="Figure D4.2." sheetId="164" r:id="rId6"/>
    <sheet name="Figure D4.3." sheetId="165" r:id="rId7"/>
    <sheet name="Figure D4.4." sheetId="166" r:id="rId8"/>
    <sheet name="Statutory vs actual" sheetId="116" state="hidden" r:id="rId9"/>
    <sheet name="Figure D4.5 (Web only)." sheetId="167" r:id="rId10"/>
    <sheet name="Figure D4.a." sheetId="168" r:id="rId11"/>
  </sheets>
  <definedNames>
    <definedName name="_xlnm._FilterDatabase" localSheetId="3" hidden="1">'Table D4.3.'!$A$15:$C$15</definedName>
  </definedNames>
  <calcPr calcId="162913"/>
</workbook>
</file>

<file path=xl/calcChain.xml><?xml version="1.0" encoding="utf-8"?>
<calcChain xmlns="http://schemas.openxmlformats.org/spreadsheetml/2006/main">
  <c r="E59" i="116" l="1"/>
  <c r="D59" i="116"/>
  <c r="C59" i="116"/>
  <c r="E58" i="116"/>
  <c r="D58" i="116"/>
  <c r="C58" i="116"/>
  <c r="E57" i="116"/>
  <c r="D57" i="116"/>
  <c r="C57" i="116"/>
  <c r="E56" i="116"/>
  <c r="D56" i="116"/>
  <c r="C56" i="116"/>
  <c r="E55" i="116"/>
  <c r="D55" i="116"/>
  <c r="C55" i="116"/>
  <c r="E54" i="116"/>
  <c r="D54" i="116"/>
  <c r="C54" i="116"/>
  <c r="E53" i="116"/>
  <c r="D53" i="116"/>
  <c r="C53" i="116"/>
  <c r="E52" i="116"/>
  <c r="D52" i="116"/>
  <c r="C52" i="116"/>
  <c r="E51" i="116"/>
  <c r="D51" i="116"/>
  <c r="C51" i="116"/>
  <c r="E50" i="116"/>
  <c r="D50" i="116"/>
  <c r="C50" i="116"/>
  <c r="E49" i="116"/>
  <c r="D49" i="116"/>
  <c r="C49" i="116"/>
  <c r="E48" i="116"/>
  <c r="D48" i="116"/>
  <c r="C48" i="116"/>
  <c r="E45" i="116"/>
  <c r="D45" i="116"/>
  <c r="C45" i="116"/>
  <c r="E44" i="116"/>
  <c r="D44" i="116"/>
  <c r="C44" i="116"/>
  <c r="E43" i="116"/>
  <c r="D43" i="116"/>
  <c r="C43" i="116"/>
  <c r="E42" i="116"/>
  <c r="D42" i="116"/>
  <c r="C42" i="116"/>
  <c r="E41" i="116"/>
  <c r="D41" i="116"/>
  <c r="C41" i="116"/>
  <c r="E40" i="116"/>
  <c r="D40" i="116"/>
  <c r="C40" i="116"/>
  <c r="E39" i="116"/>
  <c r="D39" i="116"/>
  <c r="C39" i="116"/>
  <c r="E38" i="116"/>
  <c r="D38" i="116"/>
  <c r="C38" i="116"/>
  <c r="E37" i="116"/>
  <c r="D37" i="116"/>
  <c r="C37" i="116"/>
  <c r="E36" i="116"/>
  <c r="D36" i="116"/>
  <c r="C36" i="116"/>
  <c r="E35" i="116"/>
  <c r="D35" i="116"/>
  <c r="C35" i="116"/>
  <c r="E34" i="116"/>
  <c r="D34" i="116"/>
  <c r="C34" i="116"/>
  <c r="E33" i="116"/>
  <c r="D33" i="116"/>
  <c r="C33" i="116"/>
  <c r="E32" i="116"/>
  <c r="D32" i="116"/>
  <c r="C32" i="116"/>
  <c r="E31" i="116"/>
  <c r="D31" i="116"/>
  <c r="C31" i="116"/>
  <c r="E30" i="116"/>
  <c r="D30" i="116"/>
  <c r="C30" i="116"/>
  <c r="E29" i="116"/>
  <c r="D29" i="116"/>
  <c r="C29" i="116"/>
  <c r="E28" i="116"/>
  <c r="D28" i="116"/>
  <c r="C28" i="116"/>
  <c r="E27" i="116"/>
  <c r="D27" i="116"/>
  <c r="C27" i="116"/>
  <c r="E26" i="116"/>
  <c r="D26" i="116"/>
  <c r="C26" i="116"/>
  <c r="E25" i="116"/>
  <c r="D25" i="116"/>
  <c r="C25" i="116"/>
  <c r="E24" i="116"/>
  <c r="D24" i="116"/>
  <c r="C24" i="116"/>
  <c r="E23" i="116"/>
  <c r="D23" i="116"/>
  <c r="C23" i="116"/>
  <c r="E22" i="116"/>
  <c r="D22" i="116"/>
  <c r="C22" i="116"/>
  <c r="E21" i="116"/>
  <c r="D21" i="116"/>
  <c r="C21" i="116"/>
  <c r="E20" i="116"/>
  <c r="D20" i="116"/>
  <c r="C20" i="116"/>
  <c r="E19" i="116"/>
  <c r="D19" i="116"/>
  <c r="C19" i="116"/>
  <c r="E18" i="116"/>
  <c r="D18" i="116"/>
  <c r="C18" i="116"/>
  <c r="E17" i="116"/>
  <c r="D17" i="116"/>
  <c r="C17" i="116"/>
  <c r="E16" i="116"/>
  <c r="D16" i="116"/>
  <c r="C16" i="116"/>
  <c r="E15" i="116"/>
  <c r="D15" i="116"/>
  <c r="C15" i="116"/>
  <c r="E14" i="116"/>
  <c r="D14" i="116"/>
  <c r="C14" i="116"/>
  <c r="E13" i="116"/>
  <c r="D13" i="116"/>
  <c r="C13" i="116"/>
  <c r="E12" i="116"/>
  <c r="D12" i="116"/>
  <c r="C12" i="116"/>
  <c r="E11" i="116"/>
  <c r="D11" i="116"/>
  <c r="C11" i="116"/>
  <c r="E10" i="116"/>
  <c r="D10" i="116"/>
  <c r="C10" i="116"/>
  <c r="C47" i="116" s="1"/>
  <c r="E9" i="116"/>
  <c r="D9" i="116"/>
  <c r="C9" i="116"/>
  <c r="C46" i="116" l="1"/>
  <c r="D47" i="116"/>
  <c r="D46" i="116"/>
  <c r="E47" i="116"/>
  <c r="E46" i="116"/>
</calcChain>
</file>

<file path=xl/comments1.xml><?xml version="1.0" encoding="utf-8"?>
<comments xmlns="http://schemas.openxmlformats.org/spreadsheetml/2006/main">
  <authors>
    <author>ALBISER Etienne</author>
    <author>JACOBS Michael</author>
  </authors>
  <commentList>
    <comment ref="A26" authorId="0" shapeId="0">
      <text>
        <r>
          <rPr>
            <b/>
            <sz val="9"/>
            <color indexed="81"/>
            <rFont val="Tahoma"/>
            <family val="2"/>
          </rPr>
          <t>ALBISER Etienne:</t>
        </r>
        <r>
          <rPr>
            <sz val="9"/>
            <color indexed="81"/>
            <rFont val="Tahoma"/>
            <family val="2"/>
          </rPr>
          <t xml:space="preserve">
EAG 2017: ISCED 0: increase in teaching time comapred to previous year due to error in previous year: to be explianed in note in annex 3</t>
        </r>
      </text>
    </comment>
    <comment ref="A45" authorId="1" shapeId="0">
      <text>
        <r>
          <rPr>
            <b/>
            <sz val="9"/>
            <color indexed="81"/>
            <rFont val="Tahoma"/>
            <family val="2"/>
          </rPr>
          <t xml:space="preserve">JACOBS Michael:
</t>
        </r>
        <r>
          <rPr>
            <sz val="9"/>
            <color indexed="81"/>
            <rFont val="Tahoma"/>
            <family val="2"/>
          </rPr>
          <t xml:space="preserve">Same values reported across all ISCED levels. Need to check consistency with time series data alsol.
</t>
        </r>
      </text>
    </comment>
    <comment ref="A52" authorId="0" shapeId="0">
      <text>
        <r>
          <rPr>
            <b/>
            <sz val="9"/>
            <color indexed="81"/>
            <rFont val="Tahoma"/>
            <family val="2"/>
          </rPr>
          <t>ALBISER Etienne:</t>
        </r>
        <r>
          <rPr>
            <sz val="9"/>
            <color indexed="81"/>
            <rFont val="Tahoma"/>
            <family val="2"/>
          </rPr>
          <t xml:space="preserve">
some "m" whereas values last year. Check necessary
</t>
        </r>
      </text>
    </comment>
  </commentList>
</comments>
</file>

<file path=xl/comments2.xml><?xml version="1.0" encoding="utf-8"?>
<comments xmlns="http://schemas.openxmlformats.org/spreadsheetml/2006/main">
  <authors>
    <author>heckmann_c</author>
    <author>Rodrigo Castaneda</author>
    <author>ALBISER Etienne</author>
  </authors>
  <commentList>
    <comment ref="C12" authorId="0" shapeId="0">
      <text>
        <r>
          <rPr>
            <sz val="8"/>
            <color indexed="81"/>
            <rFont val="Tahoma"/>
            <family val="2"/>
          </rPr>
          <t>Column only on the Web version of the table.</t>
        </r>
      </text>
    </comment>
    <comment ref="E12" authorId="0" shapeId="0">
      <text>
        <r>
          <rPr>
            <sz val="8"/>
            <color indexed="81"/>
            <rFont val="Tahoma"/>
            <family val="2"/>
          </rPr>
          <t>Column only on the Web version of the table.</t>
        </r>
      </text>
    </comment>
    <comment ref="G12" authorId="0" shapeId="0">
      <text>
        <r>
          <rPr>
            <sz val="8"/>
            <color indexed="81"/>
            <rFont val="Tahoma"/>
            <family val="2"/>
          </rPr>
          <t>Column only on the Web version of the table.</t>
        </r>
      </text>
    </comment>
    <comment ref="I12" authorId="0" shapeId="0">
      <text>
        <r>
          <rPr>
            <sz val="8"/>
            <color indexed="81"/>
            <rFont val="Tahoma"/>
            <family val="2"/>
          </rPr>
          <t>Column only on the Web version of the table.</t>
        </r>
      </text>
    </comment>
    <comment ref="K12" authorId="0" shapeId="0">
      <text>
        <r>
          <rPr>
            <sz val="8"/>
            <color indexed="81"/>
            <rFont val="Tahoma"/>
            <family val="2"/>
          </rPr>
          <t>Column only on the Web version of the table.</t>
        </r>
      </text>
    </comment>
    <comment ref="M12" authorId="0" shapeId="0">
      <text>
        <r>
          <rPr>
            <sz val="8"/>
            <color indexed="81"/>
            <rFont val="Tahoma"/>
            <family val="2"/>
          </rPr>
          <t>Column only on the Web version of the table.</t>
        </r>
      </text>
    </comment>
    <comment ref="O12" authorId="0" shapeId="0">
      <text>
        <r>
          <rPr>
            <sz val="8"/>
            <color indexed="81"/>
            <rFont val="Tahoma"/>
            <family val="2"/>
          </rPr>
          <t>Column only on the Web version of the table.</t>
        </r>
      </text>
    </comment>
    <comment ref="Q12" authorId="0" shapeId="0">
      <text>
        <r>
          <rPr>
            <sz val="8"/>
            <color indexed="81"/>
            <rFont val="Tahoma"/>
            <family val="2"/>
          </rPr>
          <t>Column only on the Web version of the table.</t>
        </r>
      </text>
    </comment>
    <comment ref="S12" authorId="0" shapeId="0">
      <text>
        <r>
          <rPr>
            <sz val="8"/>
            <color indexed="81"/>
            <rFont val="Tahoma"/>
            <family val="2"/>
          </rPr>
          <t>Column only on the Web version of the table.</t>
        </r>
      </text>
    </comment>
    <comment ref="U12" authorId="0" shapeId="0">
      <text>
        <r>
          <rPr>
            <sz val="8"/>
            <color indexed="81"/>
            <rFont val="Tahoma"/>
            <family val="2"/>
          </rPr>
          <t>Column only on the Web version of the table.</t>
        </r>
      </text>
    </comment>
    <comment ref="W12" authorId="0" shapeId="0">
      <text>
        <r>
          <rPr>
            <sz val="8"/>
            <color indexed="81"/>
            <rFont val="Tahoma"/>
            <family val="2"/>
          </rPr>
          <t>Column only on the Web version of the table.</t>
        </r>
      </text>
    </comment>
    <comment ref="Y12" authorId="0" shapeId="0">
      <text>
        <r>
          <rPr>
            <sz val="8"/>
            <color indexed="81"/>
            <rFont val="Tahoma"/>
            <family val="2"/>
          </rPr>
          <t>Column only on the Web version of the table.</t>
        </r>
      </text>
    </comment>
    <comment ref="AA12" authorId="0" shapeId="0">
      <text>
        <r>
          <rPr>
            <sz val="8"/>
            <color indexed="81"/>
            <rFont val="Tahoma"/>
            <family val="2"/>
          </rPr>
          <t>Column only on the Web version of the table.</t>
        </r>
      </text>
    </comment>
    <comment ref="AC12" authorId="0" shapeId="0">
      <text>
        <r>
          <rPr>
            <sz val="8"/>
            <color indexed="81"/>
            <rFont val="Tahoma"/>
            <family val="2"/>
          </rPr>
          <t>Column only on the Web version of the table.</t>
        </r>
      </text>
    </comment>
    <comment ref="AG12" authorId="1" shapeId="0">
      <text>
        <r>
          <rPr>
            <b/>
            <sz val="9"/>
            <color indexed="81"/>
            <rFont val="Courier"/>
            <family val="3"/>
          </rPr>
          <t>Column only on the Web version of the table.</t>
        </r>
      </text>
    </comment>
    <comment ref="AI12" authorId="0" shapeId="0">
      <text>
        <r>
          <rPr>
            <sz val="8"/>
            <color indexed="81"/>
            <rFont val="Tahoma"/>
            <family val="2"/>
          </rPr>
          <t>Column only on the Web version of the table.</t>
        </r>
      </text>
    </comment>
    <comment ref="AK12" authorId="0" shapeId="0">
      <text>
        <r>
          <rPr>
            <sz val="8"/>
            <color indexed="81"/>
            <rFont val="Tahoma"/>
            <family val="2"/>
          </rPr>
          <t>Column only on the Web version of the table.</t>
        </r>
      </text>
    </comment>
    <comment ref="AM12" authorId="0" shapeId="0">
      <text>
        <r>
          <rPr>
            <sz val="8"/>
            <color indexed="81"/>
            <rFont val="Tahoma"/>
            <family val="2"/>
          </rPr>
          <t>Column only on the Web version of the table.</t>
        </r>
      </text>
    </comment>
    <comment ref="AO12" authorId="0" shapeId="0">
      <text>
        <r>
          <rPr>
            <sz val="8"/>
            <color indexed="81"/>
            <rFont val="Tahoma"/>
            <family val="2"/>
          </rPr>
          <t>Column only on the Web version of the table.</t>
        </r>
      </text>
    </comment>
    <comment ref="AS12" authorId="0" shapeId="0">
      <text>
        <r>
          <rPr>
            <sz val="8"/>
            <color indexed="81"/>
            <rFont val="Tahoma"/>
            <family val="2"/>
          </rPr>
          <t>Column only on the Web version of the table.</t>
        </r>
      </text>
    </comment>
    <comment ref="AW12" authorId="1" shapeId="0">
      <text>
        <r>
          <rPr>
            <b/>
            <sz val="9"/>
            <color indexed="81"/>
            <rFont val="Courier"/>
            <family val="3"/>
          </rPr>
          <t>Column only on the Web version of the table.</t>
        </r>
        <r>
          <rPr>
            <sz val="9"/>
            <color indexed="81"/>
            <rFont val="Courier"/>
            <family val="3"/>
          </rPr>
          <t xml:space="preserve">
</t>
        </r>
      </text>
    </comment>
    <comment ref="AY12" authorId="1" shapeId="0">
      <text>
        <r>
          <rPr>
            <b/>
            <sz val="9"/>
            <color indexed="81"/>
            <rFont val="Courier"/>
            <family val="3"/>
          </rPr>
          <t>Column only on the Web version of the table.</t>
        </r>
        <r>
          <rPr>
            <sz val="9"/>
            <color indexed="81"/>
            <rFont val="Courier"/>
            <family val="3"/>
          </rPr>
          <t xml:space="preserve">
</t>
        </r>
      </text>
    </comment>
    <comment ref="BK12" authorId="0" shapeId="0">
      <text>
        <r>
          <rPr>
            <sz val="8"/>
            <color indexed="81"/>
            <rFont val="Tahoma"/>
            <family val="2"/>
          </rPr>
          <t>Column only on the Web version of the table.</t>
        </r>
      </text>
    </comment>
    <comment ref="BM12" authorId="0" shapeId="0">
      <text>
        <r>
          <rPr>
            <sz val="8"/>
            <color indexed="81"/>
            <rFont val="Tahoma"/>
            <family val="2"/>
          </rPr>
          <t>Column only on the Web version of the table.</t>
        </r>
      </text>
    </comment>
    <comment ref="BO12" authorId="0" shapeId="0">
      <text>
        <r>
          <rPr>
            <sz val="8"/>
            <color indexed="81"/>
            <rFont val="Tahoma"/>
            <family val="2"/>
          </rPr>
          <t>Column only on the Web version of the table.</t>
        </r>
      </text>
    </comment>
    <comment ref="BQ12" authorId="0" shapeId="0">
      <text>
        <r>
          <rPr>
            <sz val="8"/>
            <color indexed="81"/>
            <rFont val="Tahoma"/>
            <family val="2"/>
          </rPr>
          <t>Column only on the Web version of the table.</t>
        </r>
      </text>
    </comment>
    <comment ref="BU12" authorId="0" shapeId="0">
      <text>
        <r>
          <rPr>
            <sz val="8"/>
            <color indexed="81"/>
            <rFont val="Tahoma"/>
            <family val="2"/>
          </rPr>
          <t>Column only on the Web version of the table.</t>
        </r>
      </text>
    </comment>
    <comment ref="BW12" authorId="0" shapeId="0">
      <text>
        <r>
          <rPr>
            <sz val="8"/>
            <color indexed="81"/>
            <rFont val="Tahoma"/>
            <family val="2"/>
          </rPr>
          <t>Column only on the Web version of the table.</t>
        </r>
      </text>
    </comment>
    <comment ref="BY12" authorId="0" shapeId="0">
      <text>
        <r>
          <rPr>
            <sz val="8"/>
            <color indexed="81"/>
            <rFont val="Tahoma"/>
            <family val="2"/>
          </rPr>
          <t>Column only on the Web version of the table.</t>
        </r>
      </text>
    </comment>
    <comment ref="CA12" authorId="0" shapeId="0">
      <text>
        <r>
          <rPr>
            <sz val="8"/>
            <color indexed="81"/>
            <rFont val="Tahoma"/>
            <family val="2"/>
          </rPr>
          <t>Column only on the Web version of the table.</t>
        </r>
      </text>
    </comment>
    <comment ref="CE12" authorId="0" shapeId="0">
      <text>
        <r>
          <rPr>
            <sz val="8"/>
            <color indexed="81"/>
            <rFont val="Tahoma"/>
            <family val="2"/>
          </rPr>
          <t>Column only on the Web version of the table.</t>
        </r>
      </text>
    </comment>
    <comment ref="CM12" authorId="0" shapeId="0">
      <text>
        <r>
          <rPr>
            <sz val="8"/>
            <color indexed="81"/>
            <rFont val="Tahoma"/>
            <family val="2"/>
          </rPr>
          <t>Column only on the Web version of the table.</t>
        </r>
      </text>
    </comment>
    <comment ref="CO12" authorId="0" shapeId="0">
      <text>
        <r>
          <rPr>
            <sz val="8"/>
            <color indexed="81"/>
            <rFont val="Tahoma"/>
            <family val="2"/>
          </rPr>
          <t>Column only on the Web version of the table.</t>
        </r>
      </text>
    </comment>
    <comment ref="CQ12" authorId="0" shapeId="0">
      <text>
        <r>
          <rPr>
            <sz val="8"/>
            <color indexed="81"/>
            <rFont val="Tahoma"/>
            <family val="2"/>
          </rPr>
          <t>Column only on the Web version of the table.</t>
        </r>
      </text>
    </comment>
    <comment ref="CS12" authorId="0" shapeId="0">
      <text>
        <r>
          <rPr>
            <sz val="8"/>
            <color indexed="81"/>
            <rFont val="Tahoma"/>
            <family val="2"/>
          </rPr>
          <t>Column only on the Web version of the table.</t>
        </r>
      </text>
    </comment>
    <comment ref="CW12" authorId="0" shapeId="0">
      <text>
        <r>
          <rPr>
            <sz val="8"/>
            <color indexed="81"/>
            <rFont val="Tahoma"/>
            <family val="2"/>
          </rPr>
          <t>Column only on the Web version of the table.</t>
        </r>
      </text>
    </comment>
    <comment ref="CY12" authorId="0" shapeId="0">
      <text>
        <r>
          <rPr>
            <sz val="8"/>
            <color indexed="81"/>
            <rFont val="Tahoma"/>
            <family val="2"/>
          </rPr>
          <t>Column only on the Web version of the table.</t>
        </r>
      </text>
    </comment>
    <comment ref="DA12" authorId="0" shapeId="0">
      <text>
        <r>
          <rPr>
            <sz val="8"/>
            <color indexed="81"/>
            <rFont val="Tahoma"/>
            <family val="2"/>
          </rPr>
          <t>Column only on the Web version of the table.</t>
        </r>
      </text>
    </comment>
    <comment ref="DC12" authorId="0" shapeId="0">
      <text>
        <r>
          <rPr>
            <sz val="8"/>
            <color indexed="81"/>
            <rFont val="Tahoma"/>
            <family val="2"/>
          </rPr>
          <t>Column only on the Web version of the table.</t>
        </r>
      </text>
    </comment>
    <comment ref="DG12" authorId="0" shapeId="0">
      <text>
        <r>
          <rPr>
            <sz val="8"/>
            <color indexed="81"/>
            <rFont val="Tahoma"/>
            <family val="2"/>
          </rPr>
          <t>Column only on the Web version of the table.</t>
        </r>
      </text>
    </comment>
    <comment ref="A20" authorId="2" shapeId="0">
      <text>
        <r>
          <rPr>
            <b/>
            <sz val="9"/>
            <color indexed="81"/>
            <rFont val="Tahoma"/>
            <family val="2"/>
          </rPr>
          <t xml:space="preserve">ALBISER Etienne:
2015 data, ISCED 1 and 24: </t>
        </r>
        <r>
          <rPr>
            <sz val="9"/>
            <color indexed="81"/>
            <rFont val="Tahoma"/>
            <family val="2"/>
          </rPr>
          <t xml:space="preserve">Change in teaching time following following new regulation. Numbers not directly comparable to previous years. Note to include in annex 3
</t>
        </r>
      </text>
    </comment>
    <comment ref="A24" authorId="2" shapeId="0">
      <text>
        <r>
          <rPr>
            <b/>
            <sz val="9"/>
            <color indexed="81"/>
            <rFont val="Tahoma"/>
            <family val="2"/>
          </rPr>
          <t xml:space="preserve">ALBISER Etienne:
</t>
        </r>
        <r>
          <rPr>
            <sz val="9"/>
            <color indexed="81"/>
            <rFont val="Tahoma"/>
            <family val="2"/>
          </rPr>
          <t xml:space="preserve">Until 2014 data, Germany didn’t had information on pre-primary education so it provided data for a minority of programmes (Schulkindergärten and Vorklassen). 
From 2014 data, data on pre-primary education s available. 
For this reason, the data from 2014 cannot be compared with previous years. a note in annex 3 is necessary to explain the gap. </t>
        </r>
      </text>
    </comment>
    <comment ref="A26" authorId="2" shapeId="0">
      <text>
        <r>
          <rPr>
            <b/>
            <sz val="9"/>
            <color indexed="81"/>
            <rFont val="Tahoma"/>
            <family val="2"/>
          </rPr>
          <t>ALBISER Etienne:</t>
        </r>
        <r>
          <rPr>
            <sz val="9"/>
            <color indexed="81"/>
            <rFont val="Tahoma"/>
            <family val="2"/>
          </rPr>
          <t xml:space="preserve">
EAG 2017: increase in teaching time comapred to previous year: to be explianed in note in annex 3</t>
        </r>
      </text>
    </comment>
    <comment ref="A33" authorId="2" shapeId="0">
      <text>
        <r>
          <rPr>
            <b/>
            <sz val="9"/>
            <color indexed="81"/>
            <rFont val="Tahoma"/>
            <family val="2"/>
          </rPr>
          <t>ALBISER Etienne:</t>
        </r>
        <r>
          <rPr>
            <sz val="9"/>
            <color indexed="81"/>
            <rFont val="Tahoma"/>
            <family val="2"/>
          </rPr>
          <t xml:space="preserve">
A  note is necessary to explain the break in the time series before 2015. Please explain.</t>
        </r>
      </text>
    </comment>
    <comment ref="A50" authorId="2" shapeId="0">
      <text>
        <r>
          <rPr>
            <b/>
            <sz val="9"/>
            <color indexed="81"/>
            <rFont val="Tahoma"/>
            <family val="2"/>
          </rPr>
          <t>ALBISER Etienne:</t>
        </r>
        <r>
          <rPr>
            <sz val="9"/>
            <color indexed="81"/>
            <rFont val="Tahoma"/>
            <family val="2"/>
          </rPr>
          <t xml:space="preserve">
revised trends provided by BFL on 17 Jan 2018</t>
        </r>
      </text>
    </comment>
  </commentList>
</comments>
</file>

<file path=xl/sharedStrings.xml><?xml version="1.0" encoding="utf-8"?>
<sst xmlns="http://schemas.openxmlformats.org/spreadsheetml/2006/main" count="11446" uniqueCount="240">
  <si>
    <t>m</t>
  </si>
  <si>
    <t>Austria</t>
  </si>
  <si>
    <t>Denmark</t>
  </si>
  <si>
    <t>Finland</t>
  </si>
  <si>
    <t>France</t>
  </si>
  <si>
    <t>Germany</t>
  </si>
  <si>
    <t>Greece</t>
  </si>
  <si>
    <t>Ireland</t>
  </si>
  <si>
    <t>Italy</t>
  </si>
  <si>
    <t>Netherlands</t>
  </si>
  <si>
    <t>New Zealand</t>
  </si>
  <si>
    <t>Norway</t>
  </si>
  <si>
    <t>Portugal</t>
  </si>
  <si>
    <t>Spain</t>
  </si>
  <si>
    <t>Sweden</t>
  </si>
  <si>
    <t>Switzerland</t>
  </si>
  <si>
    <t>Turkey</t>
  </si>
  <si>
    <t>Hungary</t>
  </si>
  <si>
    <t>Australia</t>
  </si>
  <si>
    <t>Mexico</t>
  </si>
  <si>
    <t>Iceland</t>
  </si>
  <si>
    <t>Japan</t>
  </si>
  <si>
    <t>United States</t>
  </si>
  <si>
    <t>a</t>
  </si>
  <si>
    <t>Scotland</t>
  </si>
  <si>
    <t>England</t>
  </si>
  <si>
    <t>Belgium (Fl.)</t>
  </si>
  <si>
    <t>Belgium (Fr.)</t>
  </si>
  <si>
    <t>Czech Republic</t>
  </si>
  <si>
    <t>Slovak Republic</t>
  </si>
  <si>
    <t>Korea</t>
  </si>
  <si>
    <t>Poland</t>
  </si>
  <si>
    <t>Israel</t>
  </si>
  <si>
    <t>Luxembourg</t>
  </si>
  <si>
    <t>(1)</t>
  </si>
  <si>
    <t>(3)</t>
  </si>
  <si>
    <t>(5)</t>
  </si>
  <si>
    <t>Chile</t>
  </si>
  <si>
    <t>OECD average</t>
  </si>
  <si>
    <t>Slovenia</t>
  </si>
  <si>
    <t>Brazil</t>
  </si>
  <si>
    <t>Estonia</t>
  </si>
  <si>
    <t>Russian Federation</t>
  </si>
  <si>
    <t>Tables</t>
  </si>
  <si>
    <t>Indicator D4: How much time do teachers spend teaching?</t>
  </si>
  <si>
    <t>Notes</t>
  </si>
  <si>
    <t>Canada</t>
  </si>
  <si>
    <t>China</t>
  </si>
  <si>
    <t>India</t>
  </si>
  <si>
    <t>Indonesia</t>
  </si>
  <si>
    <t>Argentina</t>
  </si>
  <si>
    <t>South Africa</t>
  </si>
  <si>
    <t>OECD</t>
  </si>
  <si>
    <t>EU21 average</t>
  </si>
  <si>
    <t>Other G20</t>
  </si>
  <si>
    <t>Saudi Arabia</t>
  </si>
  <si>
    <t>Primary</t>
  </si>
  <si>
    <t>Lower secondary</t>
  </si>
  <si>
    <t>Upper secondary</t>
  </si>
  <si>
    <t>Difference in teaching time</t>
  </si>
  <si>
    <t>G20 average</t>
  </si>
  <si>
    <t>Number of weeks of teaching</t>
  </si>
  <si>
    <t xml:space="preserve">Number of days of teaching </t>
  </si>
  <si>
    <t>Net teaching time, in hours</t>
  </si>
  <si>
    <t>Working time required at school, in hours</t>
  </si>
  <si>
    <t>Total statutory working time, in hours</t>
  </si>
  <si>
    <t xml:space="preserve">Comparison between statutory versus actual (including extra-hours) teaching time </t>
  </si>
  <si>
    <t xml:space="preserve">Net statutory contact time in public institutions
</t>
  </si>
  <si>
    <t>Net statutory contact time in public institutions</t>
  </si>
  <si>
    <t>Average teaching hours, over the school year, in public institutions</t>
  </si>
  <si>
    <t xml:space="preserve">Net statutory contact time in public institutions, by level of education </t>
  </si>
  <si>
    <t>Partners</t>
  </si>
  <si>
    <t>Colombia</t>
  </si>
  <si>
    <t>Latvia</t>
  </si>
  <si>
    <t>Actual teaching time</t>
  </si>
  <si>
    <t>Statutory teaching time</t>
  </si>
  <si>
    <t>Countries are ranked in descending order of the number of actual teaching hours per year in lower secondary education.</t>
  </si>
  <si>
    <t>1. Actual teaching time.</t>
  </si>
  <si>
    <t>1. Figures for the pre-primary level refer to primary teachers (in primary schools only) teaching pre-primary classes.</t>
  </si>
  <si>
    <t>Pre-primary</t>
  </si>
  <si>
    <t>Lower secondary, general programmes</t>
  </si>
  <si>
    <t>Upper secondary, general programmes</t>
  </si>
  <si>
    <t>Costa Rica</t>
  </si>
  <si>
    <t>Lithuania</t>
  </si>
  <si>
    <t xml:space="preserve">Number of statutory teaching weeks, teaching days, net teaching hours and teachers' working time in public institutions over the school year </t>
  </si>
  <si>
    <t>Please refer to the Reader's Guide for information concerning symbols for missing data and abbreviations.</t>
  </si>
  <si>
    <t>m: missing</t>
  </si>
  <si>
    <t>a: not applicable</t>
  </si>
  <si>
    <t>Participation in mentoring programmes and/or supporting new teachers in induction programmes</t>
  </si>
  <si>
    <t>Class teacher/form teacher</t>
  </si>
  <si>
    <t>Special tasks
(e.g. training student teachers,
guidance counselling)</t>
  </si>
  <si>
    <t>Engaging in extracurricular activities
(e.g. homework clubs, sports and drama clubs, 
summer school)</t>
  </si>
  <si>
    <t>Students counselling
(including student supervising, virtual counselling, career guidance, and delinquency prevention)</t>
  </si>
  <si>
    <t>Teaching more classes or hours than required by full-time contract
(e.g. overtime compensation)</t>
  </si>
  <si>
    <t>Participation in school or other management in addition to teaching duties (e.g. serving as head of department or co-ordinator of teachers)</t>
  </si>
  <si>
    <t>Team work and dialogue with colleagues
at school or elsewhere</t>
  </si>
  <si>
    <t>Supervision of students during breaks</t>
  </si>
  <si>
    <t>Communication and co-operation
with parents or guardians</t>
  </si>
  <si>
    <t>General administrative work (including communication, paperwork and other clerical duties undertaken as part the job)</t>
  </si>
  <si>
    <t>Marking/correcting of student work</t>
  </si>
  <si>
    <t>Individual planning or preparation of lessons
either at school or elsewhere</t>
  </si>
  <si>
    <t>Teaching</t>
  </si>
  <si>
    <t>Other responsibilities</t>
  </si>
  <si>
    <t>Tasks</t>
  </si>
  <si>
    <t>Level of education</t>
  </si>
  <si>
    <t>Teachers' tasks and responsibilities in public institutions as defined explicitly in regulations and/or steering documents</t>
  </si>
  <si>
    <t>Table D4.3.</t>
  </si>
  <si>
    <t>School Req. = Yes, at the discretion of individual schools</t>
  </si>
  <si>
    <t>General administrative work (including communication, paperwork and other clerical duties a teacher undertakes as part of his/her job)</t>
  </si>
  <si>
    <t>Missing</t>
  </si>
  <si>
    <t>Not applicable</t>
  </si>
  <si>
    <t>Voluntary at the discretion of individual teachers</t>
  </si>
  <si>
    <t>Voluntary</t>
  </si>
  <si>
    <t>School Req.</t>
  </si>
  <si>
    <t>Mandatory</t>
  </si>
  <si>
    <t>Mand.</t>
  </si>
  <si>
    <t>Individual planning or preparation of lessons either at school or elsewhere</t>
  </si>
  <si>
    <t>Communication and co-operation with parents or guardians</t>
  </si>
  <si>
    <t>Team work and dialogue with colleagues at school or elsewhere</t>
  </si>
  <si>
    <t>Students counselling (including student supervising, virtual counselling, career guidance, and delinquency prevention)</t>
  </si>
  <si>
    <t>Teaching more classes or hours than required by full-time contract (e.g. overtime compensation)</t>
  </si>
  <si>
    <t>Participation in school or other management in addition to teaching duties</t>
  </si>
  <si>
    <t>Engaging in extracurricular activities (e.g. sports and drama clubs, homework clubs, summer school, etc.)</t>
  </si>
  <si>
    <t>Special tasks (e.g. training student teachers; guidance counselling)</t>
  </si>
  <si>
    <t>Not req.</t>
  </si>
  <si>
    <t>Not required</t>
  </si>
  <si>
    <t>EU22 average</t>
  </si>
  <si>
    <t>England (UK)</t>
  </si>
  <si>
    <t>Scotland (UK)</t>
  </si>
  <si>
    <t>Countries and economies are ranked in descending order of the number of teaching hours per year in general upper secondary education.</t>
  </si>
  <si>
    <t>Table D4.1.</t>
  </si>
  <si>
    <t>3. Year of reference 2011 instead of 2012 and 2013, and year of reference 2015 instead of 2014 for upper secondary education.</t>
  </si>
  <si>
    <t>Figure D4.1.</t>
  </si>
  <si>
    <t>Figure D4.2.</t>
  </si>
  <si>
    <t>Figure D4.3.</t>
  </si>
  <si>
    <t xml:space="preserve">Figure D4.a. </t>
  </si>
  <si>
    <t>2. Maximum teaching time.</t>
  </si>
  <si>
    <t>Figures</t>
  </si>
  <si>
    <t>Box</t>
  </si>
  <si>
    <t>Figure D4.a</t>
  </si>
  <si>
    <t xml:space="preserve">Are tasks/responsibilities required of teachers? </t>
  </si>
  <si>
    <t>Mand. = Yes, mandatory</t>
  </si>
  <si>
    <t>Voluntary = No, voluntary at the discretion of individual teachers</t>
  </si>
  <si>
    <t>Not req. = No, not required</t>
  </si>
  <si>
    <t>Required, at the discretion of individual schools</t>
  </si>
  <si>
    <t>Voluntary at the discretion of individual teachers or Required, at the discretion of individual schools</t>
  </si>
  <si>
    <t>Mandatory, or Required, at the discretion of individual schools</t>
  </si>
  <si>
    <t>Table D4.2.</t>
  </si>
  <si>
    <t>Countries</t>
  </si>
  <si>
    <t>Economies</t>
  </si>
  <si>
    <t>1. Citeria for the first two years of lower secondary education (general programmes) follow those for primary education and those for the last two years of lower secondary education (general programmes) follow those of upper secondary education (general programmes).</t>
  </si>
  <si>
    <t>Organisation of teachers' working time (2017)</t>
  </si>
  <si>
    <t>Lower secondary, vocational programmes</t>
  </si>
  <si>
    <t>Upper secondary, vocational programmes</t>
  </si>
  <si>
    <t>Participation in professional development activities</t>
  </si>
  <si>
    <t>Flemish comm. (Belgium)</t>
  </si>
  <si>
    <t>French comm. (Belgium)</t>
  </si>
  <si>
    <t>Lower secondary (gen. progr.)</t>
  </si>
  <si>
    <t>Lower secondary (voc. progr.)</t>
  </si>
  <si>
    <t>Upper secondary (gen. progr.)</t>
  </si>
  <si>
    <t>Upper secondary (voc. progr.)</t>
  </si>
  <si>
    <t>Tasks and responsibilities of teachers, by level of education (2017)</t>
  </si>
  <si>
    <t>Mand/Vol.</t>
  </si>
  <si>
    <t>Figure D4.4.</t>
  </si>
  <si>
    <t>Number of teaching hours per year in general lower secondary education (2000, 2005 and 2017)</t>
  </si>
  <si>
    <t>Number of teaching hours per year, by level of education (2017)</t>
  </si>
  <si>
    <t>Percentage of lower secondary teachers' working time spent teaching (2017)</t>
  </si>
  <si>
    <t>Number of teaching hours per year in general and vocational programmes at upper secondary level (2017)</t>
  </si>
  <si>
    <t>Figure D4.5 (Web only).</t>
  </si>
  <si>
    <r>
      <rPr>
        <b/>
        <sz val="8"/>
        <rFont val="Arial"/>
        <family val="2"/>
      </rPr>
      <t>Note:</t>
    </r>
    <r>
      <rPr>
        <sz val="8"/>
        <rFont val="Arial"/>
        <family val="2"/>
      </rPr>
      <t xml:space="preserve"> See </t>
    </r>
    <r>
      <rPr>
        <i/>
        <sz val="8"/>
        <rFont val="Arial"/>
        <family val="2"/>
      </rPr>
      <t>Definitions</t>
    </r>
    <r>
      <rPr>
        <sz val="8"/>
        <rFont val="Arial"/>
        <family val="2"/>
      </rPr>
      <t xml:space="preserve"> and </t>
    </r>
    <r>
      <rPr>
        <i/>
        <sz val="8"/>
        <rFont val="Arial"/>
        <family val="2"/>
      </rPr>
      <t>Methodology</t>
    </r>
    <r>
      <rPr>
        <sz val="8"/>
        <rFont val="Arial"/>
        <family val="2"/>
      </rPr>
      <t xml:space="preserve"> sections for more information. Data on years 2000 to 2017 for pre-primary education (i.e. Columns 1-14) are available for consultation on line. Data on years 2006, 2007, 2008, 2009, 2011, 2012, 2013, 2014 and 2016 for primary education, lower secondary education and upper secondary education (i.e. Columns 17-20; 22-25; 27; 31-34; 36-39; 41; 45-48; 50-53; 55) are available at http://stats.oecd.org/, Education at a Glance Database or via </t>
    </r>
    <r>
      <rPr>
        <i/>
        <sz val="8"/>
        <rFont val="Arial"/>
        <family val="2"/>
      </rPr>
      <t>StatLink</t>
    </r>
    <r>
      <rPr>
        <sz val="8"/>
        <rFont val="Arial"/>
        <family val="2"/>
      </rPr>
      <t xml:space="preserve"> below).</t>
    </r>
  </si>
  <si>
    <t>Education at a Glance 2018</t>
  </si>
  <si>
    <t>© OECD 2018</t>
  </si>
  <si>
    <t>2. Year of reference 2016 instead of 2017.</t>
  </si>
  <si>
    <t>Tasks and responsibilities lower secondary teachers are required to perform (2017)</t>
  </si>
  <si>
    <t>Mandatory, or Voluntary at the discretion of individual teachers</t>
  </si>
  <si>
    <t>Average for OECD countries with 2000, 2005, 2010, 2015 and 2017 data</t>
  </si>
  <si>
    <t>Average for EU22 countries with 2000, 2005, 2010, 2015 and 2017 data</t>
  </si>
  <si>
    <t>Actual and statutory teaching time in general lower secondary education (2016)</t>
  </si>
  <si>
    <r>
      <t xml:space="preserve">Note: </t>
    </r>
    <r>
      <rPr>
        <sz val="8"/>
        <rFont val="Arial"/>
        <family val="2"/>
      </rPr>
      <t xml:space="preserve">See </t>
    </r>
    <r>
      <rPr>
        <i/>
        <sz val="8"/>
        <rFont val="Arial"/>
        <family val="2"/>
      </rPr>
      <t>Definitions</t>
    </r>
    <r>
      <rPr>
        <sz val="8"/>
        <rFont val="Arial"/>
        <family val="2"/>
      </rPr>
      <t xml:space="preserve"> and </t>
    </r>
    <r>
      <rPr>
        <i/>
        <sz val="8"/>
        <rFont val="Arial"/>
        <family val="2"/>
      </rPr>
      <t>Methodology</t>
    </r>
    <r>
      <rPr>
        <sz val="8"/>
        <rFont val="Arial"/>
        <family val="2"/>
      </rPr>
      <t xml:space="preserve"> sections for more information. Data on vocational programmes at lower secondary level (i.e. Columns 4, 10, 16, 22 and 28) are available for consultation on line.  Data available at http://stats.oecd.org/, Education at a Glance Database.</t>
    </r>
  </si>
  <si>
    <t xml:space="preserve">Symbols for missing data </t>
  </si>
  <si>
    <t>Data are not available</t>
  </si>
  <si>
    <t>Data are not applicable because the category does not apply</t>
  </si>
  <si>
    <t>x</t>
  </si>
  <si>
    <t xml:space="preserve">Data included in another category </t>
  </si>
  <si>
    <t>d</t>
  </si>
  <si>
    <t xml:space="preserve">Includes data from another category </t>
  </si>
  <si>
    <t>b</t>
  </si>
  <si>
    <t>Break in the time series</t>
  </si>
  <si>
    <t/>
  </si>
  <si>
    <t>x(5)</t>
  </si>
  <si>
    <t>x(11)</t>
  </si>
  <si>
    <t>x(17)</t>
  </si>
  <si>
    <t>x(23)</t>
  </si>
  <si>
    <t>x(29)</t>
  </si>
  <si>
    <t>1, 3</t>
  </si>
  <si>
    <t>2, 3</t>
  </si>
  <si>
    <t>United States1, 2</t>
  </si>
  <si>
    <t>Japan1</t>
  </si>
  <si>
    <t>2. Year of reference 2016.</t>
  </si>
  <si>
    <t>Countries and economies are ranked in descending order of the number of teaching hours per year in general lower secondary education in 2017.</t>
  </si>
  <si>
    <t>Number of teaching hours per year (2000, 2005 to 2017)</t>
  </si>
  <si>
    <t>2. Actual teaching time (in Denmark except for pre-primary level, in England (UK) data for 2015 refer to 2016).</t>
  </si>
  <si>
    <t>School req.</t>
  </si>
  <si>
    <t>School req./Vol.</t>
  </si>
  <si>
    <t>Mand./School req.</t>
  </si>
  <si>
    <t>5. Actual teaching time.</t>
  </si>
  <si>
    <t>6. Year of reference 2016.</t>
  </si>
  <si>
    <t>4. Average planned teaching time in each school at the beginning of the school year.</t>
  </si>
  <si>
    <t>3. Average planned teaching time in each school at the beginning of the school year.</t>
  </si>
  <si>
    <t>1. Average planned teaching time in each school at the beginning of the school year.</t>
  </si>
  <si>
    <t>OECD average incl. Lithuania</t>
  </si>
  <si>
    <t>EU23 average incl. Lithuania</t>
  </si>
  <si>
    <t>Lithuania was not an OECD Member at the time of preparation of this publication. Accordingly, Lithuania does not appear in the list of OECD Members and is not included in the zone aggregates.  OECD and EU23 averages including Lithuania have been added at the end of this table for information purposes.</t>
  </si>
  <si>
    <t>5, 6</t>
  </si>
  <si>
    <t>3. Minimum teaching time (in the Flemish Community of Belgium, for lower and upper secondary levels).</t>
  </si>
  <si>
    <t>1. Typical teaching time (teaching time required from most teachers when no specific circumstances apply to teachers) (in the Flemish Community of Belgium, for pre-primary and primary levels).</t>
  </si>
  <si>
    <t>Source: OECD (2018). See Source section for more information and Annex 3 for notes (http://dx.doi.org/10.1787/eag-2018-36-en).</t>
  </si>
  <si>
    <t>Source: OECD (2018), Table D4.2. See Source section for more information and Annex 3 for notes (http://dx.doi.org/10.1787/eag-2018-36-en).</t>
  </si>
  <si>
    <t>Source: OECD (2018), Table D4.1. See Source section for more information and Annex 3 for notes (http://dx.doi.org/10.1787/eag-2018-36-en).</t>
  </si>
  <si>
    <t xml:space="preserve">Source: OECD (2018), Table D4.1. See Source section for more information and Annex 3 for notes (http://dx.doi.org/10.1787/eag-2018-36-en).
</t>
  </si>
  <si>
    <t>Source: OECD (2018). Tables D4.2 and Table D4.4, available on line. See Source section for more information and Annex 3 for notes (http://dx.doi.org/10.1787/eag-2018-36-en).</t>
  </si>
  <si>
    <t>Source: OECD (2018), Table D4.3. See Source section for more information and Annex 3 for notes (http://dx.doi.org/10.1787/eag-2018-36-en).</t>
  </si>
  <si>
    <t>United States2, 3</t>
  </si>
  <si>
    <t>Japan3</t>
  </si>
  <si>
    <r>
      <t xml:space="preserve">Magnitude is either negligible or </t>
    </r>
    <r>
      <rPr>
        <i/>
        <sz val="8"/>
        <rFont val="Arial"/>
        <family val="2"/>
      </rPr>
      <t>zero</t>
    </r>
  </si>
  <si>
    <t>For lower secondary teachers teaching general programmes in public institutions</t>
  </si>
  <si>
    <t>Net teaching time (typical annual number of hours) as a percentage of total statutory working time in general programmes in public institutions</t>
  </si>
  <si>
    <t>2. Actual teaching time.</t>
  </si>
  <si>
    <t>3. Year of reference 2016 instead of 2017.</t>
  </si>
  <si>
    <r>
      <rPr>
        <b/>
        <sz val="8"/>
        <rFont val="Arial"/>
        <family val="2"/>
      </rPr>
      <t>Note:</t>
    </r>
    <r>
      <rPr>
        <sz val="8"/>
        <rFont val="Arial"/>
        <family val="2"/>
      </rPr>
      <t xml:space="preserve"> The OECD average refers to OECD countries and economies with available data for 2005, 2010, 2015 and 2017.</t>
    </r>
  </si>
  <si>
    <r>
      <rPr>
        <b/>
        <sz val="8"/>
        <rFont val="Arial"/>
        <family val="2"/>
      </rPr>
      <t>Note:</t>
    </r>
    <r>
      <rPr>
        <sz val="8"/>
        <rFont val="Arial"/>
        <family val="2"/>
      </rPr>
      <t xml:space="preserve">  Pre-primary, primary, lower secondary (vocational programmes) and upper secondary levels (added in separate rows) are available for consultation on line (see </t>
    </r>
    <r>
      <rPr>
        <i/>
        <sz val="8"/>
        <rFont val="Arial"/>
        <family val="2"/>
      </rPr>
      <t>StatLink</t>
    </r>
    <r>
      <rPr>
        <sz val="8"/>
        <rFont val="Arial"/>
        <family val="2"/>
      </rPr>
      <t xml:space="preserve"> below). See </t>
    </r>
    <r>
      <rPr>
        <i/>
        <sz val="8"/>
        <rFont val="Arial"/>
        <family val="2"/>
      </rPr>
      <t>Definitions</t>
    </r>
    <r>
      <rPr>
        <sz val="8"/>
        <rFont val="Arial"/>
        <family val="2"/>
      </rPr>
      <t xml:space="preserve"> and </t>
    </r>
    <r>
      <rPr>
        <i/>
        <sz val="8"/>
        <rFont val="Arial"/>
        <family val="2"/>
      </rPr>
      <t>Methodology</t>
    </r>
    <r>
      <rPr>
        <sz val="8"/>
        <rFont val="Arial"/>
        <family val="2"/>
      </rPr>
      <t xml:space="preserve"> sections for more information. </t>
    </r>
  </si>
  <si>
    <t>Lithuania was not an OECD Member at the time of preparation of this publication. Accordingly, Lithuania does not appear in the list of OECD Members and is not included in the zone aggregates.</t>
  </si>
  <si>
    <t>Net teaching time in hours</t>
  </si>
  <si>
    <t>Percentage of total statutory working time spent teaching</t>
  </si>
  <si>
    <t>Country average</t>
  </si>
  <si>
    <t>Education at a Glance 2018: OECD Indicators - © OECD 2018</t>
  </si>
  <si>
    <t>D</t>
  </si>
  <si>
    <t>Indicator D4. How much time do teachers spend teaching?</t>
  </si>
  <si>
    <t>Version 2 - Last updated: 05-Sep-2018</t>
  </si>
  <si>
    <t>Disclaimer: http://oe.cd/disclaimer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</si>
</sst>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5">
    <numFmt numFmtId="7" formatCode="&quot;£&quot;#,##0.00_);\(&quot;£&quot;#,##0.00\)"/>
    <numFmt numFmtId="164" formatCode="_(* #,##0_);_(* \(#,##0\);_(* &quot;-&quot;_);_(@_)"/>
    <numFmt numFmtId="165" formatCode="_(* #,##0.00_);_(* \(#,##0.00\);_(* &quot;-&quot;??_);_(@_)"/>
    <numFmt numFmtId="166" formatCode="0.0"/>
    <numFmt numFmtId="167" formatCode="\(0\)"/>
    <numFmt numFmtId="168" formatCode="#,##0.0000"/>
    <numFmt numFmtId="169" formatCode="###\ ##0"/>
    <numFmt numFmtId="170" formatCode="General_)"/>
    <numFmt numFmtId="171" formatCode="_-* #,##0\ _€_-;\-* #,##0\ _€_-;_-* &quot;-&quot;\ _€_-;_-@_-"/>
    <numFmt numFmtId="172" formatCode="_ * #,##0.00_ ;_ * \-#,##0.00_ ;_ * &quot;-&quot;??_ ;_ @_ "/>
    <numFmt numFmtId="173" formatCode="_-* #,##0.00\ _k_r_-;\-* #,##0.00\ _k_r_-;_-* &quot;-&quot;??\ _k_r_-;_-@_-"/>
    <numFmt numFmtId="174" formatCode="#,##0.0"/>
    <numFmt numFmtId="175" formatCode="#,##0.000"/>
    <numFmt numFmtId="176" formatCode="#,##0.00%;[Red]\(#,##0.00%\)"/>
    <numFmt numFmtId="177" formatCode="_(&quot;$&quot;* #,##0.00_);_(&quot;$&quot;* \(#,##0.00\);_(&quot;$&quot;* &quot;-&quot;??_);_(@_)"/>
    <numFmt numFmtId="178" formatCode="&quot;$&quot;#,##0\ ;\(&quot;$&quot;#,##0\)"/>
    <numFmt numFmtId="179" formatCode="&quot;$&quot;#,##0_);\(&quot;$&quot;#,##0.0\)"/>
    <numFmt numFmtId="180" formatCode="0.00_)"/>
    <numFmt numFmtId="181" formatCode="_(&quot;$&quot;* #,##0_);_(&quot;$&quot;* \(#,##0\);_(&quot;$&quot;* &quot;-&quot;_);_(@_)"/>
    <numFmt numFmtId="182" formatCode="_ * #,##0_ ;_ * \-#,##0_ ;_ * &quot;-&quot;_ ;_ @_ "/>
    <numFmt numFmtId="183" formatCode="_ &quot;\&quot;* #,##0_ ;_ &quot;\&quot;* \-#,##0_ ;_ &quot;\&quot;* &quot;-&quot;_ ;_ @_ "/>
    <numFmt numFmtId="184" formatCode="_ &quot;\&quot;* #,##0.00_ ;_ &quot;\&quot;* \-#,##0.00_ ;_ &quot;\&quot;* &quot;-&quot;??_ ;_ @_ "/>
    <numFmt numFmtId="185" formatCode="&quot;\&quot;#,##0;&quot;\&quot;\-#,##0"/>
    <numFmt numFmtId="186" formatCode="_(* #,##0.0000_);_(* \(#,##0.0000\);_(* &quot;-&quot;??_);_(@_)"/>
    <numFmt numFmtId="187" formatCode="_-&quot;$&quot;* #,##0.00_-;\-&quot;$&quot;* #,##0.00_-;_-&quot;$&quot;* &quot;-&quot;??_-;_-@_-"/>
  </numFmts>
  <fonts count="86">
    <font>
      <sz val="8"/>
      <name val="Courier"/>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b/>
      <sz val="10"/>
      <name val="Arial"/>
      <family val="2"/>
    </font>
    <font>
      <sz val="10"/>
      <name val="Arial"/>
      <family val="2"/>
    </font>
    <font>
      <sz val="8"/>
      <name val="Arial"/>
      <family val="2"/>
    </font>
    <font>
      <sz val="8"/>
      <name val="Courier"/>
      <family val="3"/>
    </font>
    <font>
      <i/>
      <sz val="8"/>
      <name val="Arial"/>
      <family val="2"/>
    </font>
    <font>
      <b/>
      <sz val="8"/>
      <name val="Arial"/>
      <family val="2"/>
    </font>
    <font>
      <u/>
      <sz val="10"/>
      <color indexed="12"/>
      <name val="Arial"/>
      <family val="2"/>
    </font>
    <font>
      <b/>
      <i/>
      <sz val="8"/>
      <name val="Arial"/>
      <family val="2"/>
    </font>
    <font>
      <sz val="8"/>
      <color indexed="8"/>
      <name val="Arial"/>
      <family val="2"/>
    </font>
    <font>
      <b/>
      <u/>
      <sz val="8.5"/>
      <color indexed="8"/>
      <name val="MS Sans Serif"/>
      <family val="2"/>
    </font>
    <font>
      <b/>
      <sz val="8.5"/>
      <color indexed="12"/>
      <name val="MS Sans Serif"/>
      <family val="2"/>
    </font>
    <font>
      <b/>
      <sz val="8"/>
      <color indexed="12"/>
      <name val="Arial"/>
      <family val="2"/>
    </font>
    <font>
      <sz val="10"/>
      <color indexed="8"/>
      <name val="MS Sans Serif"/>
      <family val="2"/>
    </font>
    <font>
      <sz val="10"/>
      <color indexed="8"/>
      <name val="Arial"/>
      <family val="2"/>
    </font>
    <font>
      <b/>
      <sz val="8"/>
      <color indexed="8"/>
      <name val="MS Sans Serif"/>
      <family val="2"/>
    </font>
    <font>
      <b/>
      <u/>
      <sz val="10"/>
      <color indexed="8"/>
      <name val="MS Sans Serif"/>
      <family val="2"/>
    </font>
    <font>
      <b/>
      <sz val="8.5"/>
      <color indexed="8"/>
      <name val="MS Sans Serif"/>
      <family val="2"/>
    </font>
    <font>
      <sz val="8"/>
      <color indexed="8"/>
      <name val="MS Sans Serif"/>
      <family val="2"/>
    </font>
    <font>
      <b/>
      <sz val="14"/>
      <name val="Helv"/>
    </font>
    <font>
      <b/>
      <sz val="12"/>
      <name val="Helv"/>
    </font>
    <font>
      <sz val="8.5"/>
      <color indexed="8"/>
      <name val="MS Sans Serif"/>
      <family val="2"/>
    </font>
    <font>
      <sz val="7.5"/>
      <color indexed="8"/>
      <name val="MS Sans Serif"/>
      <family val="2"/>
    </font>
    <font>
      <i/>
      <sz val="10"/>
      <name val="Arial"/>
      <family val="2"/>
    </font>
    <font>
      <sz val="8"/>
      <color indexed="81"/>
      <name val="Tahoma"/>
      <family val="2"/>
    </font>
    <font>
      <sz val="10"/>
      <color theme="1"/>
      <name val="Arial"/>
      <family val="2"/>
    </font>
    <font>
      <u/>
      <sz val="8"/>
      <color theme="11"/>
      <name val="Courier"/>
      <family val="3"/>
    </font>
    <font>
      <sz val="9"/>
      <color indexed="81"/>
      <name val="Courier"/>
      <family val="3"/>
    </font>
    <font>
      <b/>
      <sz val="9"/>
      <color indexed="81"/>
      <name val="Courier"/>
      <family val="3"/>
    </font>
    <font>
      <sz val="9"/>
      <color indexed="81"/>
      <name val="Tahoma"/>
      <family val="2"/>
    </font>
    <font>
      <b/>
      <sz val="9"/>
      <color indexed="81"/>
      <name val="Tahoma"/>
      <family val="2"/>
    </font>
    <font>
      <b/>
      <sz val="15"/>
      <color theme="3"/>
      <name val="Arial"/>
      <family val="2"/>
    </font>
    <font>
      <b/>
      <sz val="13"/>
      <color theme="3"/>
      <name val="Arial"/>
      <family val="2"/>
    </font>
    <font>
      <b/>
      <sz val="10"/>
      <color theme="1"/>
      <name val="Arial"/>
      <family val="2"/>
    </font>
    <font>
      <sz val="10"/>
      <color theme="0"/>
      <name val="Arial"/>
      <family val="2"/>
    </font>
    <font>
      <sz val="10"/>
      <name val="Times New Roman"/>
      <family val="1"/>
    </font>
    <font>
      <sz val="11"/>
      <name val="µ¸¿ò"/>
      <charset val="129"/>
    </font>
    <font>
      <sz val="9"/>
      <color indexed="9"/>
      <name val="Times"/>
      <family val="1"/>
    </font>
    <font>
      <sz val="9"/>
      <color indexed="8"/>
      <name val="Times"/>
      <family val="1"/>
    </font>
    <font>
      <sz val="11"/>
      <color theme="1"/>
      <name val="Calibri"/>
      <family val="2"/>
      <scheme val="minor"/>
    </font>
    <font>
      <sz val="10"/>
      <name val="Helvetica"/>
      <family val="2"/>
    </font>
    <font>
      <sz val="9"/>
      <name val="Times New Roman"/>
      <family val="1"/>
    </font>
    <font>
      <b/>
      <sz val="12"/>
      <color indexed="12"/>
      <name val="Bookman"/>
      <family val="1"/>
    </font>
    <font>
      <b/>
      <i/>
      <u/>
      <sz val="10"/>
      <color indexed="10"/>
      <name val="Bookman"/>
      <family val="1"/>
    </font>
    <font>
      <b/>
      <sz val="12"/>
      <name val="Arial"/>
      <family val="2"/>
    </font>
    <font>
      <u/>
      <sz val="10"/>
      <color indexed="36"/>
      <name val="Arial"/>
      <family val="2"/>
    </font>
    <font>
      <u/>
      <sz val="10"/>
      <color indexed="12"/>
      <name val="MS Sans Serif"/>
      <family val="2"/>
    </font>
    <font>
      <u/>
      <sz val="7.5"/>
      <color indexed="12"/>
      <name val="Courier"/>
      <family val="3"/>
    </font>
    <font>
      <u/>
      <sz val="10"/>
      <color theme="10"/>
      <name val="Arial"/>
      <family val="2"/>
    </font>
    <font>
      <sz val="11"/>
      <color indexed="8"/>
      <name val="Calibri"/>
      <family val="2"/>
    </font>
    <font>
      <b/>
      <i/>
      <sz val="16"/>
      <name val="Helv"/>
    </font>
    <font>
      <sz val="10"/>
      <name val="MS Sans Serif"/>
      <family val="2"/>
    </font>
    <font>
      <sz val="10"/>
      <color indexed="8"/>
      <name val="Times"/>
      <family val="1"/>
    </font>
    <font>
      <sz val="9"/>
      <name val="Times"/>
      <family val="1"/>
    </font>
    <font>
      <sz val="11"/>
      <color theme="1"/>
      <name val="Calibri"/>
      <family val="2"/>
    </font>
    <font>
      <i/>
      <sz val="6"/>
      <name val="Arial"/>
      <family val="2"/>
      <charset val="177"/>
    </font>
    <font>
      <b/>
      <sz val="10"/>
      <color indexed="8"/>
      <name val="MS Sans Serif"/>
      <family val="2"/>
    </font>
    <font>
      <sz val="11"/>
      <color rgb="FF000000"/>
      <name val="Calibri"/>
      <family val="2"/>
      <charset val="1"/>
    </font>
    <font>
      <i/>
      <sz val="8"/>
      <name val="Tms Rmn"/>
    </font>
    <font>
      <b/>
      <sz val="8"/>
      <name val="Tms Rmn"/>
    </font>
    <font>
      <sz val="10"/>
      <name val="Times"/>
      <family val="1"/>
    </font>
    <font>
      <sz val="10"/>
      <color indexed="24"/>
      <name val="MS Sans Serif"/>
      <family val="2"/>
    </font>
    <font>
      <sz val="12"/>
      <name val="돋움체"/>
      <family val="3"/>
      <charset val="129"/>
    </font>
    <font>
      <sz val="8"/>
      <name val="Courier"/>
      <family val="3"/>
    </font>
    <font>
      <sz val="8"/>
      <name val="Arial"/>
      <family val="2"/>
      <charset val="238"/>
    </font>
    <font>
      <sz val="10"/>
      <color rgb="FF000000"/>
      <name val="Arial"/>
      <family val="2"/>
      <charset val="1"/>
    </font>
    <font>
      <sz val="8"/>
      <name val="Arial Narrow"/>
      <family val="2"/>
    </font>
    <font>
      <u/>
      <sz val="8"/>
      <name val="Arial"/>
      <family val="2"/>
    </font>
    <font>
      <i/>
      <sz val="8"/>
      <name val="Arial Narrow"/>
      <family val="2"/>
    </font>
    <font>
      <sz val="8"/>
      <color theme="1"/>
      <name val="Calibri"/>
      <family val="2"/>
    </font>
    <font>
      <b/>
      <sz val="8"/>
      <color theme="1"/>
      <name val="Calibri"/>
      <family val="2"/>
    </font>
    <font>
      <b/>
      <sz val="8"/>
      <color rgb="FF000000"/>
      <name val="Arial Narrow"/>
      <family val="2"/>
    </font>
    <font>
      <i/>
      <sz val="8"/>
      <color rgb="FF000000"/>
      <name val="Arial Narrow"/>
      <family val="2"/>
    </font>
    <font>
      <sz val="8"/>
      <color rgb="FF000000"/>
      <name val="Arial Narrow"/>
      <family val="2"/>
    </font>
    <font>
      <sz val="10"/>
      <color rgb="FF000000"/>
      <name val="Arial Narrow"/>
      <family val="2"/>
    </font>
    <font>
      <b/>
      <sz val="10"/>
      <color rgb="FF000000"/>
      <name val="Arial Narrow"/>
      <family val="2"/>
    </font>
    <font>
      <i/>
      <sz val="10"/>
      <color rgb="FF000000"/>
      <name val="Arial Narrow"/>
      <family val="2"/>
    </font>
    <font>
      <i/>
      <sz val="9"/>
      <color rgb="FF000000"/>
      <name val="Arial Narrow"/>
      <family val="2"/>
    </font>
    <font>
      <u/>
      <sz val="8"/>
      <color indexed="12"/>
      <name val="Arial"/>
      <family val="2"/>
    </font>
    <font>
      <sz val="10"/>
      <color rgb="FF010000"/>
      <name val="Arial"/>
      <family val="2"/>
    </font>
  </fonts>
  <fills count="25">
    <fill>
      <patternFill patternType="none"/>
    </fill>
    <fill>
      <patternFill patternType="gray125"/>
    </fill>
    <fill>
      <patternFill patternType="solid">
        <fgColor indexed="31"/>
        <bgColor indexed="64"/>
      </patternFill>
    </fill>
    <fill>
      <patternFill patternType="solid">
        <fgColor indexed="44"/>
        <bgColor indexed="8"/>
      </patternFill>
    </fill>
    <fill>
      <patternFill patternType="solid">
        <fgColor indexed="22"/>
        <bgColor indexed="64"/>
      </patternFill>
    </fill>
    <fill>
      <patternFill patternType="solid">
        <fgColor indexed="22"/>
        <bgColor indexed="10"/>
      </patternFill>
    </fill>
    <fill>
      <patternFill patternType="solid">
        <fgColor indexed="9"/>
        <bgColor indexed="64"/>
      </patternFill>
    </fill>
    <fill>
      <patternFill patternType="solid">
        <fgColor indexed="22"/>
        <bgColor indexed="8"/>
      </patternFill>
    </fill>
    <fill>
      <patternFill patternType="solid">
        <fgColor indexed="10"/>
        <bgColor indexed="64"/>
      </patternFill>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FFFF00"/>
        <bgColor indexed="64"/>
      </patternFill>
    </fill>
    <fill>
      <patternFill patternType="solid">
        <fgColor theme="0" tint="-4.9989318521683403E-2"/>
        <bgColor indexed="64"/>
      </patternFill>
    </fill>
    <fill>
      <patternFill patternType="solid">
        <fgColor rgb="FFFFFFCC"/>
      </patternFill>
    </fill>
    <fill>
      <patternFill patternType="solid">
        <fgColor theme="4" tint="0.39997558519241921"/>
        <bgColor indexed="65"/>
      </patternFill>
    </fill>
    <fill>
      <patternFill patternType="solid">
        <fgColor theme="5" tint="0.39997558519241921"/>
        <bgColor indexed="65"/>
      </patternFill>
    </fill>
    <fill>
      <patternFill patternType="solid">
        <fgColor indexed="63"/>
        <bgColor indexed="64"/>
      </patternFill>
    </fill>
    <fill>
      <patternFill patternType="solid">
        <fgColor indexed="10"/>
        <bgColor indexed="8"/>
      </patternFill>
    </fill>
    <fill>
      <patternFill patternType="solid">
        <fgColor indexed="26"/>
      </patternFill>
    </fill>
    <fill>
      <patternFill patternType="solid">
        <fgColor indexed="44"/>
        <bgColor indexed="10"/>
      </patternFill>
    </fill>
    <fill>
      <patternFill patternType="solid">
        <fgColor theme="3" tint="0.59999389629810485"/>
        <bgColor indexed="64"/>
      </patternFill>
    </fill>
    <fill>
      <patternFill patternType="solid">
        <fgColor theme="0" tint="-4.9195837275307477E-2"/>
        <bgColor indexed="64"/>
      </patternFill>
    </fill>
    <fill>
      <patternFill patternType="solid">
        <fgColor rgb="FFDBE5F1"/>
        <bgColor indexed="64"/>
      </patternFill>
    </fill>
  </fills>
  <borders count="97">
    <border>
      <left/>
      <right/>
      <top/>
      <bottom/>
      <diagonal/>
    </border>
    <border>
      <left style="double">
        <color auto="1"/>
      </left>
      <right style="double">
        <color auto="1"/>
      </right>
      <top style="double">
        <color auto="1"/>
      </top>
      <bottom style="double">
        <color auto="1"/>
      </bottom>
      <diagonal/>
    </border>
    <border>
      <left style="thick">
        <color auto="1"/>
      </left>
      <right style="thick">
        <color auto="1"/>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ck">
        <color indexed="63"/>
      </top>
      <bottom/>
      <diagonal/>
    </border>
    <border>
      <left style="thin">
        <color auto="1"/>
      </left>
      <right/>
      <top/>
      <bottom/>
      <diagonal/>
    </border>
    <border>
      <left/>
      <right style="thin">
        <color auto="1"/>
      </right>
      <top/>
      <bottom/>
      <diagonal/>
    </border>
    <border>
      <left style="thin">
        <color auto="1"/>
      </left>
      <right style="thin">
        <color auto="1"/>
      </right>
      <top style="thin">
        <color auto="1"/>
      </top>
      <bottom/>
      <diagonal/>
    </border>
    <border>
      <left style="thin">
        <color auto="1"/>
      </left>
      <right/>
      <top/>
      <bottom style="thin">
        <color auto="1"/>
      </bottom>
      <diagonal/>
    </border>
    <border>
      <left style="thin">
        <color auto="1"/>
      </left>
      <right/>
      <top style="thin">
        <color auto="1"/>
      </top>
      <bottom/>
      <diagonal/>
    </border>
    <border>
      <left style="medium">
        <color auto="1"/>
      </left>
      <right style="thin">
        <color auto="1"/>
      </right>
      <top/>
      <bottom/>
      <diagonal/>
    </border>
    <border>
      <left/>
      <right style="thin">
        <color auto="1"/>
      </right>
      <top/>
      <bottom style="thin">
        <color auto="1"/>
      </bottom>
      <diagonal/>
    </border>
    <border>
      <left/>
      <right style="thin">
        <color auto="1"/>
      </right>
      <top style="thin">
        <color auto="1"/>
      </top>
      <bottom/>
      <diagonal/>
    </border>
    <border>
      <left style="medium">
        <color auto="1"/>
      </left>
      <right style="thin">
        <color auto="1"/>
      </right>
      <top style="medium">
        <color auto="1"/>
      </top>
      <bottom/>
      <diagonal/>
    </border>
    <border>
      <left/>
      <right style="medium">
        <color auto="1"/>
      </right>
      <top/>
      <bottom/>
      <diagonal/>
    </border>
    <border>
      <left/>
      <right style="medium">
        <color auto="1"/>
      </right>
      <top/>
      <bottom style="medium">
        <color auto="1"/>
      </bottom>
      <diagonal/>
    </border>
    <border>
      <left/>
      <right/>
      <top style="medium">
        <color auto="1"/>
      </top>
      <bottom/>
      <diagonal/>
    </border>
    <border>
      <left/>
      <right/>
      <top/>
      <bottom style="medium">
        <color auto="1"/>
      </bottom>
      <diagonal/>
    </border>
    <border>
      <left style="medium">
        <color auto="1"/>
      </left>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right style="medium">
        <color auto="1"/>
      </right>
      <top style="medium">
        <color auto="1"/>
      </top>
      <bottom style="medium">
        <color auto="1"/>
      </bottom>
      <diagonal/>
    </border>
    <border>
      <left style="medium">
        <color auto="1"/>
      </left>
      <right style="thin">
        <color auto="1"/>
      </right>
      <top/>
      <bottom style="medium">
        <color auto="1"/>
      </bottom>
      <diagonal/>
    </border>
    <border>
      <left style="thin">
        <color auto="1"/>
      </left>
      <right/>
      <top/>
      <bottom style="medium">
        <color auto="1"/>
      </bottom>
      <diagonal/>
    </border>
    <border>
      <left style="medium">
        <color auto="1"/>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style="thin">
        <color auto="1"/>
      </right>
      <top/>
      <bottom style="medium">
        <color auto="1"/>
      </bottom>
      <diagonal/>
    </border>
    <border>
      <left style="medium">
        <color auto="1"/>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style="thin">
        <color auto="1"/>
      </left>
      <right style="thin">
        <color auto="1"/>
      </right>
      <top style="medium">
        <color auto="1"/>
      </top>
      <bottom/>
      <diagonal/>
    </border>
    <border>
      <left/>
      <right/>
      <top/>
      <bottom style="thick">
        <color theme="4"/>
      </bottom>
      <diagonal/>
    </border>
    <border>
      <left/>
      <right/>
      <top/>
      <bottom style="thick">
        <color theme="4" tint="0.499984740745262"/>
      </bottom>
      <diagonal/>
    </border>
    <border>
      <left style="thin">
        <color rgb="FFB2B2B2"/>
      </left>
      <right style="thin">
        <color rgb="FFB2B2B2"/>
      </right>
      <top style="thin">
        <color rgb="FFB2B2B2"/>
      </top>
      <bottom style="thin">
        <color rgb="FFB2B2B2"/>
      </bottom>
      <diagonal/>
    </border>
    <border>
      <left style="thin">
        <color auto="1"/>
      </left>
      <right style="medium">
        <color auto="1"/>
      </right>
      <top/>
      <bottom/>
      <diagonal/>
    </border>
    <border>
      <left style="thin">
        <color auto="1"/>
      </left>
      <right style="medium">
        <color auto="1"/>
      </right>
      <top/>
      <bottom style="thin">
        <color auto="1"/>
      </bottom>
      <diagonal/>
    </border>
    <border>
      <left style="medium">
        <color auto="1"/>
      </left>
      <right style="thin">
        <color auto="1"/>
      </right>
      <top/>
      <bottom style="thin">
        <color auto="1"/>
      </bottom>
      <diagonal/>
    </border>
    <border>
      <left style="medium">
        <color auto="1"/>
      </left>
      <right/>
      <top style="thin">
        <color auto="1"/>
      </top>
      <bottom style="thin">
        <color auto="1"/>
      </bottom>
      <diagonal/>
    </border>
    <border>
      <left/>
      <right style="medium">
        <color auto="1"/>
      </right>
      <top style="medium">
        <color auto="1"/>
      </top>
      <bottom style="thin">
        <color auto="1"/>
      </bottom>
      <diagonal/>
    </border>
    <border>
      <left/>
      <right/>
      <top style="medium">
        <color auto="1"/>
      </top>
      <bottom style="thin">
        <color auto="1"/>
      </bottom>
      <diagonal/>
    </border>
    <border>
      <left style="medium">
        <color auto="1"/>
      </left>
      <right/>
      <top style="medium">
        <color auto="1"/>
      </top>
      <bottom style="thin">
        <color auto="1"/>
      </bottom>
      <diagonal/>
    </border>
    <border>
      <left style="thin">
        <color auto="1"/>
      </left>
      <right style="medium">
        <color auto="1"/>
      </right>
      <top style="medium">
        <color auto="1"/>
      </top>
      <bottom/>
      <diagonal/>
    </border>
    <border>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medium">
        <color auto="1"/>
      </left>
      <right/>
      <top/>
      <bottom style="thin">
        <color auto="1"/>
      </bottom>
      <diagonal/>
    </border>
    <border>
      <left style="thin">
        <color auto="1"/>
      </left>
      <right/>
      <top style="medium">
        <color auto="1"/>
      </top>
      <bottom style="thin">
        <color auto="1"/>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8"/>
      </right>
      <top style="thin">
        <color indexed="8"/>
      </top>
      <bottom style="thin">
        <color indexed="8"/>
      </bottom>
      <diagonal/>
    </border>
    <border>
      <left/>
      <right/>
      <top style="thin">
        <color auto="1"/>
      </top>
      <bottom style="thin">
        <color auto="1"/>
      </bottom>
      <diagonal/>
    </border>
    <border>
      <left style="thin">
        <color indexed="8"/>
      </left>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auto="1"/>
      </left>
      <right/>
      <top style="thin">
        <color indexed="64"/>
      </top>
      <bottom style="thin">
        <color auto="1"/>
      </bottom>
      <diagonal/>
    </border>
    <border>
      <left/>
      <right style="thin">
        <color auto="1"/>
      </right>
      <top style="thin">
        <color indexed="64"/>
      </top>
      <bottom style="thin">
        <color auto="1"/>
      </bottom>
      <diagonal/>
    </border>
    <border>
      <left/>
      <right style="thin">
        <color auto="1"/>
      </right>
      <top style="thin">
        <color auto="1"/>
      </top>
      <bottom/>
      <diagonal/>
    </border>
    <border>
      <left style="thin">
        <color auto="1"/>
      </left>
      <right/>
      <top style="thin">
        <color auto="1"/>
      </top>
      <bottom/>
      <diagonal/>
    </border>
    <border>
      <left/>
      <right/>
      <top style="thin">
        <color auto="1"/>
      </top>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auto="1"/>
      </left>
      <right/>
      <top style="thin">
        <color auto="1"/>
      </top>
      <bottom/>
      <diagonal/>
    </border>
    <border>
      <left/>
      <right style="medium">
        <color auto="1"/>
      </right>
      <top style="thin">
        <color auto="1"/>
      </top>
      <bottom/>
      <diagonal/>
    </border>
    <border>
      <left/>
      <right style="thin">
        <color auto="1"/>
      </right>
      <top style="medium">
        <color auto="1"/>
      </top>
      <bottom/>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right style="thin">
        <color rgb="FF000000"/>
      </right>
      <top/>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s>
  <cellStyleXfs count="29820">
    <xf numFmtId="0" fontId="0" fillId="0" borderId="0"/>
    <xf numFmtId="0" fontId="9" fillId="2" borderId="1"/>
    <xf numFmtId="0" fontId="21" fillId="3" borderId="2">
      <alignment horizontal="right" vertical="top" wrapText="1"/>
    </xf>
    <xf numFmtId="0" fontId="9" fillId="0" borderId="3"/>
    <xf numFmtId="0" fontId="16" fillId="4" borderId="0">
      <alignment horizontal="center"/>
    </xf>
    <xf numFmtId="0" fontId="17" fillId="4" borderId="0">
      <alignment horizontal="center" vertical="center"/>
    </xf>
    <xf numFmtId="0" fontId="8" fillId="5" borderId="0">
      <alignment horizontal="center" wrapText="1"/>
    </xf>
    <xf numFmtId="0" fontId="18" fillId="4" borderId="0">
      <alignment horizontal="center"/>
    </xf>
    <xf numFmtId="165" fontId="31" fillId="0" borderId="0" applyFont="0" applyFill="0" applyBorder="0" applyAlignment="0" applyProtection="0"/>
    <xf numFmtId="0" fontId="19" fillId="6" borderId="1" applyBorder="0">
      <protection locked="0"/>
    </xf>
    <xf numFmtId="0" fontId="27" fillId="6" borderId="1">
      <protection locked="0"/>
    </xf>
    <xf numFmtId="0" fontId="8" fillId="6" borderId="3"/>
    <xf numFmtId="0" fontId="8" fillId="4" borderId="0"/>
    <xf numFmtId="0" fontId="15" fillId="4" borderId="3">
      <alignment horizontal="left"/>
    </xf>
    <xf numFmtId="0" fontId="20" fillId="4" borderId="0">
      <alignment horizontal="left"/>
    </xf>
    <xf numFmtId="0" fontId="21" fillId="7" borderId="0">
      <alignment horizontal="right" vertical="top" textRotation="90" wrapText="1"/>
    </xf>
    <xf numFmtId="0" fontId="13" fillId="0" borderId="0" applyNumberFormat="0" applyFill="0" applyBorder="0" applyAlignment="0" applyProtection="0">
      <alignment vertical="top"/>
      <protection locked="0"/>
    </xf>
    <xf numFmtId="0" fontId="7" fillId="5" borderId="0">
      <alignment horizontal="center"/>
    </xf>
    <xf numFmtId="0" fontId="8" fillId="4" borderId="3">
      <alignment horizontal="centerContinuous" wrapText="1"/>
    </xf>
    <xf numFmtId="0" fontId="23" fillId="8" borderId="0">
      <alignment horizontal="center"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5"/>
    <xf numFmtId="0" fontId="9" fillId="4" borderId="6"/>
    <xf numFmtId="0" fontId="9" fillId="4" borderId="7">
      <alignment horizontal="center" wrapText="1"/>
    </xf>
    <xf numFmtId="0" fontId="8"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8" fillId="0" borderId="0"/>
    <xf numFmtId="0" fontId="8"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8" fillId="0" borderId="0"/>
    <xf numFmtId="0" fontId="8" fillId="0" borderId="0"/>
    <xf numFmtId="0" fontId="9" fillId="0" borderId="0"/>
    <xf numFmtId="0" fontId="8" fillId="0" borderId="0"/>
    <xf numFmtId="0" fontId="8" fillId="0" borderId="0"/>
    <xf numFmtId="0" fontId="8" fillId="0" borderId="0"/>
    <xf numFmtId="9" fontId="8" fillId="0" borderId="0" applyFont="0" applyFill="0" applyBorder="0" applyAlignment="0" applyProtection="0"/>
    <xf numFmtId="9" fontId="8" fillId="0" borderId="0" applyNumberFormat="0" applyFont="0" applyFill="0" applyBorder="0" applyAlignment="0" applyProtection="0"/>
    <xf numFmtId="0" fontId="9" fillId="4" borderId="3"/>
    <xf numFmtId="0" fontId="17" fillId="4" borderId="0">
      <alignment horizontal="right"/>
    </xf>
    <xf numFmtId="0" fontId="22" fillId="8" borderId="0">
      <alignment horizontal="center"/>
    </xf>
    <xf numFmtId="0" fontId="24" fillId="7" borderId="3">
      <alignment horizontal="left" vertical="top" wrapText="1"/>
    </xf>
    <xf numFmtId="0" fontId="28" fillId="7" borderId="8">
      <alignment horizontal="left" vertical="top" wrapText="1"/>
    </xf>
    <xf numFmtId="0" fontId="24" fillId="7" borderId="9">
      <alignment horizontal="left" vertical="top" wrapText="1"/>
    </xf>
    <xf numFmtId="0" fontId="24" fillId="7" borderId="8">
      <alignment horizontal="left" vertical="top"/>
    </xf>
    <xf numFmtId="0" fontId="25" fillId="0" borderId="10"/>
    <xf numFmtId="0" fontId="26" fillId="0" borderId="0"/>
    <xf numFmtId="0" fontId="16" fillId="4" borderId="0">
      <alignment horizontal="center"/>
    </xf>
    <xf numFmtId="0" fontId="12" fillId="4" borderId="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8" fillId="0" borderId="0"/>
    <xf numFmtId="0" fontId="6" fillId="0" borderId="0"/>
    <xf numFmtId="0" fontId="6" fillId="0" borderId="0"/>
    <xf numFmtId="0" fontId="40" fillId="16" borderId="0" applyNumberFormat="0" applyBorder="0" applyAlignment="0" applyProtection="0"/>
    <xf numFmtId="0" fontId="40" fillId="17" borderId="0" applyNumberFormat="0" applyBorder="0" applyAlignment="0" applyProtection="0"/>
    <xf numFmtId="0" fontId="41" fillId="0" borderId="4">
      <alignment horizontal="center" vertical="center"/>
    </xf>
    <xf numFmtId="0" fontId="9" fillId="2" borderId="1"/>
    <xf numFmtId="0" fontId="9" fillId="18" borderId="1"/>
    <xf numFmtId="0" fontId="42" fillId="0" borderId="0"/>
    <xf numFmtId="170" fontId="43" fillId="0" borderId="0">
      <alignment vertical="top"/>
    </xf>
    <xf numFmtId="0" fontId="9" fillId="0" borderId="3"/>
    <xf numFmtId="0" fontId="9" fillId="0" borderId="3"/>
    <xf numFmtId="0" fontId="9" fillId="0" borderId="1"/>
    <xf numFmtId="0" fontId="9" fillId="0" borderId="1"/>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1"/>
    <xf numFmtId="0" fontId="24" fillId="19" borderId="55">
      <alignment horizontal="left" vertical="top" wrapText="1"/>
    </xf>
    <xf numFmtId="0" fontId="8" fillId="5" borderId="0">
      <alignment horizontal="center" wrapText="1"/>
    </xf>
    <xf numFmtId="0" fontId="8" fillId="5" borderId="0">
      <alignment horizontal="center" wrapText="1"/>
    </xf>
    <xf numFmtId="0" fontId="8" fillId="5" borderId="0">
      <alignment horizontal="center" wrapText="1"/>
    </xf>
    <xf numFmtId="0" fontId="8" fillId="5" borderId="0">
      <alignment horizontal="center" wrapText="1"/>
    </xf>
    <xf numFmtId="0" fontId="8" fillId="5" borderId="0">
      <alignment horizontal="center" wrapText="1"/>
    </xf>
    <xf numFmtId="0" fontId="8" fillId="5" borderId="0">
      <alignment horizontal="center" wrapText="1"/>
    </xf>
    <xf numFmtId="0" fontId="8" fillId="5" borderId="0">
      <alignment horizontal="center" wrapText="1"/>
    </xf>
    <xf numFmtId="0" fontId="8" fillId="5" borderId="0">
      <alignment horizontal="center" wrapText="1"/>
    </xf>
    <xf numFmtId="0" fontId="8" fillId="5" borderId="0">
      <alignment horizontal="center" wrapText="1"/>
    </xf>
    <xf numFmtId="0" fontId="8" fillId="5" borderId="0">
      <alignment horizontal="center" wrapText="1"/>
    </xf>
    <xf numFmtId="0" fontId="8" fillId="5" borderId="0">
      <alignment horizontal="center" wrapText="1"/>
    </xf>
    <xf numFmtId="0" fontId="8" fillId="5" borderId="0">
      <alignment horizontal="center" wrapText="1"/>
    </xf>
    <xf numFmtId="0" fontId="8" fillId="5" borderId="0">
      <alignment horizontal="center" wrapText="1"/>
    </xf>
    <xf numFmtId="0" fontId="8" fillId="5" borderId="0">
      <alignment horizontal="center" wrapText="1"/>
    </xf>
    <xf numFmtId="0" fontId="8" fillId="5" borderId="0">
      <alignment horizontal="center" wrapText="1"/>
    </xf>
    <xf numFmtId="0" fontId="8" fillId="5" borderId="0">
      <alignment horizontal="center" wrapText="1"/>
    </xf>
    <xf numFmtId="0" fontId="8" fillId="5" borderId="0">
      <alignment horizontal="center" wrapText="1"/>
    </xf>
    <xf numFmtId="0" fontId="8" fillId="5" borderId="0">
      <alignment horizontal="center" wrapText="1"/>
    </xf>
    <xf numFmtId="0" fontId="8" fillId="5" borderId="0">
      <alignment horizontal="center" wrapText="1"/>
    </xf>
    <xf numFmtId="0" fontId="8" fillId="5" borderId="0">
      <alignment horizontal="center" wrapText="1"/>
    </xf>
    <xf numFmtId="0" fontId="8" fillId="5" borderId="0">
      <alignment horizontal="center" wrapText="1"/>
    </xf>
    <xf numFmtId="0" fontId="8" fillId="5" borderId="0">
      <alignment horizontal="center" wrapText="1"/>
    </xf>
    <xf numFmtId="7" fontId="41" fillId="0" borderId="0" applyFont="0" applyFill="0" applyBorder="0" applyProtection="0">
      <alignment horizontal="right" vertical="top"/>
    </xf>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 fontId="44" fillId="0" borderId="0">
      <alignment vertical="top"/>
    </xf>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72" fontId="8" fillId="0" borderId="0" applyFont="0" applyFill="0" applyBorder="0" applyAlignment="0" applyProtection="0"/>
    <xf numFmtId="165" fontId="45" fillId="0" borderId="0" applyFont="0" applyFill="0" applyBorder="0" applyAlignment="0" applyProtection="0"/>
    <xf numFmtId="173" fontId="4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72" fontId="8"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41" fillId="0" borderId="0" applyFont="0" applyFill="0" applyBorder="0" applyAlignment="0" applyProtection="0"/>
    <xf numFmtId="165" fontId="41" fillId="0" borderId="0" applyFont="0" applyFill="0" applyBorder="0" applyAlignment="0" applyProtection="0"/>
    <xf numFmtId="172" fontId="8"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72" fontId="8" fillId="0" borderId="0" applyFont="0" applyFill="0" applyBorder="0" applyAlignment="0" applyProtection="0"/>
    <xf numFmtId="165" fontId="10" fillId="0" borderId="0" applyFont="0" applyFill="0" applyBorder="0" applyAlignment="0" applyProtection="0"/>
    <xf numFmtId="3" fontId="44" fillId="0" borderId="0" applyFill="0" applyBorder="0">
      <alignment horizontal="right" vertical="top"/>
    </xf>
    <xf numFmtId="174" fontId="43" fillId="0" borderId="0" applyFont="0" applyFill="0" applyBorder="0">
      <alignment horizontal="right" vertical="top"/>
    </xf>
    <xf numFmtId="175" fontId="44" fillId="0" borderId="0" applyFill="0" applyBorder="0">
      <alignment horizontal="right" vertical="top"/>
    </xf>
    <xf numFmtId="3" fontId="44" fillId="0" borderId="0" applyFill="0" applyBorder="0">
      <alignment horizontal="right" vertical="top"/>
    </xf>
    <xf numFmtId="174" fontId="43" fillId="0" borderId="0" applyFont="0" applyFill="0" applyBorder="0">
      <alignment horizontal="right" vertical="top"/>
    </xf>
    <xf numFmtId="176" fontId="47" fillId="0" borderId="0" applyFont="0" applyFill="0" applyBorder="0" applyAlignment="0" applyProtection="0">
      <alignment horizontal="right" vertical="top"/>
    </xf>
    <xf numFmtId="175" fontId="44" fillId="0" borderId="0">
      <alignment horizontal="right" vertical="top"/>
    </xf>
    <xf numFmtId="3" fontId="8" fillId="0" borderId="0" applyFont="0" applyFill="0" applyBorder="0" applyAlignment="0" applyProtection="0"/>
    <xf numFmtId="177" fontId="45" fillId="0" borderId="0" applyFont="0" applyFill="0" applyBorder="0" applyAlignment="0" applyProtection="0"/>
    <xf numFmtId="178" fontId="8" fillId="0" borderId="0" applyFont="0" applyFill="0" applyBorder="0" applyAlignment="0" applyProtection="0"/>
    <xf numFmtId="0" fontId="19" fillId="6" borderId="3">
      <protection locked="0"/>
    </xf>
    <xf numFmtId="0" fontId="19" fillId="6" borderId="3">
      <protection locked="0"/>
    </xf>
    <xf numFmtId="0" fontId="19" fillId="6" borderId="3">
      <protection locked="0"/>
    </xf>
    <xf numFmtId="0" fontId="19" fillId="6" borderId="3">
      <protection locked="0"/>
    </xf>
    <xf numFmtId="0" fontId="19" fillId="6" borderId="3">
      <protection locked="0"/>
    </xf>
    <xf numFmtId="0" fontId="19" fillId="6" borderId="3">
      <protection locked="0"/>
    </xf>
    <xf numFmtId="0" fontId="19" fillId="6" borderId="1" applyBorder="0">
      <protection locked="0"/>
    </xf>
    <xf numFmtId="0" fontId="19" fillId="6" borderId="1" applyBorder="0">
      <protection locked="0"/>
    </xf>
    <xf numFmtId="0" fontId="19" fillId="6" borderId="1" applyBorder="0">
      <protection locked="0"/>
    </xf>
    <xf numFmtId="0" fontId="19" fillId="6" borderId="1" applyBorder="0">
      <protection locked="0"/>
    </xf>
    <xf numFmtId="0" fontId="19" fillId="6" borderId="3">
      <protection locked="0"/>
    </xf>
    <xf numFmtId="0" fontId="19" fillId="6" borderId="3">
      <protection locked="0"/>
    </xf>
    <xf numFmtId="0" fontId="19" fillId="6" borderId="3">
      <protection locked="0"/>
    </xf>
    <xf numFmtId="0" fontId="19" fillId="6" borderId="3">
      <protection locked="0"/>
    </xf>
    <xf numFmtId="0" fontId="19" fillId="6" borderId="3">
      <protection locked="0"/>
    </xf>
    <xf numFmtId="0" fontId="19" fillId="6" borderId="3">
      <protection locked="0"/>
    </xf>
    <xf numFmtId="0" fontId="19" fillId="6" borderId="3">
      <protection locked="0"/>
    </xf>
    <xf numFmtId="0" fontId="19" fillId="6" borderId="3">
      <protection locked="0"/>
    </xf>
    <xf numFmtId="0" fontId="19" fillId="6" borderId="3">
      <protection locked="0"/>
    </xf>
    <xf numFmtId="0" fontId="19" fillId="6" borderId="3">
      <protection locked="0"/>
    </xf>
    <xf numFmtId="0" fontId="19" fillId="6" borderId="3">
      <protection locked="0"/>
    </xf>
    <xf numFmtId="0" fontId="19" fillId="6" borderId="3">
      <protection locked="0"/>
    </xf>
    <xf numFmtId="0" fontId="19" fillId="6" borderId="3">
      <protection locked="0"/>
    </xf>
    <xf numFmtId="0" fontId="19" fillId="6" borderId="3">
      <protection locked="0"/>
    </xf>
    <xf numFmtId="0" fontId="19" fillId="6" borderId="3">
      <protection locked="0"/>
    </xf>
    <xf numFmtId="0" fontId="19" fillId="6" borderId="3">
      <protection locked="0"/>
    </xf>
    <xf numFmtId="0" fontId="19" fillId="6" borderId="3">
      <protection locked="0"/>
    </xf>
    <xf numFmtId="0" fontId="19" fillId="6" borderId="3">
      <protection locked="0"/>
    </xf>
    <xf numFmtId="0" fontId="19" fillId="6" borderId="3">
      <protection locked="0"/>
    </xf>
    <xf numFmtId="0" fontId="19" fillId="6" borderId="3">
      <protection locked="0"/>
    </xf>
    <xf numFmtId="0" fontId="19" fillId="6" borderId="3">
      <protection locked="0"/>
    </xf>
    <xf numFmtId="0" fontId="19" fillId="6" borderId="3">
      <protection locked="0"/>
    </xf>
    <xf numFmtId="0" fontId="19" fillId="6" borderId="3">
      <protection locked="0"/>
    </xf>
    <xf numFmtId="0" fontId="19" fillId="6" borderId="3">
      <protection locked="0"/>
    </xf>
    <xf numFmtId="0" fontId="19" fillId="6" borderId="3">
      <protection locked="0"/>
    </xf>
    <xf numFmtId="0" fontId="19" fillId="6" borderId="3">
      <protection locked="0"/>
    </xf>
    <xf numFmtId="0" fontId="19" fillId="6" borderId="3">
      <protection locked="0"/>
    </xf>
    <xf numFmtId="0" fontId="19" fillId="6" borderId="3">
      <protection locked="0"/>
    </xf>
    <xf numFmtId="0" fontId="19" fillId="6" borderId="3">
      <protection locked="0"/>
    </xf>
    <xf numFmtId="0" fontId="19" fillId="6" borderId="3">
      <protection locked="0"/>
    </xf>
    <xf numFmtId="0" fontId="19" fillId="6" borderId="3">
      <protection locked="0"/>
    </xf>
    <xf numFmtId="0" fontId="19" fillId="6" borderId="3">
      <protection locked="0"/>
    </xf>
    <xf numFmtId="0" fontId="19" fillId="6" borderId="3">
      <protection locked="0"/>
    </xf>
    <xf numFmtId="0" fontId="19" fillId="6" borderId="3">
      <protection locked="0"/>
    </xf>
    <xf numFmtId="0" fontId="19" fillId="6" borderId="3">
      <protection locked="0"/>
    </xf>
    <xf numFmtId="0" fontId="19" fillId="6" borderId="3">
      <protection locked="0"/>
    </xf>
    <xf numFmtId="0" fontId="19" fillId="6" borderId="3">
      <protection locked="0"/>
    </xf>
    <xf numFmtId="0" fontId="19" fillId="6" borderId="1" applyBorder="0">
      <protection locked="0"/>
    </xf>
    <xf numFmtId="0" fontId="8" fillId="0" borderId="0" applyFont="0" applyFill="0" applyBorder="0" applyAlignment="0" applyProtection="0"/>
    <xf numFmtId="164" fontId="41" fillId="0" borderId="0" applyFont="0" applyFill="0" applyBorder="0" applyAlignment="0" applyProtection="0"/>
    <xf numFmtId="165" fontId="41" fillId="0" borderId="0" applyFont="0" applyFill="0" applyBorder="0" applyAlignment="0" applyProtection="0"/>
    <xf numFmtId="0" fontId="48" fillId="0" borderId="0">
      <alignment horizontal="centerContinuous"/>
    </xf>
    <xf numFmtId="0" fontId="48" fillId="0" borderId="0" applyAlignment="0">
      <alignment horizontal="centerContinuous"/>
    </xf>
    <xf numFmtId="0" fontId="49" fillId="0" borderId="0" applyAlignment="0">
      <alignment horizontal="centerContinuous"/>
    </xf>
    <xf numFmtId="166" fontId="41" fillId="0" borderId="0" applyBorder="0"/>
    <xf numFmtId="166" fontId="41" fillId="0" borderId="11"/>
    <xf numFmtId="0" fontId="8" fillId="6" borderId="3"/>
    <xf numFmtId="0" fontId="8" fillId="6" borderId="3"/>
    <xf numFmtId="0" fontId="8" fillId="6" borderId="3"/>
    <xf numFmtId="0" fontId="8" fillId="6" borderId="3"/>
    <xf numFmtId="0" fontId="8" fillId="6" borderId="3"/>
    <xf numFmtId="0" fontId="8" fillId="6" borderId="3"/>
    <xf numFmtId="0" fontId="8" fillId="6" borderId="3"/>
    <xf numFmtId="0" fontId="8" fillId="6" borderId="3"/>
    <xf numFmtId="0" fontId="8" fillId="6" borderId="3"/>
    <xf numFmtId="0" fontId="8" fillId="6" borderId="3"/>
    <xf numFmtId="0" fontId="8" fillId="6" borderId="3"/>
    <xf numFmtId="0" fontId="8" fillId="6" borderId="3"/>
    <xf numFmtId="0" fontId="8" fillId="6" borderId="3"/>
    <xf numFmtId="0" fontId="8" fillId="6" borderId="3"/>
    <xf numFmtId="0" fontId="8" fillId="6" borderId="3"/>
    <xf numFmtId="0" fontId="8" fillId="6" borderId="3"/>
    <xf numFmtId="0" fontId="8" fillId="6" borderId="3"/>
    <xf numFmtId="0" fontId="8" fillId="6" borderId="3"/>
    <xf numFmtId="0" fontId="8" fillId="6" borderId="3"/>
    <xf numFmtId="0" fontId="8" fillId="6" borderId="3"/>
    <xf numFmtId="0" fontId="8" fillId="6" borderId="3"/>
    <xf numFmtId="0" fontId="8" fillId="6" borderId="3"/>
    <xf numFmtId="0" fontId="8" fillId="6" borderId="3"/>
    <xf numFmtId="0" fontId="8" fillId="6" borderId="3"/>
    <xf numFmtId="0" fontId="8" fillId="6" borderId="3"/>
    <xf numFmtId="0" fontId="8" fillId="6" borderId="3"/>
    <xf numFmtId="0" fontId="8" fillId="6" borderId="3"/>
    <xf numFmtId="0" fontId="8" fillId="6" borderId="3"/>
    <xf numFmtId="0" fontId="8" fillId="6" borderId="3"/>
    <xf numFmtId="0" fontId="8" fillId="6" borderId="3"/>
    <xf numFmtId="0" fontId="8" fillId="6" borderId="3"/>
    <xf numFmtId="0" fontId="8" fillId="6" borderId="3"/>
    <xf numFmtId="0" fontId="8" fillId="6" borderId="3"/>
    <xf numFmtId="0" fontId="8" fillId="6" borderId="3"/>
    <xf numFmtId="0" fontId="8" fillId="6" borderId="3"/>
    <xf numFmtId="0" fontId="8" fillId="6" borderId="3"/>
    <xf numFmtId="0" fontId="8" fillId="6" borderId="3"/>
    <xf numFmtId="0" fontId="8" fillId="6" borderId="3"/>
    <xf numFmtId="0" fontId="8" fillId="6" borderId="3"/>
    <xf numFmtId="0" fontId="8" fillId="6" borderId="3"/>
    <xf numFmtId="0" fontId="8" fillId="6" borderId="3"/>
    <xf numFmtId="0" fontId="8" fillId="6" borderId="3"/>
    <xf numFmtId="0" fontId="8" fillId="6" borderId="3"/>
    <xf numFmtId="0" fontId="8" fillId="4" borderId="0"/>
    <xf numFmtId="2" fontId="8" fillId="0" borderId="0" applyFont="0" applyFill="0" applyBorder="0" applyAlignment="0" applyProtection="0"/>
    <xf numFmtId="0" fontId="15" fillId="4" borderId="3">
      <alignment horizontal="left"/>
    </xf>
    <xf numFmtId="0" fontId="15" fillId="4" borderId="3">
      <alignment horizontal="left"/>
    </xf>
    <xf numFmtId="0" fontId="15" fillId="4" borderId="3">
      <alignment horizontal="left"/>
    </xf>
    <xf numFmtId="0" fontId="15" fillId="4" borderId="3">
      <alignment horizontal="left"/>
    </xf>
    <xf numFmtId="0" fontId="15" fillId="4" borderId="3">
      <alignment horizontal="left"/>
    </xf>
    <xf numFmtId="0" fontId="15" fillId="4" borderId="3">
      <alignment horizontal="left"/>
    </xf>
    <xf numFmtId="0" fontId="15" fillId="4" borderId="3">
      <alignment horizontal="left"/>
    </xf>
    <xf numFmtId="0" fontId="15" fillId="4" borderId="3">
      <alignment horizontal="left"/>
    </xf>
    <xf numFmtId="0" fontId="15" fillId="4" borderId="3">
      <alignment horizontal="left"/>
    </xf>
    <xf numFmtId="0" fontId="15" fillId="4" borderId="3">
      <alignment horizontal="left"/>
    </xf>
    <xf numFmtId="0" fontId="15" fillId="4" borderId="3">
      <alignment horizontal="left"/>
    </xf>
    <xf numFmtId="0" fontId="15" fillId="4" borderId="3">
      <alignment horizontal="left"/>
    </xf>
    <xf numFmtId="0" fontId="15" fillId="4" borderId="3">
      <alignment horizontal="left"/>
    </xf>
    <xf numFmtId="0" fontId="15" fillId="4" borderId="3">
      <alignment horizontal="left"/>
    </xf>
    <xf numFmtId="0" fontId="15" fillId="4" borderId="3">
      <alignment horizontal="left"/>
    </xf>
    <xf numFmtId="0" fontId="15" fillId="4" borderId="3">
      <alignment horizontal="left"/>
    </xf>
    <xf numFmtId="0" fontId="15" fillId="4" borderId="3">
      <alignment horizontal="left"/>
    </xf>
    <xf numFmtId="0" fontId="15" fillId="4" borderId="3">
      <alignment horizontal="left"/>
    </xf>
    <xf numFmtId="0" fontId="15" fillId="4" borderId="3">
      <alignment horizontal="left"/>
    </xf>
    <xf numFmtId="0" fontId="15" fillId="4" borderId="3">
      <alignment horizontal="left"/>
    </xf>
    <xf numFmtId="0" fontId="15" fillId="4" borderId="3">
      <alignment horizontal="left"/>
    </xf>
    <xf numFmtId="0" fontId="15" fillId="4" borderId="3">
      <alignment horizontal="left"/>
    </xf>
    <xf numFmtId="0" fontId="15" fillId="4" borderId="3">
      <alignment horizontal="left"/>
    </xf>
    <xf numFmtId="0" fontId="15" fillId="4" borderId="3">
      <alignment horizontal="left"/>
    </xf>
    <xf numFmtId="0" fontId="15" fillId="4" borderId="3">
      <alignment horizontal="left"/>
    </xf>
    <xf numFmtId="0" fontId="15" fillId="4" borderId="3">
      <alignment horizontal="left"/>
    </xf>
    <xf numFmtId="0" fontId="15" fillId="4" borderId="3">
      <alignment horizontal="left"/>
    </xf>
    <xf numFmtId="0" fontId="15" fillId="4" borderId="3">
      <alignment horizontal="left"/>
    </xf>
    <xf numFmtId="0" fontId="15" fillId="4" borderId="3">
      <alignment horizontal="left"/>
    </xf>
    <xf numFmtId="0" fontId="15" fillId="4" borderId="3">
      <alignment horizontal="left"/>
    </xf>
    <xf numFmtId="0" fontId="15" fillId="4" borderId="3">
      <alignment horizontal="left"/>
    </xf>
    <xf numFmtId="0" fontId="15" fillId="4" borderId="3">
      <alignment horizontal="left"/>
    </xf>
    <xf numFmtId="0" fontId="15" fillId="4" borderId="3">
      <alignment horizontal="left"/>
    </xf>
    <xf numFmtId="0" fontId="15" fillId="4" borderId="3">
      <alignment horizontal="left"/>
    </xf>
    <xf numFmtId="0" fontId="15" fillId="4" borderId="3">
      <alignment horizontal="left"/>
    </xf>
    <xf numFmtId="0" fontId="15" fillId="4" borderId="3">
      <alignment horizontal="left"/>
    </xf>
    <xf numFmtId="0" fontId="15" fillId="4" borderId="3">
      <alignment horizontal="left"/>
    </xf>
    <xf numFmtId="0" fontId="15" fillId="4" borderId="3">
      <alignment horizontal="left"/>
    </xf>
    <xf numFmtId="0" fontId="15" fillId="4" borderId="3">
      <alignment horizontal="left"/>
    </xf>
    <xf numFmtId="0" fontId="15" fillId="4" borderId="3">
      <alignment horizontal="left"/>
    </xf>
    <xf numFmtId="0" fontId="15" fillId="4" borderId="3">
      <alignment horizontal="left"/>
    </xf>
    <xf numFmtId="0" fontId="15" fillId="4" borderId="3">
      <alignment horizontal="left"/>
    </xf>
    <xf numFmtId="0" fontId="15" fillId="4" borderId="3">
      <alignment horizontal="left"/>
    </xf>
    <xf numFmtId="0" fontId="20" fillId="4" borderId="0">
      <alignment horizontal="left"/>
    </xf>
    <xf numFmtId="0" fontId="20" fillId="4" borderId="0">
      <alignment horizontal="left"/>
    </xf>
    <xf numFmtId="0" fontId="20" fillId="4" borderId="0">
      <alignment horizontal="left"/>
    </xf>
    <xf numFmtId="0" fontId="20" fillId="4" borderId="0">
      <alignment horizontal="left"/>
    </xf>
    <xf numFmtId="0" fontId="20" fillId="4" borderId="0">
      <alignment horizontal="left"/>
    </xf>
    <xf numFmtId="0" fontId="20" fillId="4" borderId="0">
      <alignment horizontal="left"/>
    </xf>
    <xf numFmtId="0" fontId="20" fillId="4" borderId="0">
      <alignment horizontal="left"/>
    </xf>
    <xf numFmtId="0" fontId="20" fillId="4" borderId="0">
      <alignment horizontal="left"/>
    </xf>
    <xf numFmtId="0" fontId="20" fillId="4" borderId="0">
      <alignment horizontal="left"/>
    </xf>
    <xf numFmtId="0" fontId="20" fillId="4" borderId="0">
      <alignment horizontal="left"/>
    </xf>
    <xf numFmtId="0" fontId="20" fillId="4" borderId="0">
      <alignment horizontal="left"/>
    </xf>
    <xf numFmtId="0" fontId="20" fillId="4" borderId="0">
      <alignment horizontal="left"/>
    </xf>
    <xf numFmtId="0" fontId="20" fillId="4" borderId="0">
      <alignment horizontal="left"/>
    </xf>
    <xf numFmtId="38" fontId="9" fillId="4" borderId="0" applyNumberFormat="0" applyBorder="0" applyAlignment="0" applyProtection="0"/>
    <xf numFmtId="0" fontId="21" fillId="7" borderId="0">
      <alignment horizontal="right" vertical="top" wrapText="1"/>
    </xf>
    <xf numFmtId="0" fontId="21" fillId="7" borderId="0">
      <alignment horizontal="right" vertical="top" wrapText="1"/>
    </xf>
    <xf numFmtId="0" fontId="21" fillId="7" borderId="0">
      <alignment horizontal="right" vertical="top" wrapText="1"/>
    </xf>
    <xf numFmtId="0" fontId="21" fillId="7" borderId="0">
      <alignment horizontal="right" vertical="top" wrapText="1"/>
    </xf>
    <xf numFmtId="0" fontId="21" fillId="7" borderId="0">
      <alignment horizontal="right" vertical="top" textRotation="90" wrapText="1"/>
    </xf>
    <xf numFmtId="0" fontId="21" fillId="7" borderId="0">
      <alignment horizontal="right" vertical="top" wrapText="1"/>
    </xf>
    <xf numFmtId="0" fontId="21" fillId="7" borderId="0">
      <alignment horizontal="right" vertical="top" textRotation="90" wrapText="1"/>
    </xf>
    <xf numFmtId="0" fontId="50" fillId="0" borderId="28" applyNumberFormat="0" applyAlignment="0" applyProtection="0">
      <alignment horizontal="left" vertical="center"/>
    </xf>
    <xf numFmtId="0" fontId="50" fillId="0" borderId="4">
      <alignment horizontal="left" vertical="center"/>
    </xf>
    <xf numFmtId="0" fontId="37" fillId="0" borderId="44" applyNumberFormat="0" applyFill="0" applyAlignment="0" applyProtection="0"/>
    <xf numFmtId="0" fontId="38" fillId="0" borderId="45" applyNumberFormat="0" applyFill="0" applyAlignment="0" applyProtection="0"/>
    <xf numFmtId="179" fontId="47" fillId="0" borderId="0">
      <protection locked="0"/>
    </xf>
    <xf numFmtId="179" fontId="47" fillId="0" borderId="0">
      <protection locked="0"/>
    </xf>
    <xf numFmtId="0" fontId="13" fillId="0" borderId="0" applyNumberFormat="0" applyFill="0" applyBorder="0" applyAlignment="0" applyProtection="0">
      <alignment vertical="top"/>
      <protection locked="0"/>
    </xf>
    <xf numFmtId="0" fontId="51" fillId="0" borderId="0" applyNumberFormat="0" applyFill="0" applyBorder="0" applyAlignment="0" applyProtection="0">
      <alignment vertical="top"/>
      <protection locked="0"/>
    </xf>
    <xf numFmtId="0" fontId="52" fillId="0" borderId="0" applyNumberFormat="0" applyFill="0" applyBorder="0" applyAlignment="0" applyProtection="0"/>
    <xf numFmtId="0" fontId="53" fillId="0" borderId="0" applyNumberFormat="0" applyFill="0" applyBorder="0" applyAlignment="0" applyProtection="0">
      <alignment vertical="top"/>
      <protection locked="0"/>
    </xf>
    <xf numFmtId="0" fontId="54" fillId="0" borderId="0" applyNumberFormat="0" applyFill="0" applyBorder="0" applyAlignment="0" applyProtection="0"/>
    <xf numFmtId="10" fontId="9" fillId="6" borderId="3" applyNumberFormat="0" applyBorder="0" applyAlignment="0" applyProtection="0"/>
    <xf numFmtId="0" fontId="7" fillId="5" borderId="0">
      <alignment horizontal="center"/>
    </xf>
    <xf numFmtId="0" fontId="7" fillId="5" borderId="0">
      <alignment horizontal="center"/>
    </xf>
    <xf numFmtId="0" fontId="8" fillId="4" borderId="3">
      <alignment horizontal="centerContinuous" wrapText="1"/>
    </xf>
    <xf numFmtId="0" fontId="8" fillId="4" borderId="3">
      <alignment horizontal="centerContinuous" wrapText="1"/>
    </xf>
    <xf numFmtId="0" fontId="8" fillId="4" borderId="3">
      <alignment horizontal="centerContinuous" wrapText="1"/>
    </xf>
    <xf numFmtId="0" fontId="8" fillId="4" borderId="3">
      <alignment horizontal="centerContinuous" wrapText="1"/>
    </xf>
    <xf numFmtId="0" fontId="8" fillId="4" borderId="3">
      <alignment horizontal="centerContinuous" wrapText="1"/>
    </xf>
    <xf numFmtId="0" fontId="8" fillId="4" borderId="3">
      <alignment horizontal="centerContinuous" wrapText="1"/>
    </xf>
    <xf numFmtId="0" fontId="8" fillId="4" borderId="3">
      <alignment horizontal="centerContinuous" wrapText="1"/>
    </xf>
    <xf numFmtId="0" fontId="8" fillId="4" borderId="3">
      <alignment horizontal="centerContinuous" wrapText="1"/>
    </xf>
    <xf numFmtId="0" fontId="8" fillId="4" borderId="3">
      <alignment horizontal="centerContinuous" wrapText="1"/>
    </xf>
    <xf numFmtId="0" fontId="8" fillId="4" borderId="3">
      <alignment horizontal="centerContinuous" wrapText="1"/>
    </xf>
    <xf numFmtId="0" fontId="8" fillId="4" borderId="3">
      <alignment horizontal="centerContinuous" wrapText="1"/>
    </xf>
    <xf numFmtId="0" fontId="8" fillId="4" borderId="3">
      <alignment horizontal="centerContinuous" wrapText="1"/>
    </xf>
    <xf numFmtId="0" fontId="8" fillId="4" borderId="3">
      <alignment horizontal="centerContinuous" wrapText="1"/>
    </xf>
    <xf numFmtId="0" fontId="8" fillId="4" borderId="3">
      <alignment horizontal="centerContinuous" wrapText="1"/>
    </xf>
    <xf numFmtId="0" fontId="8" fillId="4" borderId="3">
      <alignment horizontal="centerContinuous" wrapText="1"/>
    </xf>
    <xf numFmtId="0" fontId="8" fillId="4" borderId="3">
      <alignment horizontal="centerContinuous" wrapText="1"/>
    </xf>
    <xf numFmtId="0" fontId="8" fillId="4" borderId="3">
      <alignment horizontal="centerContinuous" wrapText="1"/>
    </xf>
    <xf numFmtId="0" fontId="8" fillId="4" borderId="3">
      <alignment horizontal="centerContinuous" wrapText="1"/>
    </xf>
    <xf numFmtId="0" fontId="8" fillId="4" borderId="3">
      <alignment horizontal="centerContinuous" wrapText="1"/>
    </xf>
    <xf numFmtId="0" fontId="8" fillId="4" borderId="3">
      <alignment horizontal="centerContinuous" wrapText="1"/>
    </xf>
    <xf numFmtId="0" fontId="8" fillId="4" borderId="3">
      <alignment horizontal="centerContinuous" wrapText="1"/>
    </xf>
    <xf numFmtId="0" fontId="8" fillId="4" borderId="3">
      <alignment horizontal="centerContinuous" wrapText="1"/>
    </xf>
    <xf numFmtId="0" fontId="8" fillId="4" borderId="3">
      <alignment horizontal="centerContinuous" wrapText="1"/>
    </xf>
    <xf numFmtId="0" fontId="8" fillId="4" borderId="3">
      <alignment horizontal="centerContinuous" wrapText="1"/>
    </xf>
    <xf numFmtId="0" fontId="8" fillId="4" borderId="3">
      <alignment horizontal="centerContinuous" wrapText="1"/>
    </xf>
    <xf numFmtId="0" fontId="8" fillId="4" borderId="3">
      <alignment horizontal="centerContinuous" wrapText="1"/>
    </xf>
    <xf numFmtId="0" fontId="8" fillId="4" borderId="3">
      <alignment horizontal="centerContinuous" wrapText="1"/>
    </xf>
    <xf numFmtId="0" fontId="8" fillId="4" borderId="3">
      <alignment horizontal="centerContinuous" wrapText="1"/>
    </xf>
    <xf numFmtId="0" fontId="8" fillId="4" borderId="3">
      <alignment horizontal="centerContinuous" wrapText="1"/>
    </xf>
    <xf numFmtId="0" fontId="8" fillId="4" borderId="3">
      <alignment horizontal="centerContinuous" wrapText="1"/>
    </xf>
    <xf numFmtId="0" fontId="8" fillId="4" borderId="3">
      <alignment horizontal="centerContinuous" wrapText="1"/>
    </xf>
    <xf numFmtId="0" fontId="8" fillId="4" borderId="3">
      <alignment horizontal="centerContinuous" wrapText="1"/>
    </xf>
    <xf numFmtId="0" fontId="8" fillId="4" borderId="3">
      <alignment horizontal="centerContinuous" wrapText="1"/>
    </xf>
    <xf numFmtId="0" fontId="8" fillId="4" borderId="3">
      <alignment horizontal="centerContinuous" wrapText="1"/>
    </xf>
    <xf numFmtId="0" fontId="8" fillId="4" borderId="3">
      <alignment horizontal="centerContinuous" wrapText="1"/>
    </xf>
    <xf numFmtId="0" fontId="8" fillId="4" borderId="3">
      <alignment horizontal="centerContinuous" wrapText="1"/>
    </xf>
    <xf numFmtId="0" fontId="8" fillId="4" borderId="3">
      <alignment horizontal="centerContinuous" wrapText="1"/>
    </xf>
    <xf numFmtId="0" fontId="8" fillId="4" borderId="3">
      <alignment horizontal="centerContinuous" wrapText="1"/>
    </xf>
    <xf numFmtId="0" fontId="8" fillId="4" borderId="3">
      <alignment horizontal="centerContinuous" wrapText="1"/>
    </xf>
    <xf numFmtId="0" fontId="8" fillId="4" borderId="3">
      <alignment horizontal="centerContinuous" wrapText="1"/>
    </xf>
    <xf numFmtId="0" fontId="8" fillId="4" borderId="3">
      <alignment horizontal="centerContinuous" wrapText="1"/>
    </xf>
    <xf numFmtId="0" fontId="8" fillId="4" borderId="3">
      <alignment horizontal="centerContinuous" wrapText="1"/>
    </xf>
    <xf numFmtId="0" fontId="8" fillId="4" borderId="3">
      <alignment horizontal="centerContinuous"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4">
      <alignment wrapText="1"/>
    </xf>
    <xf numFmtId="0" fontId="9" fillId="4" borderId="5"/>
    <xf numFmtId="0" fontId="9" fillId="4" borderId="5"/>
    <xf numFmtId="0" fontId="9" fillId="4" borderId="5"/>
    <xf numFmtId="0" fontId="9" fillId="4" borderId="5"/>
    <xf numFmtId="0" fontId="9" fillId="4" borderId="6"/>
    <xf numFmtId="0" fontId="9" fillId="4" borderId="6"/>
    <xf numFmtId="0" fontId="9" fillId="4" borderId="6"/>
    <xf numFmtId="0" fontId="9" fillId="4" borderId="6"/>
    <xf numFmtId="0" fontId="9" fillId="4" borderId="6"/>
    <xf numFmtId="0" fontId="9" fillId="4" borderId="6"/>
    <xf numFmtId="0" fontId="9" fillId="4" borderId="6"/>
    <xf numFmtId="0" fontId="9" fillId="4" borderId="6"/>
    <xf numFmtId="0" fontId="9" fillId="4" borderId="6"/>
    <xf numFmtId="0" fontId="9" fillId="4" borderId="6"/>
    <xf numFmtId="0" fontId="9" fillId="4" borderId="6"/>
    <xf numFmtId="0" fontId="9" fillId="4" borderId="6"/>
    <xf numFmtId="0" fontId="9" fillId="4" borderId="6"/>
    <xf numFmtId="0" fontId="9" fillId="4" borderId="6"/>
    <xf numFmtId="0" fontId="9" fillId="4" borderId="6"/>
    <xf numFmtId="0" fontId="9" fillId="4" borderId="6"/>
    <xf numFmtId="0" fontId="9" fillId="4" borderId="6"/>
    <xf numFmtId="0" fontId="9" fillId="4" borderId="6"/>
    <xf numFmtId="0" fontId="9" fillId="4" borderId="6"/>
    <xf numFmtId="0" fontId="9" fillId="4" borderId="6"/>
    <xf numFmtId="0" fontId="9" fillId="4" borderId="6"/>
    <xf numFmtId="0" fontId="9" fillId="4" borderId="6"/>
    <xf numFmtId="0" fontId="9" fillId="4" borderId="6"/>
    <xf numFmtId="0" fontId="9" fillId="4" borderId="6"/>
    <xf numFmtId="0" fontId="9" fillId="4" borderId="6"/>
    <xf numFmtId="0" fontId="9" fillId="4" borderId="6"/>
    <xf numFmtId="0" fontId="9" fillId="4" borderId="6"/>
    <xf numFmtId="0" fontId="9" fillId="4" borderId="6"/>
    <xf numFmtId="0" fontId="9" fillId="4" borderId="6"/>
    <xf numFmtId="0" fontId="9" fillId="4" borderId="6"/>
    <xf numFmtId="0" fontId="9" fillId="4" borderId="6"/>
    <xf numFmtId="0" fontId="9" fillId="4" borderId="6"/>
    <xf numFmtId="0" fontId="9" fillId="4" borderId="6"/>
    <xf numFmtId="0" fontId="9" fillId="4" borderId="6"/>
    <xf numFmtId="0" fontId="9" fillId="4" borderId="6"/>
    <xf numFmtId="0" fontId="9" fillId="4" borderId="6"/>
    <xf numFmtId="0" fontId="9" fillId="4" borderId="6"/>
    <xf numFmtId="0" fontId="9" fillId="4" borderId="6"/>
    <xf numFmtId="0" fontId="9" fillId="4" borderId="6"/>
    <xf numFmtId="0" fontId="9" fillId="4" borderId="6"/>
    <xf numFmtId="0" fontId="9" fillId="4" borderId="6"/>
    <xf numFmtId="0" fontId="9" fillId="4" borderId="6"/>
    <xf numFmtId="0" fontId="9" fillId="4" borderId="6"/>
    <xf numFmtId="0" fontId="9" fillId="4" borderId="6"/>
    <xf numFmtId="0" fontId="9" fillId="4" borderId="6"/>
    <xf numFmtId="0" fontId="9" fillId="4" borderId="6"/>
    <xf numFmtId="0" fontId="9" fillId="4" borderId="6"/>
    <xf numFmtId="0" fontId="9" fillId="4" borderId="6"/>
    <xf numFmtId="0" fontId="9" fillId="4" borderId="6"/>
    <xf numFmtId="0" fontId="9" fillId="4" borderId="6"/>
    <xf numFmtId="0" fontId="9" fillId="4" borderId="6"/>
    <xf numFmtId="0" fontId="9" fillId="4" borderId="6"/>
    <xf numFmtId="0" fontId="9" fillId="4" borderId="6"/>
    <xf numFmtId="0" fontId="9" fillId="4" borderId="6"/>
    <xf numFmtId="0" fontId="9" fillId="4" borderId="6"/>
    <xf numFmtId="0" fontId="9" fillId="4" borderId="6"/>
    <xf numFmtId="0" fontId="9" fillId="4" borderId="6"/>
    <xf numFmtId="0" fontId="9" fillId="4" borderId="6"/>
    <xf numFmtId="0" fontId="9" fillId="4" borderId="6"/>
    <xf numFmtId="0" fontId="9" fillId="4" borderId="6"/>
    <xf numFmtId="0" fontId="9" fillId="4" borderId="6"/>
    <xf numFmtId="0" fontId="9" fillId="4" borderId="6"/>
    <xf numFmtId="0" fontId="9" fillId="4" borderId="6"/>
    <xf numFmtId="0" fontId="9" fillId="4" borderId="6"/>
    <xf numFmtId="0" fontId="9" fillId="4" borderId="6"/>
    <xf numFmtId="0" fontId="9" fillId="4" borderId="6"/>
    <xf numFmtId="0" fontId="9" fillId="4" borderId="6"/>
    <xf numFmtId="0" fontId="9" fillId="4" borderId="6"/>
    <xf numFmtId="0" fontId="9" fillId="4" borderId="6"/>
    <xf numFmtId="0" fontId="9" fillId="4" borderId="6"/>
    <xf numFmtId="0" fontId="9" fillId="4" borderId="6"/>
    <xf numFmtId="0" fontId="9" fillId="4" borderId="6"/>
    <xf numFmtId="0" fontId="9" fillId="4" borderId="6"/>
    <xf numFmtId="0" fontId="9" fillId="4" borderId="6"/>
    <xf numFmtId="0" fontId="9" fillId="4" borderId="6"/>
    <xf numFmtId="0" fontId="9" fillId="4" borderId="6"/>
    <xf numFmtId="0" fontId="9" fillId="4" borderId="6"/>
    <xf numFmtId="0" fontId="9" fillId="4" borderId="6"/>
    <xf numFmtId="0" fontId="9" fillId="4" borderId="6"/>
    <xf numFmtId="0" fontId="9" fillId="4" borderId="6"/>
    <xf numFmtId="0" fontId="9" fillId="4" borderId="6"/>
    <xf numFmtId="0" fontId="9" fillId="4" borderId="6"/>
    <xf numFmtId="0" fontId="9" fillId="4" borderId="6"/>
    <xf numFmtId="0" fontId="9" fillId="4" borderId="6"/>
    <xf numFmtId="0" fontId="9" fillId="4" borderId="6"/>
    <xf numFmtId="0" fontId="9" fillId="4" borderId="6"/>
    <xf numFmtId="0" fontId="9" fillId="4" borderId="6"/>
    <xf numFmtId="0" fontId="9" fillId="4" borderId="6"/>
    <xf numFmtId="0" fontId="9" fillId="4" borderId="6"/>
    <xf numFmtId="0" fontId="9" fillId="4" borderId="6"/>
    <xf numFmtId="0" fontId="9" fillId="4" borderId="6"/>
    <xf numFmtId="0" fontId="9" fillId="4" borderId="6"/>
    <xf numFmtId="0" fontId="9" fillId="4" borderId="6"/>
    <xf numFmtId="0" fontId="9" fillId="4" borderId="6"/>
    <xf numFmtId="0" fontId="9" fillId="4" borderId="6"/>
    <xf numFmtId="0" fontId="9" fillId="4" borderId="6"/>
    <xf numFmtId="0" fontId="9" fillId="4" borderId="6"/>
    <xf numFmtId="0" fontId="9" fillId="4" borderId="6"/>
    <xf numFmtId="0" fontId="9" fillId="4" borderId="6"/>
    <xf numFmtId="0" fontId="9" fillId="4" borderId="6"/>
    <xf numFmtId="0" fontId="9" fillId="4" borderId="6"/>
    <xf numFmtId="0" fontId="9" fillId="4" borderId="6"/>
    <xf numFmtId="0" fontId="9" fillId="4" borderId="7">
      <alignment horizontal="center" wrapText="1"/>
    </xf>
    <xf numFmtId="0" fontId="9" fillId="4" borderId="7">
      <alignment horizontal="center" wrapText="1"/>
    </xf>
    <xf numFmtId="0" fontId="9" fillId="4" borderId="7">
      <alignment horizontal="center" wrapText="1"/>
    </xf>
    <xf numFmtId="0" fontId="9" fillId="4" borderId="7">
      <alignment horizontal="center" wrapText="1"/>
    </xf>
    <xf numFmtId="0" fontId="9" fillId="4" borderId="7">
      <alignment horizontal="center" wrapText="1"/>
    </xf>
    <xf numFmtId="0" fontId="9" fillId="4" borderId="7">
      <alignment horizontal="center" wrapText="1"/>
    </xf>
    <xf numFmtId="0" fontId="9" fillId="4" borderId="7">
      <alignment horizontal="center" wrapText="1"/>
    </xf>
    <xf numFmtId="0" fontId="9" fillId="4" borderId="7">
      <alignment horizontal="center" wrapText="1"/>
    </xf>
    <xf numFmtId="0" fontId="9" fillId="4" borderId="7">
      <alignment horizontal="center" wrapText="1"/>
    </xf>
    <xf numFmtId="0" fontId="9" fillId="4" borderId="7">
      <alignment horizontal="center" wrapText="1"/>
    </xf>
    <xf numFmtId="0" fontId="9" fillId="4" borderId="7">
      <alignment horizontal="center" wrapText="1"/>
    </xf>
    <xf numFmtId="0" fontId="9" fillId="4" borderId="7">
      <alignment horizontal="center" wrapText="1"/>
    </xf>
    <xf numFmtId="0" fontId="9" fillId="4" borderId="7">
      <alignment horizontal="center" wrapText="1"/>
    </xf>
    <xf numFmtId="0" fontId="9" fillId="4" borderId="7">
      <alignment horizontal="center" wrapText="1"/>
    </xf>
    <xf numFmtId="0" fontId="9" fillId="4" borderId="7">
      <alignment horizontal="center" wrapText="1"/>
    </xf>
    <xf numFmtId="0" fontId="9" fillId="4" borderId="7">
      <alignment horizontal="center" wrapText="1"/>
    </xf>
    <xf numFmtId="0" fontId="9" fillId="4" borderId="7">
      <alignment horizontal="center" wrapText="1"/>
    </xf>
    <xf numFmtId="0" fontId="9" fillId="4" borderId="7">
      <alignment horizontal="center" wrapText="1"/>
    </xf>
    <xf numFmtId="0" fontId="9" fillId="4" borderId="7">
      <alignment horizontal="center" wrapText="1"/>
    </xf>
    <xf numFmtId="0" fontId="9" fillId="4" borderId="7">
      <alignment horizontal="center" wrapText="1"/>
    </xf>
    <xf numFmtId="0" fontId="9" fillId="4" borderId="7">
      <alignment horizontal="center" wrapText="1"/>
    </xf>
    <xf numFmtId="0" fontId="9" fillId="4" borderId="7">
      <alignment horizontal="center" wrapText="1"/>
    </xf>
    <xf numFmtId="0" fontId="9" fillId="4" borderId="7">
      <alignment horizontal="center" wrapText="1"/>
    </xf>
    <xf numFmtId="0" fontId="9" fillId="4" borderId="7">
      <alignment horizontal="center" wrapText="1"/>
    </xf>
    <xf numFmtId="0" fontId="9" fillId="4" borderId="7">
      <alignment horizontal="center" wrapText="1"/>
    </xf>
    <xf numFmtId="0" fontId="9" fillId="4" borderId="7">
      <alignment horizontal="center" wrapText="1"/>
    </xf>
    <xf numFmtId="0" fontId="9" fillId="4" borderId="7">
      <alignment horizontal="center" wrapText="1"/>
    </xf>
    <xf numFmtId="0" fontId="9" fillId="4" borderId="7">
      <alignment horizontal="center" wrapText="1"/>
    </xf>
    <xf numFmtId="0" fontId="9" fillId="4" borderId="7">
      <alignment horizontal="center" wrapText="1"/>
    </xf>
    <xf numFmtId="0" fontId="9" fillId="4" borderId="7">
      <alignment horizontal="center" wrapText="1"/>
    </xf>
    <xf numFmtId="0" fontId="9" fillId="4" borderId="7">
      <alignment horizontal="center" wrapText="1"/>
    </xf>
    <xf numFmtId="0" fontId="9" fillId="4" borderId="7">
      <alignment horizontal="center" wrapText="1"/>
    </xf>
    <xf numFmtId="0" fontId="9" fillId="4" borderId="7">
      <alignment horizontal="center" wrapText="1"/>
    </xf>
    <xf numFmtId="0" fontId="9" fillId="4" borderId="7">
      <alignment horizontal="center" wrapText="1"/>
    </xf>
    <xf numFmtId="0" fontId="9" fillId="4" borderId="7">
      <alignment horizontal="center" wrapText="1"/>
    </xf>
    <xf numFmtId="0" fontId="9" fillId="4" borderId="7">
      <alignment horizontal="center" wrapText="1"/>
    </xf>
    <xf numFmtId="0" fontId="9" fillId="4" borderId="7">
      <alignment horizontal="center" wrapText="1"/>
    </xf>
    <xf numFmtId="0" fontId="9" fillId="4" borderId="7">
      <alignment horizontal="center" wrapText="1"/>
    </xf>
    <xf numFmtId="0" fontId="9" fillId="4" borderId="7">
      <alignment horizontal="center" wrapText="1"/>
    </xf>
    <xf numFmtId="0" fontId="9" fillId="4" borderId="7">
      <alignment horizontal="center" wrapText="1"/>
    </xf>
    <xf numFmtId="0" fontId="9" fillId="4" borderId="7">
      <alignment horizontal="center" wrapText="1"/>
    </xf>
    <xf numFmtId="0" fontId="9" fillId="4" borderId="7">
      <alignment horizontal="center" wrapText="1"/>
    </xf>
    <xf numFmtId="0" fontId="9" fillId="4" borderId="7">
      <alignment horizontal="center" wrapText="1"/>
    </xf>
    <xf numFmtId="0" fontId="9" fillId="4" borderId="7">
      <alignment horizontal="center" wrapText="1"/>
    </xf>
    <xf numFmtId="0" fontId="9" fillId="4" borderId="7">
      <alignment horizontal="center" wrapText="1"/>
    </xf>
    <xf numFmtId="0" fontId="9" fillId="4" borderId="7">
      <alignment horizontal="center" wrapText="1"/>
    </xf>
    <xf numFmtId="0" fontId="9" fillId="4" borderId="7">
      <alignment horizontal="center" wrapText="1"/>
    </xf>
    <xf numFmtId="0" fontId="9" fillId="4" borderId="7">
      <alignment horizontal="center" wrapText="1"/>
    </xf>
    <xf numFmtId="0" fontId="9" fillId="4" borderId="7">
      <alignment horizontal="center" wrapText="1"/>
    </xf>
    <xf numFmtId="0" fontId="9" fillId="4" borderId="7">
      <alignment horizontal="center" wrapText="1"/>
    </xf>
    <xf numFmtId="0" fontId="9" fillId="4" borderId="7">
      <alignment horizontal="center" wrapText="1"/>
    </xf>
    <xf numFmtId="0" fontId="9" fillId="4" borderId="7">
      <alignment horizontal="center" wrapText="1"/>
    </xf>
    <xf numFmtId="0" fontId="9" fillId="4" borderId="7">
      <alignment horizontal="center" wrapText="1"/>
    </xf>
    <xf numFmtId="0" fontId="9" fillId="4" borderId="7">
      <alignment horizontal="center" wrapText="1"/>
    </xf>
    <xf numFmtId="0" fontId="9" fillId="4" borderId="7">
      <alignment horizontal="center" wrapText="1"/>
    </xf>
    <xf numFmtId="0" fontId="9" fillId="4" borderId="7">
      <alignment horizontal="center" wrapText="1"/>
    </xf>
    <xf numFmtId="0" fontId="9" fillId="4" borderId="7">
      <alignment horizontal="center" wrapText="1"/>
    </xf>
    <xf numFmtId="0" fontId="9" fillId="4" borderId="7">
      <alignment horizontal="center" wrapText="1"/>
    </xf>
    <xf numFmtId="0" fontId="9" fillId="4" borderId="7">
      <alignment horizontal="center" wrapText="1"/>
    </xf>
    <xf numFmtId="0" fontId="9" fillId="4" borderId="7">
      <alignment horizontal="center" wrapText="1"/>
    </xf>
    <xf numFmtId="0" fontId="9" fillId="4" borderId="7">
      <alignment horizontal="center" wrapText="1"/>
    </xf>
    <xf numFmtId="0" fontId="9" fillId="4" borderId="7">
      <alignment horizontal="center" wrapText="1"/>
    </xf>
    <xf numFmtId="0" fontId="9" fillId="4" borderId="7">
      <alignment horizontal="center" wrapText="1"/>
    </xf>
    <xf numFmtId="0" fontId="9" fillId="4" borderId="7">
      <alignment horizontal="center" wrapText="1"/>
    </xf>
    <xf numFmtId="0" fontId="9" fillId="4" borderId="7">
      <alignment horizontal="center" wrapText="1"/>
    </xf>
    <xf numFmtId="0" fontId="9" fillId="4" borderId="7">
      <alignment horizontal="center" wrapText="1"/>
    </xf>
    <xf numFmtId="0" fontId="9" fillId="4" borderId="7">
      <alignment horizontal="center" wrapText="1"/>
    </xf>
    <xf numFmtId="0" fontId="9" fillId="4" borderId="7">
      <alignment horizontal="center" wrapText="1"/>
    </xf>
    <xf numFmtId="0" fontId="9" fillId="4" borderId="7">
      <alignment horizontal="center" wrapText="1"/>
    </xf>
    <xf numFmtId="0" fontId="9" fillId="4" borderId="7">
      <alignment horizontal="center" wrapText="1"/>
    </xf>
    <xf numFmtId="0" fontId="9" fillId="4" borderId="7">
      <alignment horizontal="center" wrapText="1"/>
    </xf>
    <xf numFmtId="0" fontId="9" fillId="4" borderId="7">
      <alignment horizontal="center" wrapText="1"/>
    </xf>
    <xf numFmtId="0" fontId="9" fillId="4" borderId="7">
      <alignment horizontal="center" wrapText="1"/>
    </xf>
    <xf numFmtId="0" fontId="9" fillId="4" borderId="7">
      <alignment horizontal="center" wrapText="1"/>
    </xf>
    <xf numFmtId="0" fontId="9" fillId="4" borderId="7">
      <alignment horizontal="center" wrapText="1"/>
    </xf>
    <xf numFmtId="0" fontId="55" fillId="0" borderId="0"/>
    <xf numFmtId="0" fontId="55" fillId="0" borderId="0"/>
    <xf numFmtId="0" fontId="55" fillId="0" borderId="0"/>
    <xf numFmtId="0" fontId="55" fillId="0" borderId="0"/>
    <xf numFmtId="0" fontId="55" fillId="0" borderId="0"/>
    <xf numFmtId="0" fontId="24" fillId="19" borderId="56">
      <alignment horizontal="left" vertical="top" wrapText="1"/>
    </xf>
    <xf numFmtId="180" fontId="56" fillId="0" borderId="0"/>
    <xf numFmtId="0" fontId="10" fillId="0" borderId="0"/>
    <xf numFmtId="0" fontId="45" fillId="0" borderId="0"/>
    <xf numFmtId="0" fontId="55" fillId="0" borderId="0"/>
    <xf numFmtId="0" fontId="6" fillId="0" borderId="0"/>
    <xf numFmtId="0" fontId="20" fillId="0" borderId="0"/>
    <xf numFmtId="0" fontId="45" fillId="0" borderId="0"/>
    <xf numFmtId="0" fontId="45" fillId="0" borderId="0"/>
    <xf numFmtId="0" fontId="45" fillId="0" borderId="0"/>
    <xf numFmtId="0" fontId="55" fillId="0" borderId="0"/>
    <xf numFmtId="0" fontId="45" fillId="0" borderId="0"/>
    <xf numFmtId="0" fontId="45" fillId="0" borderId="0"/>
    <xf numFmtId="0" fontId="45" fillId="0" borderId="0"/>
    <xf numFmtId="0" fontId="6" fillId="0" borderId="0"/>
    <xf numFmtId="0" fontId="6" fillId="0" borderId="0"/>
    <xf numFmtId="0" fontId="6" fillId="0" borderId="0"/>
    <xf numFmtId="0" fontId="45" fillId="0" borderId="0"/>
    <xf numFmtId="0" fontId="6" fillId="0" borderId="0"/>
    <xf numFmtId="0" fontId="8" fillId="0" borderId="0" applyNumberFormat="0" applyFill="0" applyBorder="0" applyAlignment="0" applyProtection="0"/>
    <xf numFmtId="0" fontId="6" fillId="0" borderId="0"/>
    <xf numFmtId="0" fontId="6" fillId="0" borderId="0"/>
    <xf numFmtId="0" fontId="55" fillId="0" borderId="0"/>
    <xf numFmtId="0" fontId="10" fillId="0" borderId="0"/>
    <xf numFmtId="0" fontId="45" fillId="0" borderId="0"/>
    <xf numFmtId="0" fontId="45" fillId="0" borderId="0"/>
    <xf numFmtId="0" fontId="45" fillId="0" borderId="0"/>
    <xf numFmtId="0" fontId="55" fillId="0" borderId="0"/>
    <xf numFmtId="0" fontId="10" fillId="0" borderId="0"/>
    <xf numFmtId="0" fontId="45" fillId="0" borderId="0"/>
    <xf numFmtId="0" fontId="45" fillId="0" borderId="0"/>
    <xf numFmtId="0" fontId="55" fillId="0" borderId="0"/>
    <xf numFmtId="0" fontId="6" fillId="0" borderId="0"/>
    <xf numFmtId="0" fontId="45" fillId="0" borderId="0"/>
    <xf numFmtId="0" fontId="45" fillId="0" borderId="0"/>
    <xf numFmtId="0" fontId="6" fillId="0" borderId="0"/>
    <xf numFmtId="0" fontId="6" fillId="0" borderId="0"/>
    <xf numFmtId="0" fontId="55" fillId="0" borderId="0"/>
    <xf numFmtId="0" fontId="6" fillId="0" borderId="0"/>
    <xf numFmtId="0" fontId="45" fillId="0" borderId="0"/>
    <xf numFmtId="0" fontId="45" fillId="0" borderId="0"/>
    <xf numFmtId="0" fontId="6" fillId="0" borderId="0"/>
    <xf numFmtId="0" fontId="6" fillId="0" borderId="0"/>
    <xf numFmtId="0" fontId="55" fillId="0" borderId="0"/>
    <xf numFmtId="0" fontId="10" fillId="0" borderId="0"/>
    <xf numFmtId="0" fontId="45" fillId="0" borderId="0"/>
    <xf numFmtId="0" fontId="45" fillId="0" borderId="0"/>
    <xf numFmtId="0" fontId="55" fillId="0" borderId="0"/>
    <xf numFmtId="0" fontId="10" fillId="0" borderId="0"/>
    <xf numFmtId="0" fontId="45" fillId="0" borderId="0"/>
    <xf numFmtId="0" fontId="45" fillId="0" borderId="0"/>
    <xf numFmtId="0" fontId="55" fillId="0" borderId="0"/>
    <xf numFmtId="0" fontId="10" fillId="0" borderId="0"/>
    <xf numFmtId="0" fontId="45" fillId="0" borderId="0"/>
    <xf numFmtId="0" fontId="45" fillId="0" borderId="0"/>
    <xf numFmtId="0" fontId="5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 fillId="0" borderId="0"/>
    <xf numFmtId="0" fontId="46" fillId="0" borderId="0"/>
    <xf numFmtId="0" fontId="6" fillId="0" borderId="0"/>
    <xf numFmtId="0" fontId="6" fillId="0" borderId="0"/>
    <xf numFmtId="0" fontId="6" fillId="0" borderId="0"/>
    <xf numFmtId="0" fontId="6" fillId="0" borderId="0"/>
    <xf numFmtId="0" fontId="6" fillId="0" borderId="0"/>
    <xf numFmtId="0" fontId="6" fillId="0" borderId="0"/>
    <xf numFmtId="0" fontId="10" fillId="0" borderId="0"/>
    <xf numFmtId="0" fontId="8" fillId="0" borderId="0"/>
    <xf numFmtId="0" fontId="5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 fillId="0" borderId="0"/>
    <xf numFmtId="0" fontId="5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 fillId="0" borderId="0"/>
    <xf numFmtId="0" fontId="10" fillId="0" borderId="0"/>
    <xf numFmtId="0" fontId="10" fillId="0" borderId="0"/>
    <xf numFmtId="0" fontId="10" fillId="0" borderId="0"/>
    <xf numFmtId="0" fontId="8" fillId="0" borderId="0"/>
    <xf numFmtId="0" fontId="8" fillId="0" borderId="0"/>
    <xf numFmtId="0" fontId="6" fillId="0" borderId="0"/>
    <xf numFmtId="0" fontId="6" fillId="0" borderId="0"/>
    <xf numFmtId="0" fontId="6" fillId="0" borderId="0"/>
    <xf numFmtId="0" fontId="45" fillId="0" borderId="0"/>
    <xf numFmtId="0" fontId="46" fillId="0" borderId="0"/>
    <xf numFmtId="0" fontId="8" fillId="0" borderId="0"/>
    <xf numFmtId="0" fontId="20" fillId="0" borderId="0"/>
    <xf numFmtId="0" fontId="8" fillId="0" borderId="0"/>
    <xf numFmtId="0" fontId="20" fillId="0" borderId="0"/>
    <xf numFmtId="0" fontId="6" fillId="0" borderId="0"/>
    <xf numFmtId="0" fontId="6" fillId="0" borderId="0"/>
    <xf numFmtId="0" fontId="6" fillId="0" borderId="0"/>
    <xf numFmtId="0" fontId="20" fillId="0" borderId="0"/>
    <xf numFmtId="0" fontId="20" fillId="0" borderId="0"/>
    <xf numFmtId="0" fontId="55" fillId="0" borderId="0"/>
    <xf numFmtId="0" fontId="8" fillId="0" borderId="0"/>
    <xf numFmtId="0" fontId="55" fillId="0" borderId="0"/>
    <xf numFmtId="0" fontId="45" fillId="0" borderId="0"/>
    <xf numFmtId="0" fontId="8" fillId="0" borderId="0"/>
    <xf numFmtId="0" fontId="57" fillId="0" borderId="0"/>
    <xf numFmtId="0" fontId="8" fillId="0" borderId="0"/>
    <xf numFmtId="0" fontId="55" fillId="0" borderId="0"/>
    <xf numFmtId="0" fontId="8" fillId="0" borderId="0"/>
    <xf numFmtId="0" fontId="8" fillId="0" borderId="0" applyNumberFormat="0" applyFill="0" applyBorder="0" applyAlignment="0" applyProtection="0"/>
    <xf numFmtId="0" fontId="6" fillId="0" borderId="0"/>
    <xf numFmtId="0" fontId="45" fillId="0" borderId="0"/>
    <xf numFmtId="0" fontId="4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45" fillId="0" borderId="0"/>
    <xf numFmtId="0" fontId="45" fillId="0" borderId="0"/>
    <xf numFmtId="0" fontId="6" fillId="0" borderId="0"/>
    <xf numFmtId="0" fontId="6" fillId="0" borderId="0"/>
    <xf numFmtId="0" fontId="6"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6" fillId="0" borderId="0"/>
    <xf numFmtId="0" fontId="6" fillId="0" borderId="0"/>
    <xf numFmtId="0" fontId="6" fillId="0" borderId="0"/>
    <xf numFmtId="0" fontId="8" fillId="0" borderId="0"/>
    <xf numFmtId="0" fontId="45" fillId="0" borderId="0"/>
    <xf numFmtId="0" fontId="45" fillId="0" borderId="0"/>
    <xf numFmtId="0" fontId="8" fillId="0" borderId="0"/>
    <xf numFmtId="0" fontId="8" fillId="0" borderId="0"/>
    <xf numFmtId="0" fontId="8" fillId="0" borderId="0"/>
    <xf numFmtId="0" fontId="55" fillId="0" borderId="0"/>
    <xf numFmtId="0" fontId="41" fillId="0" borderId="0"/>
    <xf numFmtId="0" fontId="20" fillId="0" borderId="0"/>
    <xf numFmtId="0" fontId="41" fillId="0" borderId="0"/>
    <xf numFmtId="0" fontId="6" fillId="0" borderId="0"/>
    <xf numFmtId="0" fontId="6" fillId="0" borderId="0"/>
    <xf numFmtId="0" fontId="6" fillId="0" borderId="0"/>
    <xf numFmtId="0" fontId="55" fillId="0" borderId="0"/>
    <xf numFmtId="0" fontId="45" fillId="0" borderId="0"/>
    <xf numFmtId="0" fontId="45" fillId="0" borderId="0"/>
    <xf numFmtId="0" fontId="41" fillId="0" borderId="0"/>
    <xf numFmtId="0" fontId="55" fillId="0" borderId="0"/>
    <xf numFmtId="0" fontId="8" fillId="0" borderId="0"/>
    <xf numFmtId="0" fontId="6" fillId="0" borderId="0"/>
    <xf numFmtId="0" fontId="6" fillId="0" borderId="0"/>
    <xf numFmtId="0" fontId="6" fillId="0" borderId="0"/>
    <xf numFmtId="0" fontId="57"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7" fillId="0" borderId="0"/>
    <xf numFmtId="0" fontId="45" fillId="0" borderId="0"/>
    <xf numFmtId="0" fontId="4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10" fillId="0" borderId="0"/>
    <xf numFmtId="0" fontId="6" fillId="0" borderId="0"/>
    <xf numFmtId="0" fontId="6" fillId="0" borderId="0"/>
    <xf numFmtId="0" fontId="6" fillId="0" borderId="0"/>
    <xf numFmtId="0" fontId="10" fillId="0" borderId="0"/>
    <xf numFmtId="0" fontId="10" fillId="0" borderId="0"/>
    <xf numFmtId="0" fontId="57" fillId="0" borderId="0"/>
    <xf numFmtId="0" fontId="10" fillId="0" borderId="0"/>
    <xf numFmtId="0" fontId="57" fillId="0" borderId="0"/>
    <xf numFmtId="0" fontId="45" fillId="0" borderId="0"/>
    <xf numFmtId="0" fontId="4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7" fillId="0" borderId="0"/>
    <xf numFmtId="0" fontId="4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7" fillId="0" borderId="0"/>
    <xf numFmtId="0" fontId="45" fillId="0" borderId="0"/>
    <xf numFmtId="0" fontId="45" fillId="0" borderId="0"/>
    <xf numFmtId="0" fontId="55" fillId="0" borderId="0"/>
    <xf numFmtId="0" fontId="57" fillId="0" borderId="0"/>
    <xf numFmtId="0" fontId="57" fillId="0" borderId="0"/>
    <xf numFmtId="0" fontId="57" fillId="0" borderId="0"/>
    <xf numFmtId="0" fontId="57" fillId="0" borderId="0"/>
    <xf numFmtId="0" fontId="57" fillId="0" borderId="0"/>
    <xf numFmtId="0" fontId="45" fillId="0" borderId="0"/>
    <xf numFmtId="0" fontId="10" fillId="0" borderId="0"/>
    <xf numFmtId="0" fontId="20" fillId="0" borderId="0"/>
    <xf numFmtId="0" fontId="20" fillId="0" borderId="0"/>
    <xf numFmtId="0" fontId="8" fillId="0" borderId="0"/>
    <xf numFmtId="1" fontId="43" fillId="0" borderId="0">
      <alignment vertical="top" wrapText="1"/>
    </xf>
    <xf numFmtId="1" fontId="58" fillId="0" borderId="0" applyFill="0" applyBorder="0" applyProtection="0"/>
    <xf numFmtId="1" fontId="47" fillId="0" borderId="0" applyFont="0" applyFill="0" applyBorder="0" applyProtection="0">
      <alignment vertical="center"/>
    </xf>
    <xf numFmtId="1" fontId="59" fillId="0" borderId="0">
      <alignment horizontal="right" vertical="top"/>
    </xf>
    <xf numFmtId="0" fontId="60" fillId="0" borderId="0"/>
    <xf numFmtId="0" fontId="20" fillId="0" borderId="0"/>
    <xf numFmtId="1" fontId="44" fillId="0" borderId="0" applyNumberFormat="0" applyFill="0" applyBorder="0">
      <alignment vertical="top"/>
    </xf>
    <xf numFmtId="0" fontId="20" fillId="20" borderId="57"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20" fillId="20" borderId="57" applyNumberFormat="0" applyFont="0" applyAlignment="0" applyProtection="0"/>
    <xf numFmtId="0" fontId="20" fillId="15" borderId="46" applyNumberFormat="0" applyFont="0" applyAlignment="0" applyProtection="0"/>
    <xf numFmtId="0" fontId="20" fillId="15" borderId="46" applyNumberFormat="0" applyFont="0" applyAlignment="0" applyProtection="0"/>
    <xf numFmtId="0" fontId="47" fillId="0" borderId="0">
      <alignment horizontal="left"/>
    </xf>
    <xf numFmtId="10"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45"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0" fontId="45" fillId="0" borderId="0"/>
    <xf numFmtId="9" fontId="20" fillId="0" borderId="0" applyFont="0" applyFill="0" applyBorder="0" applyAlignment="0" applyProtection="0"/>
    <xf numFmtId="0" fontId="55" fillId="0" borderId="0"/>
    <xf numFmtId="9" fontId="8" fillId="0" borderId="0" applyFont="0" applyFill="0" applyBorder="0" applyAlignment="0" applyProtection="0"/>
    <xf numFmtId="0" fontId="55" fillId="0" borderId="0"/>
    <xf numFmtId="9" fontId="8"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55" fillId="0" borderId="0"/>
    <xf numFmtId="9" fontId="55"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0" fontId="45" fillId="0" borderId="0"/>
    <xf numFmtId="0" fontId="45" fillId="0" borderId="0"/>
    <xf numFmtId="0" fontId="45" fillId="0" borderId="0"/>
    <xf numFmtId="0" fontId="9" fillId="4" borderId="3"/>
    <xf numFmtId="0" fontId="45" fillId="0" borderId="0"/>
    <xf numFmtId="0" fontId="45" fillId="0" borderId="0"/>
    <xf numFmtId="0" fontId="4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45" fillId="0" borderId="0"/>
    <xf numFmtId="0" fontId="45" fillId="0" borderId="0"/>
    <xf numFmtId="0" fontId="17" fillId="4" borderId="0">
      <alignment horizontal="right"/>
    </xf>
    <xf numFmtId="0" fontId="22" fillId="8" borderId="0">
      <alignment horizontal="center"/>
    </xf>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24" fillId="7" borderId="9">
      <alignment horizontal="left" vertical="top" wrapText="1"/>
    </xf>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24" fillId="7" borderId="8">
      <alignment horizontal="left" vertical="top"/>
    </xf>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55" fillId="0" borderId="0"/>
    <xf numFmtId="0" fontId="45" fillId="0" borderId="0"/>
    <xf numFmtId="0" fontId="41" fillId="0" borderId="6">
      <alignment horizontal="center" vertical="center"/>
    </xf>
    <xf numFmtId="0" fontId="9" fillId="0" borderId="0"/>
    <xf numFmtId="0" fontId="41" fillId="0" borderId="0"/>
    <xf numFmtId="170" fontId="61" fillId="0" borderId="0" applyNumberFormat="0" applyBorder="0" applyAlignment="0">
      <alignment horizontal="left" readingOrder="1"/>
    </xf>
    <xf numFmtId="0" fontId="62" fillId="21" borderId="0">
      <alignment horizontal="left"/>
    </xf>
    <xf numFmtId="0" fontId="23" fillId="21" borderId="0">
      <alignment horizontal="left" wrapText="1"/>
    </xf>
    <xf numFmtId="0" fontId="62" fillId="21" borderId="0">
      <alignment horizontal="left"/>
    </xf>
    <xf numFmtId="0" fontId="25" fillId="0" borderId="10"/>
    <xf numFmtId="0" fontId="26" fillId="0" borderId="0"/>
    <xf numFmtId="0" fontId="45" fillId="0" borderId="0"/>
    <xf numFmtId="0" fontId="45" fillId="0" borderId="0"/>
    <xf numFmtId="0" fontId="45" fillId="0" borderId="0"/>
    <xf numFmtId="0" fontId="45" fillId="0" borderId="0"/>
    <xf numFmtId="0" fontId="63" fillId="0" borderId="0"/>
    <xf numFmtId="0" fontId="45" fillId="0" borderId="0"/>
    <xf numFmtId="0" fontId="45" fillId="0" borderId="0"/>
    <xf numFmtId="0" fontId="4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5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5" fillId="0" borderId="0"/>
    <xf numFmtId="0" fontId="45" fillId="0" borderId="0"/>
    <xf numFmtId="0" fontId="45" fillId="0" borderId="0"/>
    <xf numFmtId="0" fontId="16" fillId="4" borderId="0">
      <alignment horizontal="center"/>
    </xf>
    <xf numFmtId="0" fontId="64" fillId="0" borderId="0"/>
    <xf numFmtId="49" fontId="44" fillId="0" borderId="0" applyFill="0" applyBorder="0" applyAlignment="0" applyProtection="0">
      <alignment vertical="top"/>
    </xf>
    <xf numFmtId="0" fontId="12" fillId="4" borderId="0"/>
    <xf numFmtId="0" fontId="62" fillId="21" borderId="0">
      <alignment horizontal="left"/>
    </xf>
    <xf numFmtId="0" fontId="65" fillId="0" borderId="0"/>
    <xf numFmtId="164" fontId="41" fillId="0" borderId="0" applyFont="0" applyFill="0" applyBorder="0" applyAlignment="0" applyProtection="0"/>
    <xf numFmtId="173" fontId="46" fillId="0" borderId="0" applyFont="0" applyFill="0" applyBorder="0" applyAlignment="0" applyProtection="0"/>
    <xf numFmtId="165" fontId="41" fillId="0" borderId="0" applyFont="0" applyFill="0" applyBorder="0" applyAlignment="0" applyProtection="0"/>
    <xf numFmtId="181" fontId="41" fillId="0" borderId="0" applyFont="0" applyFill="0" applyBorder="0" applyAlignment="0" applyProtection="0"/>
    <xf numFmtId="177" fontId="41" fillId="0" borderId="0" applyFont="0" applyFill="0" applyBorder="0" applyAlignment="0" applyProtection="0"/>
    <xf numFmtId="181" fontId="41" fillId="0" borderId="0" applyFont="0" applyFill="0" applyBorder="0" applyAlignment="0" applyProtection="0"/>
    <xf numFmtId="177" fontId="41" fillId="0" borderId="0" applyFont="0" applyFill="0" applyBorder="0" applyAlignment="0" applyProtection="0"/>
    <xf numFmtId="1" fontId="66" fillId="0" borderId="0">
      <alignment vertical="top" wrapText="1"/>
    </xf>
    <xf numFmtId="4" fontId="67" fillId="0" borderId="0" applyFont="0" applyFill="0" applyBorder="0" applyAlignment="0" applyProtection="0"/>
    <xf numFmtId="3" fontId="67" fillId="0" borderId="0" applyFont="0" applyFill="0" applyBorder="0" applyAlignment="0" applyProtection="0"/>
    <xf numFmtId="182" fontId="68" fillId="0" borderId="0" applyFont="0" applyFill="0" applyBorder="0" applyAlignment="0" applyProtection="0"/>
    <xf numFmtId="172" fontId="68" fillId="0" borderId="0" applyFont="0" applyFill="0" applyBorder="0" applyAlignment="0" applyProtection="0"/>
    <xf numFmtId="183" fontId="68" fillId="0" borderId="0" applyFont="0" applyFill="0" applyBorder="0" applyAlignment="0" applyProtection="0"/>
    <xf numFmtId="184" fontId="68" fillId="0" borderId="0" applyFont="0" applyFill="0" applyBorder="0" applyAlignment="0" applyProtection="0"/>
    <xf numFmtId="9" fontId="67" fillId="0" borderId="0" applyFont="0" applyFill="0" applyBorder="0" applyAlignment="0" applyProtection="0"/>
    <xf numFmtId="0" fontId="8" fillId="0" borderId="0"/>
    <xf numFmtId="0" fontId="67" fillId="0" borderId="0"/>
    <xf numFmtId="185" fontId="67" fillId="0" borderId="0" applyFont="0" applyFill="0" applyBorder="0" applyAlignment="0" applyProtection="0"/>
    <xf numFmtId="185" fontId="67" fillId="0" borderId="0" applyFont="0" applyFill="0" applyBorder="0" applyAlignment="0" applyProtection="0"/>
    <xf numFmtId="0" fontId="45" fillId="0" borderId="0">
      <alignment vertical="center"/>
    </xf>
    <xf numFmtId="165" fontId="69" fillId="0" borderId="0" applyFont="0" applyFill="0" applyBorder="0" applyAlignment="0" applyProtection="0"/>
    <xf numFmtId="0" fontId="10" fillId="0" borderId="0"/>
    <xf numFmtId="0" fontId="5" fillId="0" borderId="0"/>
    <xf numFmtId="0" fontId="5" fillId="0" borderId="0"/>
    <xf numFmtId="0" fontId="45" fillId="0" borderId="0"/>
    <xf numFmtId="0" fontId="9" fillId="4" borderId="61">
      <alignment wrapText="1"/>
    </xf>
    <xf numFmtId="0" fontId="9" fillId="4" borderId="60"/>
    <xf numFmtId="0" fontId="9" fillId="0" borderId="60"/>
    <xf numFmtId="0" fontId="54" fillId="0" borderId="0" applyNumberFormat="0" applyFill="0" applyBorder="0" applyAlignment="0" applyProtection="0">
      <alignment vertical="top"/>
      <protection locked="0"/>
    </xf>
    <xf numFmtId="0" fontId="41" fillId="0" borderId="61">
      <alignment horizontal="center" vertical="center"/>
    </xf>
    <xf numFmtId="0" fontId="21" fillId="3" borderId="2">
      <alignment horizontal="right" vertical="top" wrapText="1"/>
    </xf>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9" fillId="0" borderId="62"/>
    <xf numFmtId="0" fontId="24" fillId="19" borderId="63">
      <alignment horizontal="left" vertical="top" wrapText="1"/>
    </xf>
    <xf numFmtId="0" fontId="24" fillId="19" borderId="63">
      <alignment horizontal="left" vertical="top" wrapText="1"/>
    </xf>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4"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10" fillId="0" borderId="0" applyFont="0" applyFill="0" applyBorder="0" applyAlignment="0" applyProtection="0"/>
    <xf numFmtId="187" fontId="8" fillId="0" borderId="0" applyFont="0" applyFill="0" applyBorder="0" applyAlignment="0" applyProtection="0"/>
    <xf numFmtId="187" fontId="8" fillId="0" borderId="0" applyFont="0" applyFill="0" applyBorder="0" applyAlignment="0" applyProtection="0"/>
    <xf numFmtId="0" fontId="19" fillId="6" borderId="62">
      <protection locked="0"/>
    </xf>
    <xf numFmtId="0" fontId="19" fillId="6" borderId="62">
      <protection locked="0"/>
    </xf>
    <xf numFmtId="0" fontId="19" fillId="6" borderId="62">
      <protection locked="0"/>
    </xf>
    <xf numFmtId="0" fontId="19" fillId="6" borderId="62">
      <protection locked="0"/>
    </xf>
    <xf numFmtId="0" fontId="19" fillId="6" borderId="62">
      <protection locked="0"/>
    </xf>
    <xf numFmtId="0" fontId="19" fillId="6" borderId="62">
      <protection locked="0"/>
    </xf>
    <xf numFmtId="0" fontId="19" fillId="6" borderId="62">
      <protection locked="0"/>
    </xf>
    <xf numFmtId="0" fontId="19" fillId="6" borderId="62">
      <protection locked="0"/>
    </xf>
    <xf numFmtId="0" fontId="19" fillId="6" borderId="62">
      <protection locked="0"/>
    </xf>
    <xf numFmtId="0" fontId="19" fillId="6" borderId="62">
      <protection locked="0"/>
    </xf>
    <xf numFmtId="0" fontId="19" fillId="6" borderId="62">
      <protection locked="0"/>
    </xf>
    <xf numFmtId="0" fontId="19" fillId="6" borderId="62">
      <protection locked="0"/>
    </xf>
    <xf numFmtId="0" fontId="19" fillId="6" borderId="62">
      <protection locked="0"/>
    </xf>
    <xf numFmtId="0" fontId="19" fillId="6" borderId="62">
      <protection locked="0"/>
    </xf>
    <xf numFmtId="0" fontId="19" fillId="6" borderId="62">
      <protection locked="0"/>
    </xf>
    <xf numFmtId="0" fontId="19" fillId="6" borderId="62">
      <protection locked="0"/>
    </xf>
    <xf numFmtId="0" fontId="19" fillId="6" borderId="62">
      <protection locked="0"/>
    </xf>
    <xf numFmtId="0" fontId="19" fillId="6" borderId="62">
      <protection locked="0"/>
    </xf>
    <xf numFmtId="0" fontId="19" fillId="6" borderId="62">
      <protection locked="0"/>
    </xf>
    <xf numFmtId="0" fontId="19" fillId="6" borderId="62">
      <protection locked="0"/>
    </xf>
    <xf numFmtId="0" fontId="19" fillId="6" borderId="62">
      <protection locked="0"/>
    </xf>
    <xf numFmtId="0" fontId="19" fillId="6" borderId="62">
      <protection locked="0"/>
    </xf>
    <xf numFmtId="0" fontId="19" fillId="6" borderId="62">
      <protection locked="0"/>
    </xf>
    <xf numFmtId="0" fontId="19" fillId="6" borderId="62">
      <protection locked="0"/>
    </xf>
    <xf numFmtId="0" fontId="19" fillId="6" borderId="62">
      <protection locked="0"/>
    </xf>
    <xf numFmtId="0" fontId="19" fillId="6" borderId="62">
      <protection locked="0"/>
    </xf>
    <xf numFmtId="0" fontId="19" fillId="6" borderId="62">
      <protection locked="0"/>
    </xf>
    <xf numFmtId="0" fontId="19" fillId="6" borderId="62">
      <protection locked="0"/>
    </xf>
    <xf numFmtId="0" fontId="19" fillId="6" borderId="62">
      <protection locked="0"/>
    </xf>
    <xf numFmtId="0" fontId="19" fillId="6" borderId="62">
      <protection locked="0"/>
    </xf>
    <xf numFmtId="0" fontId="19" fillId="6" borderId="62">
      <protection locked="0"/>
    </xf>
    <xf numFmtId="0" fontId="19" fillId="6" borderId="62">
      <protection locked="0"/>
    </xf>
    <xf numFmtId="0" fontId="19" fillId="6" borderId="62">
      <protection locked="0"/>
    </xf>
    <xf numFmtId="0" fontId="19" fillId="6" borderId="62">
      <protection locked="0"/>
    </xf>
    <xf numFmtId="0" fontId="19" fillId="6" borderId="62">
      <protection locked="0"/>
    </xf>
    <xf numFmtId="0" fontId="19" fillId="6" borderId="62">
      <protection locked="0"/>
    </xf>
    <xf numFmtId="0" fontId="19" fillId="6" borderId="62">
      <protection locked="0"/>
    </xf>
    <xf numFmtId="0" fontId="19" fillId="6" borderId="62">
      <protection locked="0"/>
    </xf>
    <xf numFmtId="0" fontId="19" fillId="6" borderId="62">
      <protection locked="0"/>
    </xf>
    <xf numFmtId="0" fontId="19" fillId="6" borderId="62">
      <protection locked="0"/>
    </xf>
    <xf numFmtId="0" fontId="19" fillId="6" borderId="62">
      <protection locked="0"/>
    </xf>
    <xf numFmtId="0" fontId="19" fillId="6" borderId="62">
      <protection locked="0"/>
    </xf>
    <xf numFmtId="0" fontId="19" fillId="6" borderId="62">
      <protection locked="0"/>
    </xf>
    <xf numFmtId="0" fontId="19" fillId="6" borderId="62">
      <protection locked="0"/>
    </xf>
    <xf numFmtId="0" fontId="19" fillId="6" borderId="62">
      <protection locked="0"/>
    </xf>
    <xf numFmtId="0" fontId="19" fillId="6" borderId="62">
      <protection locked="0"/>
    </xf>
    <xf numFmtId="0" fontId="19" fillId="6" borderId="62">
      <protection locked="0"/>
    </xf>
    <xf numFmtId="0" fontId="19" fillId="6" borderId="62">
      <protection locked="0"/>
    </xf>
    <xf numFmtId="0" fontId="19" fillId="6" borderId="62">
      <protection locked="0"/>
    </xf>
    <xf numFmtId="0" fontId="19" fillId="6" borderId="62">
      <protection locked="0"/>
    </xf>
    <xf numFmtId="0" fontId="19" fillId="6" borderId="62">
      <protection locked="0"/>
    </xf>
    <xf numFmtId="0" fontId="19" fillId="6" borderId="62">
      <protection locked="0"/>
    </xf>
    <xf numFmtId="0" fontId="19" fillId="6" borderId="62">
      <protection locked="0"/>
    </xf>
    <xf numFmtId="0" fontId="19" fillId="6" borderId="62">
      <protection locked="0"/>
    </xf>
    <xf numFmtId="0" fontId="19" fillId="6" borderId="62">
      <protection locked="0"/>
    </xf>
    <xf numFmtId="0" fontId="19" fillId="6" borderId="62">
      <protection locked="0"/>
    </xf>
    <xf numFmtId="0" fontId="19" fillId="6" borderId="62">
      <protection locked="0"/>
    </xf>
    <xf numFmtId="0" fontId="19" fillId="6" borderId="62">
      <protection locked="0"/>
    </xf>
    <xf numFmtId="0" fontId="19" fillId="6" borderId="62">
      <protection locked="0"/>
    </xf>
    <xf numFmtId="0" fontId="19" fillId="6" borderId="62">
      <protection locked="0"/>
    </xf>
    <xf numFmtId="0" fontId="19" fillId="6" borderId="62">
      <protection locked="0"/>
    </xf>
    <xf numFmtId="0" fontId="19" fillId="6" borderId="62">
      <protection locked="0"/>
    </xf>
    <xf numFmtId="0" fontId="19" fillId="6" borderId="62">
      <protection locked="0"/>
    </xf>
    <xf numFmtId="0" fontId="19" fillId="6" borderId="62">
      <protection locked="0"/>
    </xf>
    <xf numFmtId="0" fontId="19" fillId="6" borderId="62">
      <protection locked="0"/>
    </xf>
    <xf numFmtId="0" fontId="19" fillId="6" borderId="62">
      <protection locked="0"/>
    </xf>
    <xf numFmtId="0" fontId="19" fillId="6" borderId="62">
      <protection locked="0"/>
    </xf>
    <xf numFmtId="0" fontId="19" fillId="6" borderId="62">
      <protection locked="0"/>
    </xf>
    <xf numFmtId="0" fontId="19" fillId="6" borderId="62">
      <protection locked="0"/>
    </xf>
    <xf numFmtId="0" fontId="19" fillId="6" borderId="62">
      <protection locked="0"/>
    </xf>
    <xf numFmtId="0" fontId="19" fillId="6" borderId="62">
      <protection locked="0"/>
    </xf>
    <xf numFmtId="0" fontId="19" fillId="6" borderId="62">
      <protection locked="0"/>
    </xf>
    <xf numFmtId="0" fontId="19" fillId="6" borderId="62">
      <protection locked="0"/>
    </xf>
    <xf numFmtId="0" fontId="19" fillId="6" borderId="62">
      <protection locked="0"/>
    </xf>
    <xf numFmtId="0" fontId="19" fillId="6" borderId="62">
      <protection locked="0"/>
    </xf>
    <xf numFmtId="0" fontId="19" fillId="6" borderId="62">
      <protection locked="0"/>
    </xf>
    <xf numFmtId="0" fontId="19" fillId="6" borderId="62">
      <protection locked="0"/>
    </xf>
    <xf numFmtId="0" fontId="19" fillId="6" borderId="62">
      <protection locked="0"/>
    </xf>
    <xf numFmtId="0" fontId="19" fillId="6" borderId="62">
      <protection locked="0"/>
    </xf>
    <xf numFmtId="0" fontId="19" fillId="6" borderId="62">
      <protection locked="0"/>
    </xf>
    <xf numFmtId="0" fontId="19" fillId="6" borderId="62">
      <protection locked="0"/>
    </xf>
    <xf numFmtId="0" fontId="19" fillId="6" borderId="62">
      <protection locked="0"/>
    </xf>
    <xf numFmtId="0" fontId="19" fillId="6" borderId="62">
      <protection locked="0"/>
    </xf>
    <xf numFmtId="0" fontId="19" fillId="6" borderId="62">
      <protection locked="0"/>
    </xf>
    <xf numFmtId="0" fontId="8" fillId="6" borderId="62"/>
    <xf numFmtId="0" fontId="8" fillId="6" borderId="62"/>
    <xf numFmtId="0" fontId="8" fillId="6" borderId="62"/>
    <xf numFmtId="0" fontId="8" fillId="6" borderId="62"/>
    <xf numFmtId="0" fontId="8" fillId="6" borderId="62"/>
    <xf numFmtId="0" fontId="8" fillId="6" borderId="62"/>
    <xf numFmtId="0" fontId="8" fillId="6" borderId="62"/>
    <xf numFmtId="0" fontId="8" fillId="6" borderId="62"/>
    <xf numFmtId="0" fontId="8" fillId="6" borderId="62"/>
    <xf numFmtId="0" fontId="8" fillId="6" borderId="62"/>
    <xf numFmtId="0" fontId="8" fillId="6" borderId="62"/>
    <xf numFmtId="0" fontId="8" fillId="6" borderId="62"/>
    <xf numFmtId="0" fontId="8" fillId="6" borderId="62"/>
    <xf numFmtId="0" fontId="8" fillId="6" borderId="62"/>
    <xf numFmtId="0" fontId="8" fillId="6" borderId="62"/>
    <xf numFmtId="0" fontId="8" fillId="6" borderId="62"/>
    <xf numFmtId="0" fontId="8" fillId="6" borderId="62"/>
    <xf numFmtId="0" fontId="8" fillId="6" borderId="62"/>
    <xf numFmtId="0" fontId="8" fillId="6" borderId="62"/>
    <xf numFmtId="0" fontId="8" fillId="6" borderId="62"/>
    <xf numFmtId="0" fontId="8" fillId="6" borderId="62"/>
    <xf numFmtId="0" fontId="8" fillId="6" borderId="62"/>
    <xf numFmtId="0" fontId="8" fillId="6" borderId="62"/>
    <xf numFmtId="0" fontId="8" fillId="6" borderId="62"/>
    <xf numFmtId="0" fontId="8" fillId="6" borderId="62"/>
    <xf numFmtId="0" fontId="8" fillId="6" borderId="62"/>
    <xf numFmtId="0" fontId="8" fillId="6" borderId="62"/>
    <xf numFmtId="0" fontId="8" fillId="6" borderId="62"/>
    <xf numFmtId="0" fontId="8" fillId="6" borderId="62"/>
    <xf numFmtId="0" fontId="8" fillId="6" borderId="62"/>
    <xf numFmtId="0" fontId="8" fillId="6" borderId="62"/>
    <xf numFmtId="0" fontId="8" fillId="6" borderId="62"/>
    <xf numFmtId="0" fontId="8" fillId="6" borderId="62"/>
    <xf numFmtId="0" fontId="8" fillId="6" borderId="62"/>
    <xf numFmtId="0" fontId="8" fillId="6" borderId="62"/>
    <xf numFmtId="0" fontId="8" fillId="6" borderId="62"/>
    <xf numFmtId="0" fontId="8" fillId="6" borderId="62"/>
    <xf numFmtId="0" fontId="8" fillId="6" borderId="62"/>
    <xf numFmtId="0" fontId="8" fillId="6" borderId="62"/>
    <xf numFmtId="0" fontId="8" fillId="6" borderId="62"/>
    <xf numFmtId="0" fontId="8" fillId="6" borderId="62"/>
    <xf numFmtId="0" fontId="8" fillId="6" borderId="62"/>
    <xf numFmtId="0" fontId="8" fillId="6" borderId="62"/>
    <xf numFmtId="0" fontId="8" fillId="6" borderId="62"/>
    <xf numFmtId="0" fontId="8" fillId="6" borderId="62"/>
    <xf numFmtId="0" fontId="8" fillId="6" borderId="62"/>
    <xf numFmtId="0" fontId="8" fillId="6" borderId="62"/>
    <xf numFmtId="0" fontId="8" fillId="6" borderId="62"/>
    <xf numFmtId="0" fontId="8" fillId="6" borderId="62"/>
    <xf numFmtId="0" fontId="8" fillId="6" borderId="62"/>
    <xf numFmtId="0" fontId="8" fillId="6" borderId="62"/>
    <xf numFmtId="0" fontId="8" fillId="6" borderId="62"/>
    <xf numFmtId="0" fontId="8" fillId="6" borderId="62"/>
    <xf numFmtId="0" fontId="8" fillId="6" borderId="62"/>
    <xf numFmtId="0" fontId="8" fillId="6" borderId="62"/>
    <xf numFmtId="0" fontId="8" fillId="6" borderId="62"/>
    <xf numFmtId="0" fontId="8" fillId="6" borderId="62"/>
    <xf numFmtId="0" fontId="8" fillId="6" borderId="62"/>
    <xf numFmtId="0" fontId="8" fillId="6" borderId="62"/>
    <xf numFmtId="0" fontId="8" fillId="6" borderId="62"/>
    <xf numFmtId="0" fontId="8" fillId="6" borderId="62"/>
    <xf numFmtId="0" fontId="8" fillId="6" borderId="62"/>
    <xf numFmtId="0" fontId="8" fillId="6" borderId="62"/>
    <xf numFmtId="0" fontId="8" fillId="6" borderId="62"/>
    <xf numFmtId="0" fontId="8" fillId="6" borderId="62"/>
    <xf numFmtId="0" fontId="8" fillId="6" borderId="62"/>
    <xf numFmtId="0" fontId="8" fillId="6" borderId="62"/>
    <xf numFmtId="0" fontId="8" fillId="6" borderId="62"/>
    <xf numFmtId="0" fontId="8" fillId="6" borderId="62"/>
    <xf numFmtId="0" fontId="8" fillId="6" borderId="62"/>
    <xf numFmtId="0" fontId="8" fillId="6" borderId="62"/>
    <xf numFmtId="0" fontId="8" fillId="6" borderId="62"/>
    <xf numFmtId="0" fontId="8" fillId="6" borderId="62"/>
    <xf numFmtId="0" fontId="8" fillId="6" borderId="62"/>
    <xf numFmtId="0" fontId="8" fillId="6" borderId="62"/>
    <xf numFmtId="0" fontId="8" fillId="6" borderId="62"/>
    <xf numFmtId="0" fontId="8" fillId="6" borderId="62"/>
    <xf numFmtId="0" fontId="8" fillId="6" borderId="62"/>
    <xf numFmtId="0" fontId="8" fillId="6" borderId="62"/>
    <xf numFmtId="0" fontId="8" fillId="6" borderId="62"/>
    <xf numFmtId="0" fontId="8" fillId="6" borderId="62"/>
    <xf numFmtId="0" fontId="8" fillId="6" borderId="62"/>
    <xf numFmtId="0" fontId="8" fillId="6" borderId="62"/>
    <xf numFmtId="0" fontId="8" fillId="6" borderId="62"/>
    <xf numFmtId="0" fontId="8" fillId="6" borderId="62"/>
    <xf numFmtId="0" fontId="8" fillId="6" borderId="62"/>
    <xf numFmtId="0" fontId="15" fillId="4" borderId="62">
      <alignment horizontal="left"/>
    </xf>
    <xf numFmtId="0" fontId="15" fillId="4" borderId="62">
      <alignment horizontal="left"/>
    </xf>
    <xf numFmtId="0" fontId="15" fillId="4" borderId="62">
      <alignment horizontal="left"/>
    </xf>
    <xf numFmtId="0" fontId="15" fillId="4" borderId="62">
      <alignment horizontal="left"/>
    </xf>
    <xf numFmtId="0" fontId="15" fillId="4" borderId="62">
      <alignment horizontal="left"/>
    </xf>
    <xf numFmtId="0" fontId="15" fillId="4" borderId="62">
      <alignment horizontal="left"/>
    </xf>
    <xf numFmtId="0" fontId="15" fillId="4" borderId="62">
      <alignment horizontal="left"/>
    </xf>
    <xf numFmtId="0" fontId="15" fillId="4" borderId="62">
      <alignment horizontal="left"/>
    </xf>
    <xf numFmtId="0" fontId="15" fillId="4" borderId="62">
      <alignment horizontal="left"/>
    </xf>
    <xf numFmtId="0" fontId="15" fillId="4" borderId="62">
      <alignment horizontal="left"/>
    </xf>
    <xf numFmtId="0" fontId="15" fillId="4" borderId="62">
      <alignment horizontal="left"/>
    </xf>
    <xf numFmtId="0" fontId="15" fillId="4" borderId="62">
      <alignment horizontal="left"/>
    </xf>
    <xf numFmtId="0" fontId="15" fillId="4" borderId="62">
      <alignment horizontal="left"/>
    </xf>
    <xf numFmtId="0" fontId="15" fillId="4" borderId="62">
      <alignment horizontal="left"/>
    </xf>
    <xf numFmtId="0" fontId="15" fillId="4" borderId="62">
      <alignment horizontal="left"/>
    </xf>
    <xf numFmtId="0" fontId="15" fillId="4" borderId="62">
      <alignment horizontal="left"/>
    </xf>
    <xf numFmtId="0" fontId="15" fillId="4" borderId="62">
      <alignment horizontal="left"/>
    </xf>
    <xf numFmtId="0" fontId="15" fillId="4" borderId="62">
      <alignment horizontal="left"/>
    </xf>
    <xf numFmtId="0" fontId="15" fillId="4" borderId="62">
      <alignment horizontal="left"/>
    </xf>
    <xf numFmtId="0" fontId="15" fillId="4" borderId="62">
      <alignment horizontal="left"/>
    </xf>
    <xf numFmtId="0" fontId="15" fillId="4" borderId="62">
      <alignment horizontal="left"/>
    </xf>
    <xf numFmtId="0" fontId="15" fillId="4" borderId="62">
      <alignment horizontal="left"/>
    </xf>
    <xf numFmtId="0" fontId="15" fillId="4" borderId="62">
      <alignment horizontal="left"/>
    </xf>
    <xf numFmtId="0" fontId="15" fillId="4" borderId="62">
      <alignment horizontal="left"/>
    </xf>
    <xf numFmtId="0" fontId="15" fillId="4" borderId="62">
      <alignment horizontal="left"/>
    </xf>
    <xf numFmtId="0" fontId="15" fillId="4" borderId="62">
      <alignment horizontal="left"/>
    </xf>
    <xf numFmtId="0" fontId="15" fillId="4" borderId="62">
      <alignment horizontal="left"/>
    </xf>
    <xf numFmtId="0" fontId="15" fillId="4" borderId="62">
      <alignment horizontal="left"/>
    </xf>
    <xf numFmtId="0" fontId="15" fillId="4" borderId="62">
      <alignment horizontal="left"/>
    </xf>
    <xf numFmtId="0" fontId="15" fillId="4" borderId="62">
      <alignment horizontal="left"/>
    </xf>
    <xf numFmtId="0" fontId="15" fillId="4" borderId="62">
      <alignment horizontal="left"/>
    </xf>
    <xf numFmtId="0" fontId="15" fillId="4" borderId="62">
      <alignment horizontal="left"/>
    </xf>
    <xf numFmtId="0" fontId="15" fillId="4" borderId="62">
      <alignment horizontal="left"/>
    </xf>
    <xf numFmtId="0" fontId="15" fillId="4" borderId="62">
      <alignment horizontal="left"/>
    </xf>
    <xf numFmtId="0" fontId="15" fillId="4" borderId="62">
      <alignment horizontal="left"/>
    </xf>
    <xf numFmtId="0" fontId="15" fillId="4" borderId="62">
      <alignment horizontal="left"/>
    </xf>
    <xf numFmtId="0" fontId="15" fillId="4" borderId="62">
      <alignment horizontal="left"/>
    </xf>
    <xf numFmtId="0" fontId="15" fillId="4" borderId="62">
      <alignment horizontal="left"/>
    </xf>
    <xf numFmtId="0" fontId="15" fillId="4" borderId="62">
      <alignment horizontal="left"/>
    </xf>
    <xf numFmtId="0" fontId="15" fillId="4" borderId="62">
      <alignment horizontal="left"/>
    </xf>
    <xf numFmtId="0" fontId="15" fillId="4" borderId="62">
      <alignment horizontal="left"/>
    </xf>
    <xf numFmtId="0" fontId="15" fillId="4" borderId="62">
      <alignment horizontal="left"/>
    </xf>
    <xf numFmtId="0" fontId="15" fillId="4" borderId="62">
      <alignment horizontal="left"/>
    </xf>
    <xf numFmtId="0" fontId="15" fillId="4" borderId="62">
      <alignment horizontal="left"/>
    </xf>
    <xf numFmtId="0" fontId="15" fillId="4" borderId="62">
      <alignment horizontal="left"/>
    </xf>
    <xf numFmtId="0" fontId="15" fillId="4" borderId="62">
      <alignment horizontal="left"/>
    </xf>
    <xf numFmtId="0" fontId="15" fillId="4" borderId="62">
      <alignment horizontal="left"/>
    </xf>
    <xf numFmtId="0" fontId="15" fillId="4" borderId="62">
      <alignment horizontal="left"/>
    </xf>
    <xf numFmtId="0" fontId="15" fillId="4" borderId="62">
      <alignment horizontal="left"/>
    </xf>
    <xf numFmtId="0" fontId="15" fillId="4" borderId="62">
      <alignment horizontal="left"/>
    </xf>
    <xf numFmtId="0" fontId="15" fillId="4" borderId="62">
      <alignment horizontal="left"/>
    </xf>
    <xf numFmtId="0" fontId="15" fillId="4" borderId="62">
      <alignment horizontal="left"/>
    </xf>
    <xf numFmtId="0" fontId="15" fillId="4" borderId="62">
      <alignment horizontal="left"/>
    </xf>
    <xf numFmtId="0" fontId="15" fillId="4" borderId="62">
      <alignment horizontal="left"/>
    </xf>
    <xf numFmtId="0" fontId="15" fillId="4" borderId="62">
      <alignment horizontal="left"/>
    </xf>
    <xf numFmtId="0" fontId="15" fillId="4" borderId="62">
      <alignment horizontal="left"/>
    </xf>
    <xf numFmtId="0" fontId="15" fillId="4" borderId="62">
      <alignment horizontal="left"/>
    </xf>
    <xf numFmtId="0" fontId="15" fillId="4" borderId="62">
      <alignment horizontal="left"/>
    </xf>
    <xf numFmtId="0" fontId="15" fillId="4" borderId="62">
      <alignment horizontal="left"/>
    </xf>
    <xf numFmtId="0" fontId="15" fillId="4" borderId="62">
      <alignment horizontal="left"/>
    </xf>
    <xf numFmtId="0" fontId="15" fillId="4" borderId="62">
      <alignment horizontal="left"/>
    </xf>
    <xf numFmtId="0" fontId="15" fillId="4" borderId="62">
      <alignment horizontal="left"/>
    </xf>
    <xf numFmtId="0" fontId="15" fillId="4" borderId="62">
      <alignment horizontal="left"/>
    </xf>
    <xf numFmtId="0" fontId="15" fillId="4" borderId="62">
      <alignment horizontal="left"/>
    </xf>
    <xf numFmtId="0" fontId="15" fillId="4" borderId="62">
      <alignment horizontal="left"/>
    </xf>
    <xf numFmtId="0" fontId="15" fillId="4" borderId="62">
      <alignment horizontal="left"/>
    </xf>
    <xf numFmtId="0" fontId="15" fillId="4" borderId="62">
      <alignment horizontal="left"/>
    </xf>
    <xf numFmtId="0" fontId="15" fillId="4" borderId="62">
      <alignment horizontal="left"/>
    </xf>
    <xf numFmtId="0" fontId="15" fillId="4" borderId="62">
      <alignment horizontal="left"/>
    </xf>
    <xf numFmtId="0" fontId="15" fillId="4" borderId="62">
      <alignment horizontal="left"/>
    </xf>
    <xf numFmtId="0" fontId="15" fillId="4" borderId="62">
      <alignment horizontal="left"/>
    </xf>
    <xf numFmtId="0" fontId="15" fillId="4" borderId="62">
      <alignment horizontal="left"/>
    </xf>
    <xf numFmtId="0" fontId="15" fillId="4" borderId="62">
      <alignment horizontal="left"/>
    </xf>
    <xf numFmtId="0" fontId="15" fillId="4" borderId="62">
      <alignment horizontal="left"/>
    </xf>
    <xf numFmtId="0" fontId="15" fillId="4" borderId="62">
      <alignment horizontal="left"/>
    </xf>
    <xf numFmtId="0" fontId="15" fillId="4" borderId="62">
      <alignment horizontal="left"/>
    </xf>
    <xf numFmtId="0" fontId="15" fillId="4" borderId="62">
      <alignment horizontal="left"/>
    </xf>
    <xf numFmtId="0" fontId="15" fillId="4" borderId="62">
      <alignment horizontal="left"/>
    </xf>
    <xf numFmtId="0" fontId="15" fillId="4" borderId="62">
      <alignment horizontal="left"/>
    </xf>
    <xf numFmtId="0" fontId="15" fillId="4" borderId="62">
      <alignment horizontal="left"/>
    </xf>
    <xf numFmtId="0" fontId="15" fillId="4" borderId="62">
      <alignment horizontal="left"/>
    </xf>
    <xf numFmtId="0" fontId="15" fillId="4" borderId="62">
      <alignment horizontal="left"/>
    </xf>
    <xf numFmtId="0" fontId="15" fillId="4" borderId="62">
      <alignment horizontal="left"/>
    </xf>
    <xf numFmtId="0" fontId="15" fillId="4" borderId="62">
      <alignment horizontal="left"/>
    </xf>
    <xf numFmtId="0" fontId="15" fillId="4" borderId="62">
      <alignment horizontal="left"/>
    </xf>
    <xf numFmtId="0" fontId="15" fillId="4" borderId="62">
      <alignment horizontal="left"/>
    </xf>
    <xf numFmtId="0" fontId="21" fillId="7" borderId="0">
      <alignment horizontal="right" vertical="top" wrapText="1"/>
    </xf>
    <xf numFmtId="0" fontId="50" fillId="0" borderId="64">
      <alignment horizontal="left" vertical="center"/>
    </xf>
    <xf numFmtId="0" fontId="50" fillId="0" borderId="64">
      <alignment horizontal="left" vertical="center"/>
    </xf>
    <xf numFmtId="0" fontId="50" fillId="0" borderId="64">
      <alignment horizontal="left" vertical="center"/>
    </xf>
    <xf numFmtId="10" fontId="9" fillId="6" borderId="62" applyNumberFormat="0" applyBorder="0" applyAlignment="0" applyProtection="0"/>
    <xf numFmtId="10" fontId="9" fillId="6" borderId="62" applyNumberFormat="0" applyBorder="0" applyAlignment="0" applyProtection="0"/>
    <xf numFmtId="0" fontId="7" fillId="5" borderId="0">
      <alignment horizontal="center"/>
    </xf>
    <xf numFmtId="0" fontId="7" fillId="5" borderId="0">
      <alignment horizontal="center"/>
    </xf>
    <xf numFmtId="0" fontId="8" fillId="4" borderId="62">
      <alignment horizontal="centerContinuous" wrapText="1"/>
    </xf>
    <xf numFmtId="0" fontId="8" fillId="4" borderId="62">
      <alignment horizontal="centerContinuous" wrapText="1"/>
    </xf>
    <xf numFmtId="0" fontId="8" fillId="4" borderId="62">
      <alignment horizontal="centerContinuous" wrapText="1"/>
    </xf>
    <xf numFmtId="0" fontId="8" fillId="4" borderId="62">
      <alignment horizontal="centerContinuous" wrapText="1"/>
    </xf>
    <xf numFmtId="0" fontId="8" fillId="4" borderId="62">
      <alignment horizontal="centerContinuous" wrapText="1"/>
    </xf>
    <xf numFmtId="0" fontId="8" fillId="4" borderId="62">
      <alignment horizontal="centerContinuous" wrapText="1"/>
    </xf>
    <xf numFmtId="0" fontId="8" fillId="4" borderId="62">
      <alignment horizontal="centerContinuous" wrapText="1"/>
    </xf>
    <xf numFmtId="0" fontId="8" fillId="4" borderId="62">
      <alignment horizontal="centerContinuous" wrapText="1"/>
    </xf>
    <xf numFmtId="0" fontId="8" fillId="4" borderId="62">
      <alignment horizontal="centerContinuous" wrapText="1"/>
    </xf>
    <xf numFmtId="0" fontId="8" fillId="4" borderId="62">
      <alignment horizontal="centerContinuous" wrapText="1"/>
    </xf>
    <xf numFmtId="0" fontId="8" fillId="4" borderId="62">
      <alignment horizontal="centerContinuous" wrapText="1"/>
    </xf>
    <xf numFmtId="0" fontId="8" fillId="4" borderId="62">
      <alignment horizontal="centerContinuous" wrapText="1"/>
    </xf>
    <xf numFmtId="0" fontId="8" fillId="4" borderId="62">
      <alignment horizontal="centerContinuous" wrapText="1"/>
    </xf>
    <xf numFmtId="0" fontId="8" fillId="4" borderId="62">
      <alignment horizontal="centerContinuous" wrapText="1"/>
    </xf>
    <xf numFmtId="0" fontId="8" fillId="4" borderId="62">
      <alignment horizontal="centerContinuous" wrapText="1"/>
    </xf>
    <xf numFmtId="0" fontId="8" fillId="4" borderId="62">
      <alignment horizontal="centerContinuous" wrapText="1"/>
    </xf>
    <xf numFmtId="0" fontId="8" fillId="4" borderId="62">
      <alignment horizontal="centerContinuous" wrapText="1"/>
    </xf>
    <xf numFmtId="0" fontId="8" fillId="4" borderId="62">
      <alignment horizontal="centerContinuous" wrapText="1"/>
    </xf>
    <xf numFmtId="0" fontId="8" fillId="4" borderId="62">
      <alignment horizontal="centerContinuous" wrapText="1"/>
    </xf>
    <xf numFmtId="0" fontId="8" fillId="4" borderId="62">
      <alignment horizontal="centerContinuous" wrapText="1"/>
    </xf>
    <xf numFmtId="0" fontId="8" fillId="4" borderId="62">
      <alignment horizontal="centerContinuous" wrapText="1"/>
    </xf>
    <xf numFmtId="0" fontId="8" fillId="4" borderId="62">
      <alignment horizontal="centerContinuous" wrapText="1"/>
    </xf>
    <xf numFmtId="0" fontId="8" fillId="4" borderId="62">
      <alignment horizontal="centerContinuous" wrapText="1"/>
    </xf>
    <xf numFmtId="0" fontId="8" fillId="4" borderId="62">
      <alignment horizontal="centerContinuous" wrapText="1"/>
    </xf>
    <xf numFmtId="0" fontId="8" fillId="4" borderId="62">
      <alignment horizontal="centerContinuous" wrapText="1"/>
    </xf>
    <xf numFmtId="0" fontId="8" fillId="4" borderId="62">
      <alignment horizontal="centerContinuous" wrapText="1"/>
    </xf>
    <xf numFmtId="0" fontId="8" fillId="4" borderId="62">
      <alignment horizontal="centerContinuous" wrapText="1"/>
    </xf>
    <xf numFmtId="0" fontId="8" fillId="4" borderId="62">
      <alignment horizontal="centerContinuous" wrapText="1"/>
    </xf>
    <xf numFmtId="0" fontId="8" fillId="4" borderId="62">
      <alignment horizontal="centerContinuous" wrapText="1"/>
    </xf>
    <xf numFmtId="0" fontId="8" fillId="4" borderId="62">
      <alignment horizontal="centerContinuous" wrapText="1"/>
    </xf>
    <xf numFmtId="0" fontId="8" fillId="4" borderId="62">
      <alignment horizontal="centerContinuous" wrapText="1"/>
    </xf>
    <xf numFmtId="0" fontId="8" fillId="4" borderId="62">
      <alignment horizontal="centerContinuous" wrapText="1"/>
    </xf>
    <xf numFmtId="0" fontId="8" fillId="4" borderId="62">
      <alignment horizontal="centerContinuous" wrapText="1"/>
    </xf>
    <xf numFmtId="0" fontId="8" fillId="4" borderId="62">
      <alignment horizontal="centerContinuous" wrapText="1"/>
    </xf>
    <xf numFmtId="0" fontId="8" fillId="4" borderId="62">
      <alignment horizontal="centerContinuous" wrapText="1"/>
    </xf>
    <xf numFmtId="0" fontId="8" fillId="4" borderId="62">
      <alignment horizontal="centerContinuous" wrapText="1"/>
    </xf>
    <xf numFmtId="0" fontId="8" fillId="4" borderId="62">
      <alignment horizontal="centerContinuous" wrapText="1"/>
    </xf>
    <xf numFmtId="0" fontId="8" fillId="4" borderId="62">
      <alignment horizontal="centerContinuous" wrapText="1"/>
    </xf>
    <xf numFmtId="0" fontId="8" fillId="4" borderId="62">
      <alignment horizontal="centerContinuous" wrapText="1"/>
    </xf>
    <xf numFmtId="0" fontId="8" fillId="4" borderId="62">
      <alignment horizontal="centerContinuous" wrapText="1"/>
    </xf>
    <xf numFmtId="0" fontId="8" fillId="4" borderId="62">
      <alignment horizontal="centerContinuous" wrapText="1"/>
    </xf>
    <xf numFmtId="0" fontId="8" fillId="4" borderId="62">
      <alignment horizontal="centerContinuous" wrapText="1"/>
    </xf>
    <xf numFmtId="0" fontId="8" fillId="4" borderId="62">
      <alignment horizontal="centerContinuous" wrapText="1"/>
    </xf>
    <xf numFmtId="0" fontId="8" fillId="4" borderId="62">
      <alignment horizontal="centerContinuous" wrapText="1"/>
    </xf>
    <xf numFmtId="0" fontId="8" fillId="4" borderId="62">
      <alignment horizontal="centerContinuous" wrapText="1"/>
    </xf>
    <xf numFmtId="0" fontId="8" fillId="4" borderId="62">
      <alignment horizontal="centerContinuous" wrapText="1"/>
    </xf>
    <xf numFmtId="0" fontId="8" fillId="4" borderId="62">
      <alignment horizontal="centerContinuous" wrapText="1"/>
    </xf>
    <xf numFmtId="0" fontId="8" fillId="4" borderId="62">
      <alignment horizontal="centerContinuous" wrapText="1"/>
    </xf>
    <xf numFmtId="0" fontId="8" fillId="4" borderId="62">
      <alignment horizontal="centerContinuous" wrapText="1"/>
    </xf>
    <xf numFmtId="0" fontId="8" fillId="4" borderId="62">
      <alignment horizontal="centerContinuous" wrapText="1"/>
    </xf>
    <xf numFmtId="0" fontId="8" fillId="4" borderId="62">
      <alignment horizontal="centerContinuous" wrapText="1"/>
    </xf>
    <xf numFmtId="0" fontId="8" fillId="4" borderId="62">
      <alignment horizontal="centerContinuous" wrapText="1"/>
    </xf>
    <xf numFmtId="0" fontId="8" fillId="4" borderId="62">
      <alignment horizontal="centerContinuous" wrapText="1"/>
    </xf>
    <xf numFmtId="0" fontId="8" fillId="4" borderId="62">
      <alignment horizontal="centerContinuous" wrapText="1"/>
    </xf>
    <xf numFmtId="0" fontId="8" fillId="4" borderId="62">
      <alignment horizontal="centerContinuous" wrapText="1"/>
    </xf>
    <xf numFmtId="0" fontId="8" fillId="4" borderId="62">
      <alignment horizontal="centerContinuous" wrapText="1"/>
    </xf>
    <xf numFmtId="0" fontId="8" fillId="4" borderId="62">
      <alignment horizontal="centerContinuous" wrapText="1"/>
    </xf>
    <xf numFmtId="0" fontId="8" fillId="4" borderId="62">
      <alignment horizontal="centerContinuous" wrapText="1"/>
    </xf>
    <xf numFmtId="0" fontId="8" fillId="4" borderId="62">
      <alignment horizontal="centerContinuous" wrapText="1"/>
    </xf>
    <xf numFmtId="0" fontId="8" fillId="4" borderId="62">
      <alignment horizontal="centerContinuous" wrapText="1"/>
    </xf>
    <xf numFmtId="0" fontId="8" fillId="4" borderId="62">
      <alignment horizontal="centerContinuous" wrapText="1"/>
    </xf>
    <xf numFmtId="0" fontId="8" fillId="4" borderId="62">
      <alignment horizontal="centerContinuous" wrapText="1"/>
    </xf>
    <xf numFmtId="0" fontId="8" fillId="4" borderId="62">
      <alignment horizontal="centerContinuous" wrapText="1"/>
    </xf>
    <xf numFmtId="0" fontId="8" fillId="4" borderId="62">
      <alignment horizontal="centerContinuous" wrapText="1"/>
    </xf>
    <xf numFmtId="0" fontId="8" fillId="4" borderId="62">
      <alignment horizontal="centerContinuous" wrapText="1"/>
    </xf>
    <xf numFmtId="0" fontId="8" fillId="4" borderId="62">
      <alignment horizontal="centerContinuous" wrapText="1"/>
    </xf>
    <xf numFmtId="0" fontId="8" fillId="4" borderId="62">
      <alignment horizontal="centerContinuous" wrapText="1"/>
    </xf>
    <xf numFmtId="0" fontId="8" fillId="4" borderId="62">
      <alignment horizontal="centerContinuous" wrapText="1"/>
    </xf>
    <xf numFmtId="0" fontId="8" fillId="4" borderId="62">
      <alignment horizontal="centerContinuous" wrapText="1"/>
    </xf>
    <xf numFmtId="0" fontId="8" fillId="4" borderId="62">
      <alignment horizontal="centerContinuous" wrapText="1"/>
    </xf>
    <xf numFmtId="0" fontId="8" fillId="4" borderId="62">
      <alignment horizontal="centerContinuous" wrapText="1"/>
    </xf>
    <xf numFmtId="0" fontId="8" fillId="4" borderId="62">
      <alignment horizontal="centerContinuous" wrapText="1"/>
    </xf>
    <xf numFmtId="0" fontId="8" fillId="4" borderId="62">
      <alignment horizontal="centerContinuous" wrapText="1"/>
    </xf>
    <xf numFmtId="0" fontId="8" fillId="4" borderId="62">
      <alignment horizontal="centerContinuous" wrapText="1"/>
    </xf>
    <xf numFmtId="0" fontId="8" fillId="4" borderId="62">
      <alignment horizontal="centerContinuous" wrapText="1"/>
    </xf>
    <xf numFmtId="0" fontId="8" fillId="4" borderId="62">
      <alignment horizontal="centerContinuous" wrapText="1"/>
    </xf>
    <xf numFmtId="0" fontId="8" fillId="4" borderId="62">
      <alignment horizontal="centerContinuous" wrapText="1"/>
    </xf>
    <xf numFmtId="0" fontId="8" fillId="4" borderId="62">
      <alignment horizontal="centerContinuous" wrapText="1"/>
    </xf>
    <xf numFmtId="0" fontId="8" fillId="4" borderId="62">
      <alignment horizontal="centerContinuous" wrapText="1"/>
    </xf>
    <xf numFmtId="0" fontId="8" fillId="4" borderId="62">
      <alignment horizontal="centerContinuous" wrapText="1"/>
    </xf>
    <xf numFmtId="0" fontId="8" fillId="4" borderId="62">
      <alignment horizontal="centerContinuous" wrapText="1"/>
    </xf>
    <xf numFmtId="0" fontId="8" fillId="4" borderId="62">
      <alignment horizontal="centerContinuous" wrapText="1"/>
    </xf>
    <xf numFmtId="0" fontId="8" fillId="4" borderId="62">
      <alignment horizontal="centerContinuous" wrapText="1"/>
    </xf>
    <xf numFmtId="0" fontId="8" fillId="4" borderId="62">
      <alignment horizontal="centerContinuous" wrapText="1"/>
    </xf>
    <xf numFmtId="0" fontId="8" fillId="4" borderId="62">
      <alignment horizontal="centerContinuous" wrapText="1"/>
    </xf>
    <xf numFmtId="0" fontId="8" fillId="4" borderId="62">
      <alignment horizontal="centerContinuous"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70"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9" fillId="4" borderId="64">
      <alignment wrapText="1"/>
    </xf>
    <xf numFmtId="0" fontId="70" fillId="4" borderId="64">
      <alignment wrapText="1"/>
    </xf>
    <xf numFmtId="0" fontId="24" fillId="19" borderId="65">
      <alignment horizontal="left" vertical="top" wrapText="1"/>
    </xf>
    <xf numFmtId="0" fontId="24" fillId="19" borderId="65">
      <alignment horizontal="left" vertical="top" wrapText="1"/>
    </xf>
    <xf numFmtId="0" fontId="10" fillId="0" borderId="0"/>
    <xf numFmtId="0" fontId="10" fillId="0" borderId="0"/>
    <xf numFmtId="0" fontId="10" fillId="0" borderId="0"/>
    <xf numFmtId="0" fontId="10"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0" fillId="0" borderId="0"/>
    <xf numFmtId="0" fontId="10"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0" fillId="0" borderId="0"/>
    <xf numFmtId="0" fontId="10" fillId="0" borderId="0"/>
    <xf numFmtId="0" fontId="10"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0" fillId="0" borderId="0"/>
    <xf numFmtId="0" fontId="10" fillId="0" borderId="0"/>
    <xf numFmtId="0" fontId="10"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0" fillId="0" borderId="0"/>
    <xf numFmtId="0" fontId="10" fillId="0" borderId="0"/>
    <xf numFmtId="0" fontId="5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0"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0"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0"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0"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0" fillId="0" borderId="0"/>
    <xf numFmtId="0" fontId="10" fillId="0" borderId="0"/>
    <xf numFmtId="0" fontId="10"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0" fillId="0" borderId="0"/>
    <xf numFmtId="0" fontId="10" fillId="0" borderId="0"/>
    <xf numFmtId="0" fontId="10" fillId="0" borderId="0"/>
    <xf numFmtId="0" fontId="57" fillId="0" borderId="0"/>
    <xf numFmtId="0" fontId="57" fillId="0" borderId="0"/>
    <xf numFmtId="0" fontId="57" fillId="0" borderId="0"/>
    <xf numFmtId="0" fontId="5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1" fillId="0" borderId="0"/>
    <xf numFmtId="0" fontId="4" fillId="0" borderId="0"/>
    <xf numFmtId="0" fontId="4" fillId="0" borderId="0"/>
    <xf numFmtId="0" fontId="4" fillId="0" borderId="0"/>
    <xf numFmtId="0" fontId="4" fillId="0" borderId="0"/>
    <xf numFmtId="0" fontId="4" fillId="0" borderId="0"/>
    <xf numFmtId="0" fontId="4" fillId="0" borderId="0"/>
    <xf numFmtId="0" fontId="10" fillId="0" borderId="0"/>
    <xf numFmtId="0" fontId="10" fillId="0" borderId="0"/>
    <xf numFmtId="0" fontId="10" fillId="0" borderId="0"/>
    <xf numFmtId="0" fontId="10" fillId="0" borderId="0"/>
    <xf numFmtId="0" fontId="10" fillId="0" borderId="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0" fontId="20" fillId="20" borderId="66" applyNumberFormat="0" applyFont="0" applyAlignment="0" applyProtection="0"/>
    <xf numFmtId="9" fontId="8" fillId="0" borderId="0" applyFont="0" applyFill="0" applyBorder="0" applyAlignment="0" applyProtection="0"/>
    <xf numFmtId="9" fontId="8"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9" fillId="4" borderId="62"/>
    <xf numFmtId="0" fontId="9" fillId="4" borderId="62"/>
    <xf numFmtId="0" fontId="9" fillId="4" borderId="62"/>
    <xf numFmtId="0" fontId="9" fillId="4" borderId="62"/>
    <xf numFmtId="0" fontId="9" fillId="4" borderId="62"/>
    <xf numFmtId="0" fontId="9" fillId="4" borderId="62"/>
    <xf numFmtId="0" fontId="9" fillId="4" borderId="62"/>
    <xf numFmtId="0" fontId="9" fillId="4" borderId="62"/>
    <xf numFmtId="0" fontId="9" fillId="4" borderId="62"/>
    <xf numFmtId="0" fontId="9" fillId="4" borderId="62"/>
    <xf numFmtId="0" fontId="9" fillId="4" borderId="62"/>
    <xf numFmtId="0" fontId="24" fillId="7" borderId="62">
      <alignment horizontal="left" vertical="top" wrapText="1"/>
    </xf>
    <xf numFmtId="0" fontId="24" fillId="7" borderId="62">
      <alignment horizontal="left" vertical="top" wrapText="1"/>
    </xf>
    <xf numFmtId="0" fontId="24" fillId="7" borderId="62">
      <alignment horizontal="left" vertical="top" wrapText="1"/>
    </xf>
    <xf numFmtId="0" fontId="24" fillId="7" borderId="62">
      <alignment horizontal="left" vertical="top" wrapText="1"/>
    </xf>
    <xf numFmtId="0" fontId="24" fillId="7" borderId="62">
      <alignment horizontal="left" vertical="top" wrapText="1"/>
    </xf>
    <xf numFmtId="0" fontId="28" fillId="7" borderId="67">
      <alignment horizontal="left" vertical="top" wrapText="1"/>
    </xf>
    <xf numFmtId="0" fontId="28" fillId="7" borderId="67">
      <alignment horizontal="left" vertical="top" wrapText="1"/>
    </xf>
    <xf numFmtId="0" fontId="28" fillId="7" borderId="67">
      <alignment horizontal="left" vertical="top" wrapText="1"/>
    </xf>
    <xf numFmtId="0" fontId="28" fillId="7" borderId="67">
      <alignment horizontal="left" vertical="top" wrapText="1"/>
    </xf>
    <xf numFmtId="0" fontId="28" fillId="7" borderId="67">
      <alignment horizontal="left" vertical="top" wrapText="1"/>
    </xf>
    <xf numFmtId="0" fontId="28" fillId="7" borderId="67">
      <alignment horizontal="left" vertical="top" wrapText="1"/>
    </xf>
    <xf numFmtId="0" fontId="28" fillId="7" borderId="67">
      <alignment horizontal="left" vertical="top" wrapText="1"/>
    </xf>
    <xf numFmtId="0" fontId="28" fillId="7" borderId="67">
      <alignment horizontal="left" vertical="top" wrapText="1"/>
    </xf>
    <xf numFmtId="0" fontId="28" fillId="7" borderId="67">
      <alignment horizontal="left" vertical="top" wrapText="1"/>
    </xf>
    <xf numFmtId="0" fontId="28" fillId="7" borderId="67">
      <alignment horizontal="left" vertical="top" wrapText="1"/>
    </xf>
    <xf numFmtId="0" fontId="28" fillId="7" borderId="67">
      <alignment horizontal="left" vertical="top" wrapText="1"/>
    </xf>
    <xf numFmtId="0" fontId="28" fillId="7" borderId="67">
      <alignment horizontal="left" vertical="top" wrapText="1"/>
    </xf>
    <xf numFmtId="0" fontId="28" fillId="7" borderId="67">
      <alignment horizontal="left" vertical="top" wrapText="1"/>
    </xf>
    <xf numFmtId="0" fontId="28" fillId="7" borderId="67">
      <alignment horizontal="left" vertical="top" wrapText="1"/>
    </xf>
    <xf numFmtId="0" fontId="28" fillId="7" borderId="67">
      <alignment horizontal="left" vertical="top" wrapText="1"/>
    </xf>
    <xf numFmtId="0" fontId="28" fillId="7" borderId="67">
      <alignment horizontal="left" vertical="top" wrapText="1"/>
    </xf>
    <xf numFmtId="0" fontId="28" fillId="7" borderId="67">
      <alignment horizontal="left" vertical="top" wrapText="1"/>
    </xf>
    <xf numFmtId="0" fontId="28" fillId="7" borderId="67">
      <alignment horizontal="left" vertical="top" wrapText="1"/>
    </xf>
    <xf numFmtId="0" fontId="28" fillId="7" borderId="67">
      <alignment horizontal="left" vertical="top" wrapText="1"/>
    </xf>
    <xf numFmtId="0" fontId="28" fillId="7" borderId="67">
      <alignment horizontal="left" vertical="top" wrapText="1"/>
    </xf>
    <xf numFmtId="0" fontId="28" fillId="7" borderId="67">
      <alignment horizontal="left" vertical="top" wrapText="1"/>
    </xf>
    <xf numFmtId="0" fontId="28" fillId="7" borderId="67">
      <alignment horizontal="left" vertical="top" wrapText="1"/>
    </xf>
    <xf numFmtId="0" fontId="28" fillId="7" borderId="67">
      <alignment horizontal="left" vertical="top" wrapText="1"/>
    </xf>
    <xf numFmtId="0" fontId="28" fillId="7" borderId="67">
      <alignment horizontal="left" vertical="top" wrapText="1"/>
    </xf>
    <xf numFmtId="0" fontId="28" fillId="7" borderId="67">
      <alignment horizontal="left" vertical="top" wrapText="1"/>
    </xf>
    <xf numFmtId="0" fontId="28" fillId="7" borderId="67">
      <alignment horizontal="left" vertical="top" wrapText="1"/>
    </xf>
    <xf numFmtId="0" fontId="28" fillId="7" borderId="67">
      <alignment horizontal="left" vertical="top" wrapText="1"/>
    </xf>
    <xf numFmtId="0" fontId="28" fillId="7" borderId="67">
      <alignment horizontal="left" vertical="top" wrapText="1"/>
    </xf>
    <xf numFmtId="0" fontId="28" fillId="7" borderId="67">
      <alignment horizontal="left" vertical="top" wrapText="1"/>
    </xf>
    <xf numFmtId="0" fontId="28" fillId="7" borderId="67">
      <alignment horizontal="left" vertical="top" wrapText="1"/>
    </xf>
    <xf numFmtId="0" fontId="28" fillId="7" borderId="67">
      <alignment horizontal="left" vertical="top" wrapText="1"/>
    </xf>
    <xf numFmtId="0" fontId="28" fillId="7" borderId="67">
      <alignment horizontal="left" vertical="top" wrapText="1"/>
    </xf>
    <xf numFmtId="0" fontId="28" fillId="7" borderId="67">
      <alignment horizontal="left" vertical="top" wrapText="1"/>
    </xf>
    <xf numFmtId="0" fontId="28" fillId="7" borderId="67">
      <alignment horizontal="left" vertical="top" wrapText="1"/>
    </xf>
    <xf numFmtId="0" fontId="28" fillId="7" borderId="67">
      <alignment horizontal="left" vertical="top" wrapText="1"/>
    </xf>
    <xf numFmtId="0" fontId="28" fillId="7" borderId="67">
      <alignment horizontal="left" vertical="top" wrapText="1"/>
    </xf>
    <xf numFmtId="0" fontId="28" fillId="7" borderId="67">
      <alignment horizontal="left" vertical="top" wrapText="1"/>
    </xf>
    <xf numFmtId="0" fontId="28" fillId="7" borderId="67">
      <alignment horizontal="left" vertical="top" wrapText="1"/>
    </xf>
    <xf numFmtId="0" fontId="28" fillId="7" borderId="67">
      <alignment horizontal="left" vertical="top" wrapText="1"/>
    </xf>
    <xf numFmtId="0" fontId="28" fillId="7" borderId="67">
      <alignment horizontal="left" vertical="top" wrapText="1"/>
    </xf>
    <xf numFmtId="0" fontId="28" fillId="7" borderId="67">
      <alignment horizontal="left" vertical="top" wrapText="1"/>
    </xf>
    <xf numFmtId="0" fontId="28" fillId="7" borderId="67">
      <alignment horizontal="left" vertical="top" wrapText="1"/>
    </xf>
    <xf numFmtId="0" fontId="28" fillId="7" borderId="67">
      <alignment horizontal="left" vertical="top" wrapText="1"/>
    </xf>
    <xf numFmtId="0" fontId="28" fillId="7" borderId="67">
      <alignment horizontal="left" vertical="top" wrapText="1"/>
    </xf>
    <xf numFmtId="0" fontId="28" fillId="7" borderId="67">
      <alignment horizontal="left" vertical="top" wrapText="1"/>
    </xf>
    <xf numFmtId="0" fontId="28" fillId="7" borderId="67">
      <alignment horizontal="left" vertical="top" wrapText="1"/>
    </xf>
    <xf numFmtId="0" fontId="28" fillId="7" borderId="67">
      <alignment horizontal="left" vertical="top" wrapText="1"/>
    </xf>
    <xf numFmtId="0" fontId="24" fillId="7" borderId="68">
      <alignment horizontal="left" vertical="top" wrapText="1"/>
    </xf>
    <xf numFmtId="0" fontId="24" fillId="7" borderId="68">
      <alignment horizontal="left" vertical="top" wrapText="1"/>
    </xf>
    <xf numFmtId="0" fontId="24" fillId="7" borderId="68">
      <alignment horizontal="left" vertical="top" wrapText="1"/>
    </xf>
    <xf numFmtId="0" fontId="24" fillId="7" borderId="68">
      <alignment horizontal="left" vertical="top" wrapText="1"/>
    </xf>
    <xf numFmtId="0" fontId="24" fillId="7" borderId="68">
      <alignment horizontal="left" vertical="top" wrapText="1"/>
    </xf>
    <xf numFmtId="0" fontId="24" fillId="7" borderId="68">
      <alignment horizontal="left" vertical="top" wrapText="1"/>
    </xf>
    <xf numFmtId="0" fontId="24" fillId="7" borderId="68">
      <alignment horizontal="left" vertical="top" wrapText="1"/>
    </xf>
    <xf numFmtId="0" fontId="24" fillId="7" borderId="68">
      <alignment horizontal="left" vertical="top" wrapText="1"/>
    </xf>
    <xf numFmtId="0" fontId="24" fillId="7" borderId="68">
      <alignment horizontal="left" vertical="top" wrapText="1"/>
    </xf>
    <xf numFmtId="0" fontId="24" fillId="7" borderId="68">
      <alignment horizontal="left" vertical="top" wrapText="1"/>
    </xf>
    <xf numFmtId="0" fontId="24" fillId="7" borderId="68">
      <alignment horizontal="left" vertical="top" wrapText="1"/>
    </xf>
    <xf numFmtId="0" fontId="24" fillId="7" borderId="68">
      <alignment horizontal="left" vertical="top" wrapText="1"/>
    </xf>
    <xf numFmtId="0" fontId="24" fillId="7" borderId="68">
      <alignment horizontal="left" vertical="top" wrapText="1"/>
    </xf>
    <xf numFmtId="0" fontId="24" fillId="7" borderId="68">
      <alignment horizontal="left" vertical="top" wrapText="1"/>
    </xf>
    <xf numFmtId="0" fontId="24" fillId="7" borderId="68">
      <alignment horizontal="left" vertical="top" wrapText="1"/>
    </xf>
    <xf numFmtId="0" fontId="24" fillId="7" borderId="68">
      <alignment horizontal="left" vertical="top" wrapText="1"/>
    </xf>
    <xf numFmtId="0" fontId="24" fillId="7" borderId="68">
      <alignment horizontal="left" vertical="top" wrapText="1"/>
    </xf>
    <xf numFmtId="0" fontId="24" fillId="7" borderId="68">
      <alignment horizontal="left" vertical="top" wrapText="1"/>
    </xf>
    <xf numFmtId="0" fontId="24" fillId="7" borderId="68">
      <alignment horizontal="left" vertical="top" wrapText="1"/>
    </xf>
    <xf numFmtId="0" fontId="24" fillId="7" borderId="68">
      <alignment horizontal="left" vertical="top" wrapText="1"/>
    </xf>
    <xf numFmtId="0" fontId="24" fillId="7" borderId="68">
      <alignment horizontal="left" vertical="top" wrapText="1"/>
    </xf>
    <xf numFmtId="0" fontId="24" fillId="7" borderId="68">
      <alignment horizontal="left" vertical="top" wrapText="1"/>
    </xf>
    <xf numFmtId="0" fontId="24" fillId="7" borderId="68">
      <alignment horizontal="left" vertical="top" wrapText="1"/>
    </xf>
    <xf numFmtId="0" fontId="24" fillId="7" borderId="68">
      <alignment horizontal="left" vertical="top" wrapText="1"/>
    </xf>
    <xf numFmtId="0" fontId="24" fillId="7" borderId="68">
      <alignment horizontal="left" vertical="top" wrapText="1"/>
    </xf>
    <xf numFmtId="0" fontId="24" fillId="7" borderId="68">
      <alignment horizontal="left" vertical="top" wrapText="1"/>
    </xf>
    <xf numFmtId="0" fontId="24" fillId="7" borderId="68">
      <alignment horizontal="left" vertical="top" wrapText="1"/>
    </xf>
    <xf numFmtId="0" fontId="24" fillId="7" borderId="68">
      <alignment horizontal="left" vertical="top" wrapText="1"/>
    </xf>
    <xf numFmtId="0" fontId="24" fillId="7" borderId="68">
      <alignment horizontal="left" vertical="top" wrapText="1"/>
    </xf>
    <xf numFmtId="0" fontId="24" fillId="7" borderId="68">
      <alignment horizontal="left" vertical="top" wrapText="1"/>
    </xf>
    <xf numFmtId="0" fontId="24" fillId="7" borderId="68">
      <alignment horizontal="left" vertical="top" wrapText="1"/>
    </xf>
    <xf numFmtId="0" fontId="24" fillId="7" borderId="68">
      <alignment horizontal="left" vertical="top" wrapText="1"/>
    </xf>
    <xf numFmtId="0" fontId="24" fillId="7" borderId="68">
      <alignment horizontal="left" vertical="top" wrapText="1"/>
    </xf>
    <xf numFmtId="0" fontId="24" fillId="7" borderId="68">
      <alignment horizontal="left" vertical="top" wrapText="1"/>
    </xf>
    <xf numFmtId="0" fontId="24" fillId="7" borderId="68">
      <alignment horizontal="left" vertical="top" wrapText="1"/>
    </xf>
    <xf numFmtId="0" fontId="24" fillId="7" borderId="68">
      <alignment horizontal="left" vertical="top" wrapText="1"/>
    </xf>
    <xf numFmtId="0" fontId="24" fillId="7" borderId="68">
      <alignment horizontal="left" vertical="top" wrapText="1"/>
    </xf>
    <xf numFmtId="0" fontId="24" fillId="7" borderId="68">
      <alignment horizontal="left" vertical="top" wrapText="1"/>
    </xf>
    <xf numFmtId="0" fontId="24" fillId="7" borderId="68">
      <alignment horizontal="left" vertical="top" wrapText="1"/>
    </xf>
    <xf numFmtId="0" fontId="24" fillId="7" borderId="68">
      <alignment horizontal="left" vertical="top" wrapText="1"/>
    </xf>
    <xf numFmtId="0" fontId="24" fillId="7" borderId="68">
      <alignment horizontal="left" vertical="top" wrapText="1"/>
    </xf>
    <xf numFmtId="0" fontId="24" fillId="7" borderId="68">
      <alignment horizontal="left" vertical="top" wrapText="1"/>
    </xf>
    <xf numFmtId="0" fontId="24" fillId="7" borderId="68">
      <alignment horizontal="left" vertical="top" wrapText="1"/>
    </xf>
    <xf numFmtId="0" fontId="24" fillId="7" borderId="68">
      <alignment horizontal="left" vertical="top" wrapText="1"/>
    </xf>
    <xf numFmtId="0" fontId="24" fillId="7" borderId="68">
      <alignment horizontal="left" vertical="top" wrapText="1"/>
    </xf>
    <xf numFmtId="0" fontId="24" fillId="7" borderId="68">
      <alignment horizontal="left" vertical="top" wrapText="1"/>
    </xf>
    <xf numFmtId="0" fontId="24" fillId="7" borderId="68">
      <alignment horizontal="left" vertical="top" wrapText="1"/>
    </xf>
    <xf numFmtId="0" fontId="24" fillId="7" borderId="68">
      <alignment horizontal="left" vertical="top" wrapText="1"/>
    </xf>
    <xf numFmtId="0" fontId="24" fillId="7" borderId="68">
      <alignment horizontal="left" vertical="top" wrapText="1"/>
    </xf>
    <xf numFmtId="0" fontId="24" fillId="7" borderId="68">
      <alignment horizontal="left" vertical="top" wrapText="1"/>
    </xf>
    <xf numFmtId="0" fontId="24" fillId="7" borderId="68">
      <alignment horizontal="left" vertical="top" wrapText="1"/>
    </xf>
    <xf numFmtId="0" fontId="24" fillId="7" borderId="67">
      <alignment horizontal="left" vertical="top"/>
    </xf>
    <xf numFmtId="0" fontId="24" fillId="7" borderId="67">
      <alignment horizontal="left" vertical="top"/>
    </xf>
    <xf numFmtId="0" fontId="24" fillId="7" borderId="67">
      <alignment horizontal="left" vertical="top"/>
    </xf>
    <xf numFmtId="0" fontId="24" fillId="7" borderId="67">
      <alignment horizontal="left" vertical="top"/>
    </xf>
    <xf numFmtId="0" fontId="24" fillId="7" borderId="67">
      <alignment horizontal="left" vertical="top"/>
    </xf>
    <xf numFmtId="0" fontId="24" fillId="7" borderId="67">
      <alignment horizontal="left" vertical="top"/>
    </xf>
    <xf numFmtId="0" fontId="24" fillId="7" borderId="67">
      <alignment horizontal="left" vertical="top"/>
    </xf>
    <xf numFmtId="0" fontId="24" fillId="7" borderId="67">
      <alignment horizontal="left" vertical="top"/>
    </xf>
    <xf numFmtId="0" fontId="24" fillId="7" borderId="67">
      <alignment horizontal="left" vertical="top"/>
    </xf>
    <xf numFmtId="0" fontId="24" fillId="7" borderId="67">
      <alignment horizontal="left" vertical="top"/>
    </xf>
    <xf numFmtId="0" fontId="24" fillId="7" borderId="67">
      <alignment horizontal="left" vertical="top"/>
    </xf>
    <xf numFmtId="0" fontId="24" fillId="7" borderId="67">
      <alignment horizontal="left" vertical="top"/>
    </xf>
    <xf numFmtId="0" fontId="24" fillId="7" borderId="67">
      <alignment horizontal="left" vertical="top"/>
    </xf>
    <xf numFmtId="0" fontId="24" fillId="7" borderId="67">
      <alignment horizontal="left" vertical="top"/>
    </xf>
    <xf numFmtId="0" fontId="24" fillId="7" borderId="67">
      <alignment horizontal="left" vertical="top"/>
    </xf>
    <xf numFmtId="0" fontId="24" fillId="7" borderId="67">
      <alignment horizontal="left" vertical="top"/>
    </xf>
    <xf numFmtId="0" fontId="24" fillId="7" borderId="67">
      <alignment horizontal="left" vertical="top"/>
    </xf>
    <xf numFmtId="0" fontId="24" fillId="7" borderId="67">
      <alignment horizontal="left" vertical="top"/>
    </xf>
    <xf numFmtId="0" fontId="24" fillId="7" borderId="67">
      <alignment horizontal="left" vertical="top"/>
    </xf>
    <xf numFmtId="0" fontId="24" fillId="7" borderId="67">
      <alignment horizontal="left" vertical="top"/>
    </xf>
    <xf numFmtId="0" fontId="24" fillId="7" borderId="67">
      <alignment horizontal="left" vertical="top"/>
    </xf>
    <xf numFmtId="0" fontId="24" fillId="7" borderId="67">
      <alignment horizontal="left" vertical="top"/>
    </xf>
    <xf numFmtId="0" fontId="24" fillId="7" borderId="67">
      <alignment horizontal="left" vertical="top"/>
    </xf>
    <xf numFmtId="0" fontId="24" fillId="7" borderId="67">
      <alignment horizontal="left" vertical="top"/>
    </xf>
    <xf numFmtId="0" fontId="24" fillId="7" borderId="67">
      <alignment horizontal="left" vertical="top"/>
    </xf>
    <xf numFmtId="0" fontId="24" fillId="7" borderId="67">
      <alignment horizontal="left" vertical="top"/>
    </xf>
    <xf numFmtId="0" fontId="24" fillId="7" borderId="67">
      <alignment horizontal="left" vertical="top"/>
    </xf>
    <xf numFmtId="0" fontId="24" fillId="7" borderId="67">
      <alignment horizontal="left" vertical="top"/>
    </xf>
    <xf numFmtId="0" fontId="24" fillId="7" borderId="67">
      <alignment horizontal="left" vertical="top"/>
    </xf>
    <xf numFmtId="0" fontId="24" fillId="7" borderId="67">
      <alignment horizontal="left" vertical="top"/>
    </xf>
    <xf numFmtId="0" fontId="24" fillId="7" borderId="67">
      <alignment horizontal="left" vertical="top"/>
    </xf>
    <xf numFmtId="0" fontId="24" fillId="7" borderId="67">
      <alignment horizontal="left" vertical="top"/>
    </xf>
    <xf numFmtId="0" fontId="24" fillId="7" borderId="67">
      <alignment horizontal="left" vertical="top"/>
    </xf>
    <xf numFmtId="0" fontId="24" fillId="7" borderId="67">
      <alignment horizontal="left" vertical="top"/>
    </xf>
    <xf numFmtId="0" fontId="24" fillId="7" borderId="67">
      <alignment horizontal="left" vertical="top"/>
    </xf>
    <xf numFmtId="0" fontId="24" fillId="7" borderId="67">
      <alignment horizontal="left" vertical="top"/>
    </xf>
    <xf numFmtId="0" fontId="24" fillId="7" borderId="67">
      <alignment horizontal="left" vertical="top"/>
    </xf>
    <xf numFmtId="0" fontId="24" fillId="7" borderId="67">
      <alignment horizontal="left" vertical="top"/>
    </xf>
    <xf numFmtId="0" fontId="24" fillId="7" borderId="67">
      <alignment horizontal="left" vertical="top"/>
    </xf>
    <xf numFmtId="0" fontId="24" fillId="7" borderId="67">
      <alignment horizontal="left" vertical="top"/>
    </xf>
    <xf numFmtId="0" fontId="24" fillId="7" borderId="67">
      <alignment horizontal="left" vertical="top"/>
    </xf>
    <xf numFmtId="0" fontId="24" fillId="7" borderId="67">
      <alignment horizontal="left" vertical="top"/>
    </xf>
    <xf numFmtId="0" fontId="24" fillId="7" borderId="67">
      <alignment horizontal="left" vertical="top"/>
    </xf>
    <xf numFmtId="0" fontId="24" fillId="7" borderId="67">
      <alignment horizontal="left" vertical="top"/>
    </xf>
    <xf numFmtId="0" fontId="24" fillId="7" borderId="67">
      <alignment horizontal="left" vertical="top"/>
    </xf>
    <xf numFmtId="0" fontId="24" fillId="7" borderId="67">
      <alignment horizontal="left" vertical="top"/>
    </xf>
    <xf numFmtId="0" fontId="24" fillId="7" borderId="67">
      <alignment horizontal="left" vertical="top"/>
    </xf>
    <xf numFmtId="0" fontId="24" fillId="7" borderId="67">
      <alignment horizontal="left" vertical="top"/>
    </xf>
    <xf numFmtId="0" fontId="24" fillId="7" borderId="67">
      <alignment horizontal="left" vertical="top"/>
    </xf>
    <xf numFmtId="0" fontId="8" fillId="0" borderId="0"/>
    <xf numFmtId="0" fontId="3" fillId="0" borderId="0"/>
    <xf numFmtId="0" fontId="2" fillId="0" borderId="0"/>
    <xf numFmtId="0" fontId="1" fillId="0" borderId="0"/>
    <xf numFmtId="0" fontId="1" fillId="0" borderId="0"/>
    <xf numFmtId="0" fontId="1" fillId="0" borderId="0"/>
  </cellStyleXfs>
  <cellXfs count="494">
    <xf numFmtId="0" fontId="0" fillId="0" borderId="0" xfId="0"/>
    <xf numFmtId="0" fontId="9" fillId="6" borderId="12" xfId="41" applyFont="1" applyFill="1" applyBorder="1" applyAlignment="1">
      <alignment horizontal="left"/>
    </xf>
    <xf numFmtId="0" fontId="9" fillId="6" borderId="11" xfId="41" applyFont="1" applyFill="1" applyBorder="1" applyAlignment="1">
      <alignment horizontal="left"/>
    </xf>
    <xf numFmtId="0" fontId="9" fillId="9" borderId="11" xfId="0" applyFont="1" applyFill="1" applyBorder="1" applyAlignment="1">
      <alignment vertical="center"/>
    </xf>
    <xf numFmtId="49" fontId="9" fillId="9" borderId="4" xfId="0" applyNumberFormat="1" applyFont="1" applyFill="1" applyBorder="1" applyAlignment="1">
      <alignment horizontal="center" vertical="top"/>
    </xf>
    <xf numFmtId="49" fontId="9" fillId="9" borderId="8" xfId="0" applyNumberFormat="1" applyFont="1" applyFill="1" applyBorder="1" applyAlignment="1">
      <alignment horizontal="center" vertical="top"/>
    </xf>
    <xf numFmtId="0" fontId="9" fillId="9" borderId="11" xfId="0" applyFont="1" applyFill="1" applyBorder="1"/>
    <xf numFmtId="1" fontId="9" fillId="9" borderId="0" xfId="0" applyNumberFormat="1" applyFont="1" applyFill="1" applyBorder="1" applyAlignment="1">
      <alignment horizontal="center"/>
    </xf>
    <xf numFmtId="1" fontId="9" fillId="9" borderId="11" xfId="0" applyNumberFormat="1" applyFont="1" applyFill="1" applyBorder="1" applyAlignment="1">
      <alignment horizontal="center"/>
    </xf>
    <xf numFmtId="0" fontId="14" fillId="9" borderId="11" xfId="0" applyFont="1" applyFill="1" applyBorder="1"/>
    <xf numFmtId="0" fontId="9" fillId="9" borderId="14" xfId="0" applyFont="1" applyFill="1" applyBorder="1" applyAlignment="1">
      <alignment vertical="center"/>
    </xf>
    <xf numFmtId="0" fontId="9" fillId="9" borderId="5" xfId="0" applyFont="1" applyFill="1" applyBorder="1" applyAlignment="1">
      <alignment horizontal="center"/>
    </xf>
    <xf numFmtId="0" fontId="14" fillId="9" borderId="5" xfId="0" applyFont="1" applyFill="1" applyBorder="1" applyAlignment="1">
      <alignment horizontal="center"/>
    </xf>
    <xf numFmtId="0" fontId="9" fillId="9" borderId="7" xfId="0" applyFont="1" applyFill="1" applyBorder="1" applyAlignment="1">
      <alignment horizontal="center"/>
    </xf>
    <xf numFmtId="0" fontId="0" fillId="9" borderId="0" xfId="0" applyFill="1"/>
    <xf numFmtId="0" fontId="9" fillId="11" borderId="5" xfId="0" applyFont="1" applyFill="1" applyBorder="1" applyAlignment="1">
      <alignment horizontal="center"/>
    </xf>
    <xf numFmtId="0" fontId="0" fillId="9" borderId="15" xfId="0" applyFont="1" applyFill="1" applyBorder="1" applyAlignment="1">
      <alignment vertical="center"/>
    </xf>
    <xf numFmtId="0" fontId="0" fillId="9" borderId="13" xfId="0" applyFont="1" applyFill="1" applyBorder="1" applyAlignment="1">
      <alignment horizontal="center"/>
    </xf>
    <xf numFmtId="166" fontId="9" fillId="9" borderId="5" xfId="0" applyNumberFormat="1" applyFont="1" applyFill="1" applyBorder="1" applyAlignment="1">
      <alignment horizontal="center" textRotation="180"/>
    </xf>
    <xf numFmtId="0" fontId="12" fillId="9" borderId="13" xfId="51" applyFont="1" applyFill="1" applyBorder="1" applyAlignment="1">
      <alignment horizontal="left"/>
    </xf>
    <xf numFmtId="0" fontId="9" fillId="11" borderId="11" xfId="0" applyFont="1" applyFill="1" applyBorder="1"/>
    <xf numFmtId="0" fontId="14" fillId="12" borderId="11" xfId="0" applyFont="1" applyFill="1" applyBorder="1"/>
    <xf numFmtId="0" fontId="14" fillId="12" borderId="5" xfId="0" applyFont="1" applyFill="1" applyBorder="1" applyAlignment="1">
      <alignment horizontal="center"/>
    </xf>
    <xf numFmtId="0" fontId="12" fillId="9" borderId="5" xfId="51" applyFont="1" applyFill="1" applyBorder="1"/>
    <xf numFmtId="0" fontId="9" fillId="10" borderId="11" xfId="0" applyFont="1" applyFill="1" applyBorder="1"/>
    <xf numFmtId="0" fontId="9" fillId="10" borderId="5" xfId="0" applyFont="1" applyFill="1" applyBorder="1" applyAlignment="1">
      <alignment horizontal="center"/>
    </xf>
    <xf numFmtId="0" fontId="9" fillId="9" borderId="0" xfId="51" applyFont="1" applyFill="1" applyBorder="1"/>
    <xf numFmtId="0" fontId="9" fillId="9" borderId="0" xfId="51" applyFont="1" applyFill="1" applyBorder="1" applyAlignment="1">
      <alignment horizontal="center"/>
    </xf>
    <xf numFmtId="0" fontId="9" fillId="9" borderId="3" xfId="0" applyFont="1" applyFill="1" applyBorder="1" applyAlignment="1">
      <alignment horizontal="center" vertical="center" wrapText="1"/>
    </xf>
    <xf numFmtId="49" fontId="9" fillId="9" borderId="3" xfId="0" applyNumberFormat="1" applyFont="1" applyFill="1" applyBorder="1" applyAlignment="1">
      <alignment horizontal="center" vertical="top"/>
    </xf>
    <xf numFmtId="2" fontId="9" fillId="11" borderId="0" xfId="63" applyNumberFormat="1" applyFont="1" applyFill="1" applyBorder="1" applyAlignment="1">
      <alignment horizontal="center"/>
    </xf>
    <xf numFmtId="2" fontId="9" fillId="11" borderId="11" xfId="63" applyNumberFormat="1" applyFont="1" applyFill="1" applyBorder="1" applyAlignment="1">
      <alignment horizontal="center"/>
    </xf>
    <xf numFmtId="2" fontId="9" fillId="9" borderId="0" xfId="63" applyNumberFormat="1" applyFont="1" applyFill="1" applyBorder="1" applyAlignment="1">
      <alignment horizontal="center"/>
    </xf>
    <xf numFmtId="2" fontId="9" fillId="9" borderId="11" xfId="63" applyNumberFormat="1" applyFont="1" applyFill="1" applyBorder="1" applyAlignment="1">
      <alignment horizontal="center"/>
    </xf>
    <xf numFmtId="2" fontId="14" fillId="9" borderId="0" xfId="63" applyNumberFormat="1" applyFont="1" applyFill="1" applyBorder="1" applyAlignment="1">
      <alignment horizontal="center"/>
    </xf>
    <xf numFmtId="2" fontId="14" fillId="9" borderId="11" xfId="63" applyNumberFormat="1" applyFont="1" applyFill="1" applyBorder="1" applyAlignment="1">
      <alignment horizontal="center"/>
    </xf>
    <xf numFmtId="2" fontId="9" fillId="10" borderId="0" xfId="63" applyNumberFormat="1" applyFont="1" applyFill="1" applyBorder="1" applyAlignment="1">
      <alignment horizontal="center"/>
    </xf>
    <xf numFmtId="2" fontId="9" fillId="10" borderId="11" xfId="63" applyNumberFormat="1" applyFont="1" applyFill="1" applyBorder="1" applyAlignment="1">
      <alignment horizontal="center"/>
    </xf>
    <xf numFmtId="0" fontId="9" fillId="9" borderId="16" xfId="51" applyFont="1" applyFill="1" applyBorder="1"/>
    <xf numFmtId="0" fontId="12" fillId="9" borderId="16" xfId="51" applyFont="1" applyFill="1" applyBorder="1"/>
    <xf numFmtId="0" fontId="12" fillId="9" borderId="16" xfId="51" applyFont="1" applyFill="1" applyBorder="1" applyAlignment="1">
      <alignment horizontal="left"/>
    </xf>
    <xf numFmtId="0" fontId="11" fillId="6" borderId="0" xfId="62" applyFont="1" applyFill="1" applyAlignment="1">
      <alignment vertical="top" wrapText="1"/>
    </xf>
    <xf numFmtId="0" fontId="9" fillId="9" borderId="16" xfId="42" applyFont="1" applyFill="1" applyBorder="1"/>
    <xf numFmtId="0" fontId="9" fillId="9" borderId="0" xfId="0" applyFont="1" applyFill="1" applyAlignment="1">
      <alignment vertical="top"/>
    </xf>
    <xf numFmtId="1" fontId="9" fillId="9" borderId="5" xfId="0" applyNumberFormat="1" applyFont="1" applyFill="1" applyBorder="1" applyAlignment="1">
      <alignment horizontal="center"/>
    </xf>
    <xf numFmtId="2" fontId="9" fillId="11" borderId="5" xfId="63" applyNumberFormat="1" applyFont="1" applyFill="1" applyBorder="1" applyAlignment="1">
      <alignment horizontal="center"/>
    </xf>
    <xf numFmtId="2" fontId="9" fillId="9" borderId="5" xfId="63" applyNumberFormat="1" applyFont="1" applyFill="1" applyBorder="1" applyAlignment="1">
      <alignment horizontal="center"/>
    </xf>
    <xf numFmtId="2" fontId="14" fillId="9" borderId="5" xfId="63" applyNumberFormat="1" applyFont="1" applyFill="1" applyBorder="1" applyAlignment="1">
      <alignment horizontal="center"/>
    </xf>
    <xf numFmtId="2" fontId="9" fillId="10" borderId="5" xfId="63" applyNumberFormat="1" applyFont="1" applyFill="1" applyBorder="1" applyAlignment="1">
      <alignment horizontal="center"/>
    </xf>
    <xf numFmtId="0" fontId="9" fillId="9" borderId="11" xfId="42" applyFont="1" applyFill="1" applyBorder="1"/>
    <xf numFmtId="0" fontId="14" fillId="9" borderId="11" xfId="42" applyFont="1" applyFill="1" applyBorder="1"/>
    <xf numFmtId="0" fontId="9" fillId="9" borderId="8" xfId="0" applyFont="1" applyFill="1" applyBorder="1" applyAlignment="1">
      <alignment horizontal="center" vertical="center" wrapText="1"/>
    </xf>
    <xf numFmtId="0" fontId="9" fillId="10" borderId="14" xfId="0" applyFont="1" applyFill="1" applyBorder="1"/>
    <xf numFmtId="0" fontId="9" fillId="10" borderId="7" xfId="0" applyFont="1" applyFill="1" applyBorder="1" applyAlignment="1">
      <alignment horizontal="center"/>
    </xf>
    <xf numFmtId="2" fontId="9" fillId="10" borderId="6" xfId="63" applyNumberFormat="1" applyFont="1" applyFill="1" applyBorder="1" applyAlignment="1">
      <alignment horizontal="center"/>
    </xf>
    <xf numFmtId="2" fontId="9" fillId="10" borderId="14" xfId="63" applyNumberFormat="1" applyFont="1" applyFill="1" applyBorder="1" applyAlignment="1">
      <alignment horizontal="center"/>
    </xf>
    <xf numFmtId="2" fontId="9" fillId="10" borderId="7" xfId="63" applyNumberFormat="1" applyFont="1" applyFill="1" applyBorder="1" applyAlignment="1">
      <alignment horizontal="center"/>
    </xf>
    <xf numFmtId="0" fontId="9" fillId="9" borderId="0" xfId="42" applyFont="1" applyFill="1" applyBorder="1" applyAlignment="1">
      <alignment horizontal="left"/>
    </xf>
    <xf numFmtId="0" fontId="11" fillId="9" borderId="0" xfId="0" applyFont="1" applyFill="1" applyAlignment="1"/>
    <xf numFmtId="168" fontId="14" fillId="12" borderId="11" xfId="0" applyNumberFormat="1" applyFont="1" applyFill="1" applyBorder="1" applyAlignment="1">
      <alignment horizontal="center"/>
    </xf>
    <xf numFmtId="168" fontId="14" fillId="12" borderId="11" xfId="63" applyNumberFormat="1" applyFont="1" applyFill="1" applyBorder="1" applyAlignment="1">
      <alignment horizontal="center"/>
    </xf>
    <xf numFmtId="168" fontId="14" fillId="12" borderId="5" xfId="63" applyNumberFormat="1" applyFont="1" applyFill="1" applyBorder="1" applyAlignment="1">
      <alignment horizontal="center"/>
    </xf>
    <xf numFmtId="0" fontId="9" fillId="9" borderId="0" xfId="42" applyFont="1" applyFill="1" applyBorder="1" applyAlignment="1">
      <alignment horizontal="left" vertical="center"/>
    </xf>
    <xf numFmtId="0" fontId="9" fillId="9" borderId="0" xfId="32" applyFont="1" applyFill="1" applyBorder="1"/>
    <xf numFmtId="0" fontId="12" fillId="9" borderId="0" xfId="42" applyFont="1" applyFill="1" applyAlignment="1">
      <alignment horizontal="left" vertical="center" wrapText="1"/>
    </xf>
    <xf numFmtId="3" fontId="9" fillId="9" borderId="12" xfId="0" applyNumberFormat="1" applyFont="1" applyFill="1" applyBorder="1" applyAlignment="1">
      <alignment horizontal="left" vertical="center"/>
    </xf>
    <xf numFmtId="3" fontId="9" fillId="9" borderId="12" xfId="42" applyNumberFormat="1" applyFont="1" applyFill="1" applyBorder="1" applyAlignment="1">
      <alignment horizontal="left" vertical="center"/>
    </xf>
    <xf numFmtId="3" fontId="14" fillId="9" borderId="12" xfId="42" applyNumberFormat="1" applyFont="1" applyFill="1" applyBorder="1" applyAlignment="1">
      <alignment horizontal="left" vertical="center"/>
    </xf>
    <xf numFmtId="0" fontId="11" fillId="9" borderId="0" xfId="62" applyFont="1" applyFill="1" applyAlignment="1">
      <alignment vertical="top" wrapText="1"/>
    </xf>
    <xf numFmtId="0" fontId="9" fillId="9" borderId="15" xfId="42" applyFont="1" applyFill="1" applyBorder="1" applyAlignment="1">
      <alignment horizontal="center"/>
    </xf>
    <xf numFmtId="0" fontId="9" fillId="9" borderId="11" xfId="42" applyFont="1" applyFill="1" applyBorder="1" applyAlignment="1">
      <alignment horizontal="center"/>
    </xf>
    <xf numFmtId="0" fontId="9" fillId="9" borderId="13" xfId="42" applyFont="1" applyFill="1" applyBorder="1" applyAlignment="1">
      <alignment horizontal="center"/>
    </xf>
    <xf numFmtId="166" fontId="9" fillId="9" borderId="11" xfId="42" applyNumberFormat="1" applyFont="1" applyFill="1" applyBorder="1" applyAlignment="1">
      <alignment horizontal="center" textRotation="180"/>
    </xf>
    <xf numFmtId="0" fontId="9" fillId="11" borderId="11" xfId="42" applyFont="1" applyFill="1" applyBorder="1" applyAlignment="1">
      <alignment horizontal="center"/>
    </xf>
    <xf numFmtId="0" fontId="14" fillId="9" borderId="11" xfId="42" applyFont="1" applyFill="1" applyBorder="1" applyAlignment="1">
      <alignment horizontal="center"/>
    </xf>
    <xf numFmtId="1" fontId="9" fillId="11" borderId="12" xfId="42" applyNumberFormat="1" applyFont="1" applyFill="1" applyBorder="1" applyAlignment="1">
      <alignment horizontal="left" vertical="center"/>
    </xf>
    <xf numFmtId="1" fontId="9" fillId="11" borderId="20" xfId="42" applyNumberFormat="1" applyFont="1" applyFill="1" applyBorder="1" applyAlignment="1">
      <alignment horizontal="left" vertical="center"/>
    </xf>
    <xf numFmtId="1" fontId="9" fillId="9" borderId="12" xfId="42" applyNumberFormat="1" applyFont="1" applyFill="1" applyBorder="1" applyAlignment="1">
      <alignment horizontal="left" vertical="center"/>
    </xf>
    <xf numFmtId="1" fontId="9" fillId="9" borderId="20" xfId="42" applyNumberFormat="1" applyFont="1" applyFill="1" applyBorder="1" applyAlignment="1">
      <alignment horizontal="left" vertical="center"/>
    </xf>
    <xf numFmtId="0" fontId="9" fillId="9" borderId="11" xfId="51" applyFont="1" applyFill="1" applyBorder="1" applyAlignment="1">
      <alignment horizontal="left"/>
    </xf>
    <xf numFmtId="169" fontId="9" fillId="9" borderId="11" xfId="0" applyNumberFormat="1" applyFont="1" applyFill="1" applyBorder="1" applyAlignment="1">
      <alignment horizontal="right" vertical="center"/>
    </xf>
    <xf numFmtId="169" fontId="9" fillId="9" borderId="11" xfId="42" applyNumberFormat="1" applyFont="1" applyFill="1" applyBorder="1" applyAlignment="1">
      <alignment horizontal="right" vertical="center"/>
    </xf>
    <xf numFmtId="169" fontId="14" fillId="9" borderId="11" xfId="42" applyNumberFormat="1" applyFont="1" applyFill="1" applyBorder="1" applyAlignment="1">
      <alignment horizontal="right" vertical="center"/>
    </xf>
    <xf numFmtId="169" fontId="9" fillId="9" borderId="0" xfId="42" applyNumberFormat="1" applyFont="1" applyFill="1" applyBorder="1" applyAlignment="1">
      <alignment horizontal="right" vertical="center"/>
    </xf>
    <xf numFmtId="169" fontId="9" fillId="9" borderId="29" xfId="42" applyNumberFormat="1" applyFont="1" applyFill="1" applyBorder="1" applyAlignment="1">
      <alignment horizontal="right" vertical="center"/>
    </xf>
    <xf numFmtId="169" fontId="9" fillId="11" borderId="11" xfId="42" applyNumberFormat="1" applyFont="1" applyFill="1" applyBorder="1" applyAlignment="1">
      <alignment horizontal="right" vertical="center"/>
    </xf>
    <xf numFmtId="3" fontId="14" fillId="9" borderId="0" xfId="0" applyNumberFormat="1" applyFont="1" applyFill="1" applyBorder="1" applyAlignment="1">
      <alignment horizontal="left" vertical="center"/>
    </xf>
    <xf numFmtId="167" fontId="9" fillId="9" borderId="35" xfId="42" applyNumberFormat="1" applyFont="1" applyFill="1" applyBorder="1" applyAlignment="1">
      <alignment horizontal="center" vertical="top"/>
    </xf>
    <xf numFmtId="0" fontId="8" fillId="0" borderId="0" xfId="145" applyFont="1"/>
    <xf numFmtId="0" fontId="10" fillId="9" borderId="0" xfId="42" applyFont="1" applyFill="1" applyBorder="1"/>
    <xf numFmtId="0" fontId="10" fillId="9" borderId="0" xfId="42" applyFont="1" applyFill="1"/>
    <xf numFmtId="0" fontId="10" fillId="0" borderId="0" xfId="42" applyFont="1"/>
    <xf numFmtId="0" fontId="10" fillId="0" borderId="0" xfId="42" applyFont="1" applyAlignment="1">
      <alignment textRotation="90"/>
    </xf>
    <xf numFmtId="0" fontId="10" fillId="9" borderId="0" xfId="42" applyFont="1" applyFill="1" applyAlignment="1">
      <alignment textRotation="90"/>
    </xf>
    <xf numFmtId="0" fontId="9" fillId="9" borderId="0" xfId="42" applyFont="1" applyFill="1" applyBorder="1" applyAlignment="1">
      <alignment horizontal="left" vertical="top" textRotation="90" wrapText="1"/>
    </xf>
    <xf numFmtId="0" fontId="29" fillId="9" borderId="0" xfId="42" applyFont="1" applyFill="1" applyBorder="1"/>
    <xf numFmtId="0" fontId="14" fillId="9" borderId="0" xfId="42" applyFont="1" applyFill="1" applyBorder="1" applyAlignment="1">
      <alignment horizontal="center" textRotation="90"/>
    </xf>
    <xf numFmtId="0" fontId="11" fillId="9" borderId="0" xfId="42" applyFont="1" applyFill="1" applyBorder="1"/>
    <xf numFmtId="0" fontId="29" fillId="9" borderId="0" xfId="42" applyFont="1" applyFill="1" applyBorder="1" applyAlignment="1">
      <alignment horizontal="left"/>
    </xf>
    <xf numFmtId="0" fontId="10" fillId="0" borderId="0" xfId="42" applyFont="1" applyAlignment="1">
      <alignment wrapText="1"/>
    </xf>
    <xf numFmtId="0" fontId="9" fillId="9" borderId="25" xfId="42" applyFont="1" applyFill="1" applyBorder="1" applyAlignment="1">
      <alignment horizontal="center" textRotation="90"/>
    </xf>
    <xf numFmtId="0" fontId="9" fillId="9" borderId="29" xfId="42" applyFont="1" applyFill="1" applyBorder="1"/>
    <xf numFmtId="0" fontId="9" fillId="13" borderId="25" xfId="42" applyFont="1" applyFill="1" applyBorder="1"/>
    <xf numFmtId="0" fontId="9" fillId="9" borderId="25" xfId="42" applyFont="1" applyFill="1" applyBorder="1"/>
    <xf numFmtId="0" fontId="10" fillId="9" borderId="47" xfId="42" applyFont="1" applyFill="1" applyBorder="1" applyAlignment="1"/>
    <xf numFmtId="0" fontId="10" fillId="9" borderId="11" xfId="42" applyFont="1" applyFill="1" applyBorder="1" applyAlignment="1"/>
    <xf numFmtId="0" fontId="10" fillId="9" borderId="29" xfId="42" applyFont="1" applyFill="1" applyBorder="1" applyAlignment="1"/>
    <xf numFmtId="0" fontId="14" fillId="9" borderId="25" xfId="42" applyFont="1" applyFill="1" applyBorder="1" applyAlignment="1">
      <alignment horizontal="center" textRotation="90"/>
    </xf>
    <xf numFmtId="0" fontId="12" fillId="9" borderId="29" xfId="146" applyFont="1" applyFill="1" applyBorder="1"/>
    <xf numFmtId="0" fontId="14" fillId="9" borderId="29" xfId="42" applyFont="1" applyFill="1" applyBorder="1"/>
    <xf numFmtId="0" fontId="9" fillId="9" borderId="29" xfId="42" applyFont="1" applyFill="1" applyBorder="1" applyAlignment="1"/>
    <xf numFmtId="0" fontId="9" fillId="11" borderId="25" xfId="42" applyFont="1" applyFill="1" applyBorder="1"/>
    <xf numFmtId="0" fontId="9" fillId="11" borderId="29" xfId="42" applyFont="1" applyFill="1" applyBorder="1"/>
    <xf numFmtId="0" fontId="12" fillId="9" borderId="37" xfId="146" applyFont="1" applyFill="1" applyBorder="1" applyAlignment="1">
      <alignment horizontal="left"/>
    </xf>
    <xf numFmtId="167" fontId="9" fillId="9" borderId="34" xfId="42" applyNumberFormat="1" applyFont="1" applyFill="1" applyBorder="1" applyAlignment="1">
      <alignment horizontal="center" vertical="top"/>
    </xf>
    <xf numFmtId="0" fontId="9" fillId="0" borderId="35" xfId="65" applyFont="1" applyFill="1" applyBorder="1" applyAlignment="1">
      <alignment horizontal="center" vertical="top" wrapText="1"/>
    </xf>
    <xf numFmtId="0" fontId="9" fillId="0" borderId="3" xfId="65" applyFont="1" applyFill="1" applyBorder="1" applyAlignment="1">
      <alignment horizontal="center" vertical="top" wrapText="1"/>
    </xf>
    <xf numFmtId="0" fontId="9" fillId="0" borderId="34" xfId="65" applyFont="1" applyFill="1" applyBorder="1" applyAlignment="1">
      <alignment horizontal="center" vertical="top" wrapText="1"/>
    </xf>
    <xf numFmtId="0" fontId="9" fillId="0" borderId="50" xfId="65" applyFont="1" applyFill="1" applyBorder="1" applyAlignment="1">
      <alignment horizontal="center" vertical="top" wrapText="1"/>
    </xf>
    <xf numFmtId="0" fontId="9" fillId="9" borderId="0" xfId="42" applyFont="1" applyFill="1" applyBorder="1" applyAlignment="1">
      <alignment horizontal="left" vertical="top"/>
    </xf>
    <xf numFmtId="0" fontId="9" fillId="9" borderId="0" xfId="42" applyFont="1" applyFill="1" applyBorder="1"/>
    <xf numFmtId="169" fontId="12" fillId="9" borderId="11" xfId="42" applyNumberFormat="1" applyFont="1" applyFill="1" applyBorder="1" applyAlignment="1">
      <alignment horizontal="right" vertical="center"/>
    </xf>
    <xf numFmtId="0" fontId="9" fillId="9" borderId="0" xfId="42" applyFont="1" applyFill="1" applyBorder="1" applyAlignment="1"/>
    <xf numFmtId="0" fontId="14" fillId="9" borderId="0" xfId="0" applyFont="1" applyFill="1"/>
    <xf numFmtId="1" fontId="9" fillId="9" borderId="0" xfId="42" applyNumberFormat="1" applyFont="1" applyFill="1" applyBorder="1" applyAlignment="1">
      <alignment horizontal="left" vertical="center"/>
    </xf>
    <xf numFmtId="0" fontId="9" fillId="9" borderId="5" xfId="42" applyFont="1" applyFill="1" applyBorder="1" applyAlignment="1">
      <alignment horizontal="center"/>
    </xf>
    <xf numFmtId="49" fontId="9" fillId="9" borderId="11" xfId="42" applyNumberFormat="1" applyFont="1" applyFill="1" applyBorder="1" applyAlignment="1">
      <alignment horizontal="right" vertical="center"/>
    </xf>
    <xf numFmtId="49" fontId="9" fillId="9" borderId="12" xfId="42" applyNumberFormat="1" applyFont="1" applyFill="1" applyBorder="1" applyAlignment="1">
      <alignment horizontal="left" vertical="center"/>
    </xf>
    <xf numFmtId="0" fontId="9" fillId="9" borderId="29" xfId="42" quotePrefix="1" applyFont="1" applyFill="1" applyBorder="1" applyAlignment="1">
      <alignment horizontal="right" vertical="center"/>
    </xf>
    <xf numFmtId="0" fontId="9" fillId="9" borderId="12" xfId="42" quotePrefix="1" applyFont="1" applyFill="1" applyBorder="1" applyAlignment="1">
      <alignment horizontal="left" vertical="center"/>
    </xf>
    <xf numFmtId="0" fontId="9" fillId="9" borderId="11" xfId="42" quotePrefix="1" applyFont="1" applyFill="1" applyBorder="1" applyAlignment="1">
      <alignment horizontal="right" vertical="center"/>
    </xf>
    <xf numFmtId="0" fontId="9" fillId="9" borderId="20" xfId="42" quotePrefix="1" applyFont="1" applyFill="1" applyBorder="1" applyAlignment="1">
      <alignment horizontal="left" vertical="center"/>
    </xf>
    <xf numFmtId="0" fontId="9" fillId="9" borderId="0" xfId="42" quotePrefix="1" applyFont="1" applyFill="1" applyBorder="1" applyAlignment="1">
      <alignment horizontal="left" vertical="center"/>
    </xf>
    <xf numFmtId="0" fontId="9" fillId="9" borderId="0" xfId="42" quotePrefix="1" applyFont="1" applyFill="1" applyBorder="1" applyAlignment="1">
      <alignment horizontal="right" vertical="center"/>
    </xf>
    <xf numFmtId="0" fontId="9" fillId="9" borderId="0" xfId="145" applyFont="1" applyFill="1"/>
    <xf numFmtId="0" fontId="11" fillId="9" borderId="0" xfId="42" applyFont="1" applyFill="1" applyAlignment="1">
      <alignment vertical="top" wrapText="1"/>
    </xf>
    <xf numFmtId="0" fontId="11" fillId="9" borderId="0" xfId="42" applyFont="1" applyFill="1" applyAlignment="1">
      <alignment horizontal="left" vertical="top"/>
    </xf>
    <xf numFmtId="0" fontId="11" fillId="9" borderId="0" xfId="42" applyFont="1" applyFill="1" applyAlignment="1">
      <alignment horizontal="left" vertical="top" wrapText="1"/>
    </xf>
    <xf numFmtId="0" fontId="11" fillId="9" borderId="0" xfId="145" applyFont="1" applyFill="1" applyAlignment="1"/>
    <xf numFmtId="0" fontId="14" fillId="9" borderId="0" xfId="145" applyFont="1" applyFill="1"/>
    <xf numFmtId="0" fontId="9" fillId="9" borderId="0" xfId="59" applyFont="1" applyFill="1" applyBorder="1" applyAlignment="1">
      <alignment horizontal="left"/>
    </xf>
    <xf numFmtId="0" fontId="9" fillId="9" borderId="12" xfId="41" applyFont="1" applyFill="1" applyBorder="1" applyAlignment="1">
      <alignment horizontal="left"/>
    </xf>
    <xf numFmtId="186" fontId="11" fillId="6" borderId="0" xfId="24112" applyNumberFormat="1" applyFont="1" applyFill="1" applyAlignment="1">
      <alignment vertical="top" wrapText="1"/>
    </xf>
    <xf numFmtId="0" fontId="14" fillId="9" borderId="0" xfId="42" applyFont="1" applyFill="1" applyBorder="1" applyAlignment="1">
      <alignment horizontal="center"/>
    </xf>
    <xf numFmtId="169" fontId="14" fillId="9" borderId="0" xfId="0" applyNumberFormat="1" applyFont="1" applyFill="1" applyBorder="1" applyAlignment="1">
      <alignment horizontal="right" vertical="center"/>
    </xf>
    <xf numFmtId="167" fontId="9" fillId="9" borderId="3" xfId="42" applyNumberFormat="1" applyFont="1" applyFill="1" applyBorder="1" applyAlignment="1">
      <alignment horizontal="center" vertical="top"/>
    </xf>
    <xf numFmtId="0" fontId="12" fillId="9" borderId="0" xfId="42" applyFont="1" applyFill="1" applyBorder="1"/>
    <xf numFmtId="0" fontId="9" fillId="9" borderId="0" xfId="144" applyFont="1" applyFill="1" applyAlignment="1">
      <alignment horizontal="left"/>
    </xf>
    <xf numFmtId="0" fontId="9" fillId="9" borderId="22" xfId="61" applyFont="1" applyFill="1" applyBorder="1" applyAlignment="1">
      <alignment vertical="center"/>
    </xf>
    <xf numFmtId="0" fontId="9" fillId="11" borderId="11" xfId="57" applyNumberFormat="1" applyFont="1" applyFill="1" applyBorder="1" applyAlignment="1">
      <alignment horizontal="left"/>
    </xf>
    <xf numFmtId="1" fontId="9" fillId="11" borderId="11" xfId="144" quotePrefix="1" applyNumberFormat="1" applyFont="1" applyFill="1" applyBorder="1" applyAlignment="1">
      <alignment horizontal="right" vertical="center"/>
    </xf>
    <xf numFmtId="1" fontId="9" fillId="11" borderId="12" xfId="144" quotePrefix="1" applyNumberFormat="1" applyFont="1" applyFill="1" applyBorder="1" applyAlignment="1">
      <alignment horizontal="left" vertical="center"/>
    </xf>
    <xf numFmtId="1" fontId="9" fillId="9" borderId="12" xfId="144" quotePrefix="1" applyNumberFormat="1" applyFont="1" applyFill="1" applyBorder="1" applyAlignment="1">
      <alignment horizontal="left" vertical="center"/>
    </xf>
    <xf numFmtId="0" fontId="9" fillId="9" borderId="11" xfId="57" applyNumberFormat="1" applyFont="1" applyFill="1" applyBorder="1" applyAlignment="1">
      <alignment horizontal="left"/>
    </xf>
    <xf numFmtId="169" fontId="9" fillId="11" borderId="29" xfId="42" applyNumberFormat="1" applyFont="1" applyFill="1" applyBorder="1" applyAlignment="1">
      <alignment horizontal="right" vertical="center"/>
    </xf>
    <xf numFmtId="1" fontId="9" fillId="11" borderId="0" xfId="42" applyNumberFormat="1" applyFont="1" applyFill="1" applyBorder="1" applyAlignment="1">
      <alignment horizontal="left" vertical="center"/>
    </xf>
    <xf numFmtId="0" fontId="9" fillId="11" borderId="11" xfId="42" applyFont="1" applyFill="1" applyBorder="1"/>
    <xf numFmtId="1" fontId="9" fillId="9" borderId="11" xfId="144" quotePrefix="1" applyNumberFormat="1" applyFont="1" applyFill="1" applyBorder="1" applyAlignment="1">
      <alignment horizontal="right" vertical="center"/>
    </xf>
    <xf numFmtId="0" fontId="14" fillId="22" borderId="11" xfId="42" applyFont="1" applyFill="1" applyBorder="1"/>
    <xf numFmtId="0" fontId="14" fillId="22" borderId="11" xfId="57" applyNumberFormat="1" applyFont="1" applyFill="1" applyBorder="1" applyAlignment="1">
      <alignment horizontal="left"/>
    </xf>
    <xf numFmtId="1" fontId="14" fillId="22" borderId="11" xfId="144" quotePrefix="1" applyNumberFormat="1" applyFont="1" applyFill="1" applyBorder="1" applyAlignment="1">
      <alignment horizontal="right" vertical="center"/>
    </xf>
    <xf numFmtId="1" fontId="14" fillId="22" borderId="12" xfId="144" quotePrefix="1" applyNumberFormat="1" applyFont="1" applyFill="1" applyBorder="1" applyAlignment="1">
      <alignment horizontal="left" vertical="center"/>
    </xf>
    <xf numFmtId="0" fontId="9" fillId="11" borderId="16" xfId="51" applyFont="1" applyFill="1" applyBorder="1"/>
    <xf numFmtId="0" fontId="14" fillId="22" borderId="16" xfId="42" applyFont="1" applyFill="1" applyBorder="1" applyAlignment="1">
      <alignment vertical="center"/>
    </xf>
    <xf numFmtId="0" fontId="14" fillId="22" borderId="16" xfId="42" applyFont="1" applyFill="1" applyBorder="1" applyAlignment="1">
      <alignment vertical="center" wrapText="1"/>
    </xf>
    <xf numFmtId="169" fontId="14" fillId="22" borderId="29" xfId="42" applyNumberFormat="1" applyFont="1" applyFill="1" applyBorder="1" applyAlignment="1">
      <alignment horizontal="right" vertical="center"/>
    </xf>
    <xf numFmtId="1" fontId="14" fillId="22" borderId="12" xfId="42" applyNumberFormat="1" applyFont="1" applyFill="1" applyBorder="1" applyAlignment="1">
      <alignment horizontal="left" vertical="center"/>
    </xf>
    <xf numFmtId="169" fontId="14" fillId="22" borderId="11" xfId="42" applyNumberFormat="1" applyFont="1" applyFill="1" applyBorder="1" applyAlignment="1">
      <alignment horizontal="right" vertical="center"/>
    </xf>
    <xf numFmtId="1" fontId="14" fillId="22" borderId="20" xfId="42" applyNumberFormat="1" applyFont="1" applyFill="1" applyBorder="1" applyAlignment="1">
      <alignment horizontal="left" vertical="center"/>
    </xf>
    <xf numFmtId="1" fontId="14" fillId="22" borderId="0" xfId="42" applyNumberFormat="1" applyFont="1" applyFill="1" applyBorder="1" applyAlignment="1">
      <alignment horizontal="left" vertical="center"/>
    </xf>
    <xf numFmtId="0" fontId="14" fillId="22" borderId="31" xfId="42" applyFont="1" applyFill="1" applyBorder="1" applyAlignment="1">
      <alignment vertical="center"/>
    </xf>
    <xf numFmtId="0" fontId="9" fillId="9" borderId="71" xfId="42" quotePrefix="1" applyFont="1" applyFill="1" applyBorder="1" applyAlignment="1">
      <alignment horizontal="left" vertical="center"/>
    </xf>
    <xf numFmtId="0" fontId="9" fillId="9" borderId="71" xfId="42" quotePrefix="1" applyFont="1" applyFill="1" applyBorder="1" applyAlignment="1">
      <alignment horizontal="right" vertical="center"/>
    </xf>
    <xf numFmtId="169" fontId="9" fillId="11" borderId="0" xfId="42" applyNumberFormat="1" applyFont="1" applyFill="1" applyBorder="1" applyAlignment="1">
      <alignment horizontal="right" vertical="center"/>
    </xf>
    <xf numFmtId="169" fontId="12" fillId="9" borderId="0" xfId="42" applyNumberFormat="1" applyFont="1" applyFill="1" applyBorder="1" applyAlignment="1">
      <alignment horizontal="right" vertical="center"/>
    </xf>
    <xf numFmtId="169" fontId="14" fillId="22" borderId="0" xfId="42" applyNumberFormat="1" applyFont="1" applyFill="1" applyBorder="1" applyAlignment="1">
      <alignment horizontal="right" vertical="center"/>
    </xf>
    <xf numFmtId="0" fontId="9" fillId="9" borderId="70" xfId="42" quotePrefix="1" applyFont="1" applyFill="1" applyBorder="1" applyAlignment="1">
      <alignment horizontal="right" vertical="center"/>
    </xf>
    <xf numFmtId="0" fontId="9" fillId="9" borderId="69" xfId="42" quotePrefix="1" applyFont="1" applyFill="1" applyBorder="1" applyAlignment="1">
      <alignment horizontal="left" vertical="center"/>
    </xf>
    <xf numFmtId="0" fontId="9" fillId="9" borderId="77" xfId="42" quotePrefix="1" applyFont="1" applyFill="1" applyBorder="1" applyAlignment="1">
      <alignment horizontal="right" vertical="center"/>
    </xf>
    <xf numFmtId="0" fontId="9" fillId="9" borderId="78" xfId="42" quotePrefix="1" applyFont="1" applyFill="1" applyBorder="1" applyAlignment="1">
      <alignment horizontal="left" vertical="center"/>
    </xf>
    <xf numFmtId="169" fontId="14" fillId="22" borderId="24" xfId="42" applyNumberFormat="1" applyFont="1" applyFill="1" applyBorder="1" applyAlignment="1">
      <alignment horizontal="right" vertical="center"/>
    </xf>
    <xf numFmtId="1" fontId="14" fillId="22" borderId="36" xfId="42" applyNumberFormat="1" applyFont="1" applyFill="1" applyBorder="1" applyAlignment="1">
      <alignment horizontal="left" vertical="center"/>
    </xf>
    <xf numFmtId="169" fontId="14" fillId="22" borderId="32" xfId="42" applyNumberFormat="1" applyFont="1" applyFill="1" applyBorder="1" applyAlignment="1">
      <alignment horizontal="right" vertical="center"/>
    </xf>
    <xf numFmtId="1" fontId="14" fillId="22" borderId="23" xfId="42" applyNumberFormat="1" applyFont="1" applyFill="1" applyBorder="1" applyAlignment="1">
      <alignment horizontal="left" vertical="center"/>
    </xf>
    <xf numFmtId="169" fontId="14" fillId="22" borderId="23" xfId="42" applyNumberFormat="1" applyFont="1" applyFill="1" applyBorder="1" applyAlignment="1">
      <alignment horizontal="right" vertical="center"/>
    </xf>
    <xf numFmtId="1" fontId="14" fillId="22" borderId="21" xfId="42" applyNumberFormat="1" applyFont="1" applyFill="1" applyBorder="1" applyAlignment="1">
      <alignment horizontal="left" vertical="center"/>
    </xf>
    <xf numFmtId="169" fontId="12" fillId="9" borderId="29" xfId="42" applyNumberFormat="1" applyFont="1" applyFill="1" applyBorder="1" applyAlignment="1">
      <alignment horizontal="right" vertical="center"/>
    </xf>
    <xf numFmtId="0" fontId="9" fillId="11" borderId="16" xfId="42" applyFont="1" applyFill="1" applyBorder="1" applyAlignment="1">
      <alignment horizontal="center"/>
    </xf>
    <xf numFmtId="0" fontId="9" fillId="11" borderId="5" xfId="42" applyFont="1" applyFill="1" applyBorder="1" applyAlignment="1">
      <alignment horizontal="center"/>
    </xf>
    <xf numFmtId="0" fontId="9" fillId="11" borderId="47" xfId="42" applyFont="1" applyFill="1" applyBorder="1" applyAlignment="1">
      <alignment horizontal="center"/>
    </xf>
    <xf numFmtId="0" fontId="9" fillId="9" borderId="16" xfId="42" applyFont="1" applyFill="1" applyBorder="1" applyAlignment="1">
      <alignment horizontal="center"/>
    </xf>
    <xf numFmtId="0" fontId="9" fillId="9" borderId="47" xfId="42" applyFont="1" applyFill="1" applyBorder="1" applyAlignment="1">
      <alignment horizontal="center"/>
    </xf>
    <xf numFmtId="49" fontId="9" fillId="9" borderId="70" xfId="42" applyNumberFormat="1" applyFont="1" applyFill="1" applyBorder="1" applyAlignment="1">
      <alignment horizontal="right" vertical="center"/>
    </xf>
    <xf numFmtId="49" fontId="9" fillId="9" borderId="69" xfId="42" applyNumberFormat="1" applyFont="1" applyFill="1" applyBorder="1" applyAlignment="1">
      <alignment horizontal="left" vertical="center"/>
    </xf>
    <xf numFmtId="0" fontId="14" fillId="22" borderId="14" xfId="42" applyFont="1" applyFill="1" applyBorder="1" applyAlignment="1">
      <alignment vertical="center"/>
    </xf>
    <xf numFmtId="0" fontId="14" fillId="22" borderId="14" xfId="57" applyNumberFormat="1" applyFont="1" applyFill="1" applyBorder="1" applyAlignment="1">
      <alignment horizontal="left" vertical="center"/>
    </xf>
    <xf numFmtId="1" fontId="14" fillId="22" borderId="14" xfId="144" quotePrefix="1" applyNumberFormat="1" applyFont="1" applyFill="1" applyBorder="1" applyAlignment="1">
      <alignment horizontal="right" vertical="center"/>
    </xf>
    <xf numFmtId="1" fontId="14" fillId="22" borderId="17" xfId="144" quotePrefix="1" applyNumberFormat="1" applyFont="1" applyFill="1" applyBorder="1" applyAlignment="1">
      <alignment horizontal="left" vertical="center"/>
    </xf>
    <xf numFmtId="0" fontId="12" fillId="6" borderId="0" xfId="42" applyFont="1" applyFill="1" applyAlignment="1">
      <alignment horizontal="left" vertical="center"/>
    </xf>
    <xf numFmtId="0" fontId="14" fillId="22" borderId="73" xfId="144" applyFont="1" applyFill="1" applyBorder="1" applyAlignment="1">
      <alignment vertical="center" wrapText="1"/>
    </xf>
    <xf numFmtId="0" fontId="12" fillId="6" borderId="11" xfId="41" applyFont="1" applyFill="1" applyBorder="1" applyAlignment="1">
      <alignment horizontal="left"/>
    </xf>
    <xf numFmtId="0" fontId="12" fillId="6" borderId="12" xfId="41" applyFont="1" applyFill="1" applyBorder="1" applyAlignment="1">
      <alignment horizontal="left"/>
    </xf>
    <xf numFmtId="0" fontId="11" fillId="6" borderId="11" xfId="41" applyFont="1" applyFill="1" applyBorder="1" applyAlignment="1">
      <alignment horizontal="left"/>
    </xf>
    <xf numFmtId="0" fontId="11" fillId="9" borderId="0" xfId="42" applyFont="1" applyFill="1" applyAlignment="1">
      <alignment horizontal="left" vertical="center" wrapText="1"/>
    </xf>
    <xf numFmtId="0" fontId="12" fillId="9" borderId="0" xfId="51" applyFont="1" applyFill="1" applyBorder="1" applyAlignment="1">
      <alignment horizontal="left" vertical="center"/>
    </xf>
    <xf numFmtId="0" fontId="11" fillId="6" borderId="0" xfId="62" applyFont="1" applyFill="1" applyAlignment="1">
      <alignment horizontal="left" vertical="center" wrapText="1"/>
    </xf>
    <xf numFmtId="0" fontId="12" fillId="9" borderId="0" xfId="42" applyFont="1" applyFill="1" applyAlignment="1">
      <alignment horizontal="left" vertical="top" wrapText="1"/>
    </xf>
    <xf numFmtId="0" fontId="9" fillId="9" borderId="0" xfId="32" applyFont="1" applyFill="1"/>
    <xf numFmtId="0" fontId="8" fillId="0" borderId="0" xfId="32" applyFont="1"/>
    <xf numFmtId="0" fontId="73" fillId="9" borderId="11" xfId="16" applyFont="1" applyFill="1" applyBorder="1" applyAlignment="1" applyProtection="1">
      <alignment horizontal="left"/>
    </xf>
    <xf numFmtId="0" fontId="9" fillId="23" borderId="72" xfId="4597" applyFont="1" applyFill="1" applyBorder="1"/>
    <xf numFmtId="0" fontId="9" fillId="23" borderId="74" xfId="4597" applyFont="1" applyFill="1" applyBorder="1" applyAlignment="1">
      <alignment wrapText="1"/>
    </xf>
    <xf numFmtId="0" fontId="9" fillId="23" borderId="86" xfId="4597" applyFont="1" applyFill="1" applyBorder="1" applyAlignment="1">
      <alignment horizontal="left"/>
    </xf>
    <xf numFmtId="0" fontId="9" fillId="23" borderId="87" xfId="4597" applyFont="1" applyFill="1" applyBorder="1" applyAlignment="1">
      <alignment wrapText="1"/>
    </xf>
    <xf numFmtId="0" fontId="9" fillId="14" borderId="84" xfId="29815" applyFont="1" applyFill="1" applyBorder="1"/>
    <xf numFmtId="0" fontId="9" fillId="14" borderId="85" xfId="29815" applyFont="1" applyFill="1" applyBorder="1" applyAlignment="1">
      <alignment wrapText="1"/>
    </xf>
    <xf numFmtId="0" fontId="12" fillId="9" borderId="0" xfId="42" applyFont="1" applyFill="1" applyAlignment="1">
      <alignment horizontal="left"/>
    </xf>
    <xf numFmtId="0" fontId="12" fillId="9" borderId="5" xfId="4459" applyFont="1" applyFill="1" applyBorder="1" applyAlignment="1">
      <alignment horizontal="left"/>
    </xf>
    <xf numFmtId="0" fontId="11" fillId="6" borderId="0" xfId="42" applyFont="1" applyFill="1" applyAlignment="1">
      <alignment horizontal="center" textRotation="90"/>
    </xf>
    <xf numFmtId="0" fontId="11" fillId="9" borderId="0" xfId="4763" applyFont="1" applyFill="1" applyAlignment="1">
      <alignment horizontal="center" vertical="top"/>
    </xf>
    <xf numFmtId="0" fontId="11" fillId="9" borderId="0" xfId="4763" applyFont="1" applyFill="1" applyAlignment="1">
      <alignment horizontal="left" vertical="top"/>
    </xf>
    <xf numFmtId="0" fontId="9" fillId="9" borderId="0" xfId="61" applyFont="1" applyFill="1" applyBorder="1" applyAlignment="1">
      <alignment vertical="center"/>
    </xf>
    <xf numFmtId="0" fontId="9" fillId="9" borderId="0" xfId="32" applyFont="1" applyFill="1" applyBorder="1" applyAlignment="1">
      <alignment vertical="center"/>
    </xf>
    <xf numFmtId="0" fontId="9" fillId="9" borderId="0" xfId="32" applyFont="1" applyFill="1" applyBorder="1" applyAlignment="1">
      <alignment horizontal="center"/>
    </xf>
    <xf numFmtId="0" fontId="9" fillId="9" borderId="0" xfId="51" applyFont="1" applyFill="1" applyBorder="1" applyAlignment="1"/>
    <xf numFmtId="0" fontId="9" fillId="9" borderId="0" xfId="42" applyFont="1" applyFill="1" applyBorder="1" applyAlignment="1">
      <alignment horizontal="left" wrapText="1"/>
    </xf>
    <xf numFmtId="169" fontId="9" fillId="9" borderId="0" xfId="42" applyNumberFormat="1" applyFont="1" applyFill="1" applyBorder="1" applyAlignment="1">
      <alignment horizontal="left" wrapText="1"/>
    </xf>
    <xf numFmtId="0" fontId="10" fillId="9" borderId="0" xfId="42" applyFont="1" applyFill="1" applyAlignment="1"/>
    <xf numFmtId="3" fontId="10" fillId="9" borderId="0" xfId="0" applyNumberFormat="1" applyFont="1" applyFill="1" applyAlignment="1"/>
    <xf numFmtId="0" fontId="12" fillId="9" borderId="0" xfId="42" applyFont="1" applyFill="1" applyAlignment="1">
      <alignment horizontal="left" vertical="center"/>
    </xf>
    <xf numFmtId="0" fontId="9" fillId="9" borderId="0" xfId="4763" applyFont="1" applyFill="1" applyAlignment="1">
      <alignment horizontal="left"/>
    </xf>
    <xf numFmtId="0" fontId="10" fillId="9" borderId="0" xfId="42" applyFont="1" applyFill="1" applyAlignment="1">
      <alignment vertical="center"/>
    </xf>
    <xf numFmtId="0" fontId="10" fillId="9" borderId="0" xfId="42" applyFont="1" applyFill="1" applyBorder="1" applyAlignment="1"/>
    <xf numFmtId="0" fontId="14" fillId="9" borderId="16" xfId="42" applyFont="1" applyFill="1" applyBorder="1" applyAlignment="1">
      <alignment vertical="top" wrapText="1"/>
    </xf>
    <xf numFmtId="0" fontId="14" fillId="22" borderId="39" xfId="144" applyFont="1" applyFill="1" applyBorder="1" applyAlignment="1">
      <alignment vertical="center" wrapText="1"/>
    </xf>
    <xf numFmtId="0" fontId="14" fillId="22" borderId="83" xfId="57" applyNumberFormat="1" applyFont="1" applyFill="1" applyBorder="1" applyAlignment="1">
      <alignment horizontal="left"/>
    </xf>
    <xf numFmtId="0" fontId="14" fillId="22" borderId="85" xfId="57" applyNumberFormat="1" applyFont="1" applyFill="1" applyBorder="1" applyAlignment="1">
      <alignment horizontal="left"/>
    </xf>
    <xf numFmtId="0" fontId="10" fillId="9" borderId="0" xfId="42" applyFont="1" applyFill="1" applyBorder="1" applyAlignment="1">
      <alignment wrapText="1"/>
    </xf>
    <xf numFmtId="0" fontId="8" fillId="9" borderId="0" xfId="145" applyFont="1" applyFill="1" applyBorder="1" applyAlignment="1">
      <alignment horizontal="center"/>
    </xf>
    <xf numFmtId="0" fontId="10" fillId="0" borderId="0" xfId="42" applyFont="1" applyBorder="1"/>
    <xf numFmtId="0" fontId="9" fillId="11" borderId="58" xfId="42" applyFont="1" applyFill="1" applyBorder="1"/>
    <xf numFmtId="0" fontId="9" fillId="11" borderId="14" xfId="42" applyFont="1" applyFill="1" applyBorder="1" applyAlignment="1">
      <alignment horizontal="center"/>
    </xf>
    <xf numFmtId="0" fontId="9" fillId="11" borderId="33" xfId="42" applyFont="1" applyFill="1" applyBorder="1"/>
    <xf numFmtId="0" fontId="9" fillId="11" borderId="49" xfId="42" applyFont="1" applyFill="1" applyBorder="1" applyAlignment="1">
      <alignment horizontal="center"/>
    </xf>
    <xf numFmtId="0" fontId="9" fillId="11" borderId="7" xfId="42" applyFont="1" applyFill="1" applyBorder="1" applyAlignment="1">
      <alignment horizontal="center"/>
    </xf>
    <xf numFmtId="0" fontId="9" fillId="11" borderId="48" xfId="42" applyFont="1" applyFill="1" applyBorder="1" applyAlignment="1">
      <alignment horizontal="center"/>
    </xf>
    <xf numFmtId="0" fontId="2" fillId="0" borderId="0" xfId="29816"/>
    <xf numFmtId="0" fontId="2" fillId="0" borderId="0" xfId="29816" applyNumberFormat="1"/>
    <xf numFmtId="1" fontId="75" fillId="24" borderId="88" xfId="29816" applyNumberFormat="1" applyFont="1" applyFill="1" applyBorder="1" applyAlignment="1">
      <alignment horizontal="left" vertical="center"/>
    </xf>
    <xf numFmtId="1" fontId="75" fillId="24" borderId="89" xfId="29816" applyNumberFormat="1" applyFont="1" applyFill="1" applyBorder="1" applyAlignment="1">
      <alignment horizontal="left" vertical="center"/>
    </xf>
    <xf numFmtId="0" fontId="75" fillId="24" borderId="90" xfId="29816" applyNumberFormat="1" applyFont="1" applyFill="1" applyBorder="1" applyAlignment="1">
      <alignment horizontal="left" vertical="center"/>
    </xf>
    <xf numFmtId="1" fontId="75" fillId="0" borderId="91" xfId="29816" applyNumberFormat="1" applyFont="1" applyBorder="1" applyAlignment="1">
      <alignment horizontal="left" vertical="center"/>
    </xf>
    <xf numFmtId="1" fontId="75" fillId="0" borderId="92" xfId="29816" applyNumberFormat="1" applyFont="1" applyBorder="1" applyAlignment="1">
      <alignment horizontal="left" vertical="center"/>
    </xf>
    <xf numFmtId="0" fontId="75" fillId="0" borderId="93" xfId="29816" applyNumberFormat="1" applyFont="1" applyBorder="1" applyAlignment="1">
      <alignment horizontal="left" vertical="center"/>
    </xf>
    <xf numFmtId="1" fontId="75" fillId="24" borderId="91" xfId="29816" applyNumberFormat="1" applyFont="1" applyFill="1" applyBorder="1" applyAlignment="1">
      <alignment horizontal="left" vertical="center"/>
    </xf>
    <xf numFmtId="1" fontId="75" fillId="24" borderId="92" xfId="29816" applyNumberFormat="1" applyFont="1" applyFill="1" applyBorder="1" applyAlignment="1">
      <alignment horizontal="left" vertical="center"/>
    </xf>
    <xf numFmtId="0" fontId="75" fillId="24" borderId="93" xfId="29816" applyNumberFormat="1" applyFont="1" applyFill="1" applyBorder="1" applyAlignment="1">
      <alignment horizontal="left" vertical="center"/>
    </xf>
    <xf numFmtId="0" fontId="2" fillId="0" borderId="0" xfId="29816" applyBorder="1"/>
    <xf numFmtId="0" fontId="9" fillId="9" borderId="0" xfId="29816" applyFont="1" applyFill="1" applyBorder="1"/>
    <xf numFmtId="1" fontId="9" fillId="9" borderId="0" xfId="59" applyNumberFormat="1" applyFont="1" applyFill="1" applyBorder="1" applyAlignment="1">
      <alignment horizontal="center" vertical="center"/>
    </xf>
    <xf numFmtId="0" fontId="9" fillId="9" borderId="0" xfId="29816" applyFont="1" applyFill="1" applyBorder="1" applyAlignment="1">
      <alignment horizontal="center"/>
    </xf>
    <xf numFmtId="0" fontId="9" fillId="9" borderId="0" xfId="60" applyNumberFormat="1" applyFont="1" applyFill="1" applyBorder="1" applyAlignment="1" applyProtection="1">
      <alignment horizontal="center"/>
    </xf>
    <xf numFmtId="0" fontId="14" fillId="9" borderId="0" xfId="144" applyFont="1" applyFill="1" applyBorder="1" applyAlignment="1">
      <alignment vertical="center" wrapText="1"/>
    </xf>
    <xf numFmtId="0" fontId="9" fillId="9" borderId="0" xfId="29816" applyFont="1" applyFill="1" applyBorder="1" applyAlignment="1">
      <alignment horizontal="center" vertical="center" wrapText="1"/>
    </xf>
    <xf numFmtId="1" fontId="9" fillId="9" borderId="0" xfId="29816" applyNumberFormat="1" applyFont="1" applyFill="1" applyBorder="1" applyAlignment="1">
      <alignment horizontal="center" vertical="center" wrapText="1"/>
    </xf>
    <xf numFmtId="1" fontId="75" fillId="24" borderId="94" xfId="29816" applyNumberFormat="1" applyFont="1" applyFill="1" applyBorder="1" applyAlignment="1">
      <alignment horizontal="left" vertical="center"/>
    </xf>
    <xf numFmtId="1" fontId="75" fillId="24" borderId="95" xfId="29816" applyNumberFormat="1" applyFont="1" applyFill="1" applyBorder="1" applyAlignment="1">
      <alignment horizontal="left" vertical="center"/>
    </xf>
    <xf numFmtId="0" fontId="75" fillId="24" borderId="96" xfId="29816" applyNumberFormat="1" applyFont="1" applyFill="1" applyBorder="1" applyAlignment="1">
      <alignment horizontal="left" vertical="center"/>
    </xf>
    <xf numFmtId="0" fontId="76" fillId="0" borderId="94" xfId="29816" applyFont="1" applyBorder="1" applyAlignment="1">
      <alignment horizontal="centerContinuous" vertical="center" wrapText="1"/>
    </xf>
    <xf numFmtId="0" fontId="76" fillId="0" borderId="95" xfId="29816" applyFont="1" applyBorder="1" applyAlignment="1">
      <alignment horizontal="centerContinuous" vertical="center" wrapText="1"/>
    </xf>
    <xf numFmtId="0" fontId="76" fillId="0" borderId="96" xfId="29816" applyFont="1" applyBorder="1" applyAlignment="1">
      <alignment horizontal="centerContinuous" vertical="center" wrapText="1"/>
    </xf>
    <xf numFmtId="0" fontId="39" fillId="0" borderId="0" xfId="29816" applyFont="1" applyAlignment="1">
      <alignment horizontal="centerContinuous" vertical="center" wrapText="1"/>
    </xf>
    <xf numFmtId="0" fontId="9" fillId="9" borderId="0" xfId="29816" applyFont="1" applyFill="1"/>
    <xf numFmtId="0" fontId="72" fillId="9" borderId="0" xfId="29816" applyFont="1" applyFill="1"/>
    <xf numFmtId="0" fontId="72" fillId="9" borderId="0" xfId="29816" applyFont="1" applyFill="1" applyAlignment="1">
      <alignment horizontal="left" vertical="center" wrapText="1"/>
    </xf>
    <xf numFmtId="0" fontId="11" fillId="9" borderId="0" xfId="29816" applyFont="1" applyFill="1" applyAlignment="1"/>
    <xf numFmtId="0" fontId="12" fillId="9" borderId="0" xfId="29816" applyFont="1" applyFill="1" applyAlignment="1">
      <alignment wrapText="1"/>
    </xf>
    <xf numFmtId="0" fontId="12" fillId="9" borderId="0" xfId="29816" applyFont="1" applyFill="1" applyAlignment="1">
      <alignment horizontal="left"/>
    </xf>
    <xf numFmtId="0" fontId="12" fillId="9" borderId="0" xfId="29817" applyFont="1" applyFill="1" applyAlignment="1">
      <alignment wrapText="1"/>
    </xf>
    <xf numFmtId="0" fontId="9" fillId="9" borderId="0" xfId="29817" applyFont="1" applyFill="1"/>
    <xf numFmtId="0" fontId="1" fillId="0" borderId="0" xfId="29817"/>
    <xf numFmtId="0" fontId="74" fillId="9" borderId="0" xfId="29817" applyFont="1" applyFill="1" applyAlignment="1">
      <alignment horizontal="left" wrapText="1"/>
    </xf>
    <xf numFmtId="0" fontId="72" fillId="9" borderId="0" xfId="29817" applyFont="1" applyFill="1"/>
    <xf numFmtId="0" fontId="11" fillId="9" borderId="0" xfId="29817" applyFont="1" applyFill="1" applyAlignment="1">
      <alignment horizontal="left" wrapText="1"/>
    </xf>
    <xf numFmtId="0" fontId="12" fillId="9" borderId="0" xfId="29817" applyFont="1" applyFill="1" applyAlignment="1">
      <alignment horizontal="left" wrapText="1"/>
    </xf>
    <xf numFmtId="0" fontId="39" fillId="0" borderId="0" xfId="29817" applyFont="1" applyAlignment="1">
      <alignment horizontal="centerContinuous" vertical="center" wrapText="1"/>
    </xf>
    <xf numFmtId="0" fontId="76" fillId="0" borderId="96" xfId="29817" applyFont="1" applyBorder="1" applyAlignment="1">
      <alignment horizontal="centerContinuous" vertical="center" wrapText="1"/>
    </xf>
    <xf numFmtId="0" fontId="76" fillId="0" borderId="95" xfId="29817" applyFont="1" applyBorder="1" applyAlignment="1">
      <alignment horizontal="centerContinuous" vertical="center" wrapText="1"/>
    </xf>
    <xf numFmtId="0" fontId="76" fillId="0" borderId="94" xfId="29817" applyFont="1" applyBorder="1" applyAlignment="1">
      <alignment horizontal="centerContinuous" vertical="center" wrapText="1"/>
    </xf>
    <xf numFmtId="0" fontId="75" fillId="24" borderId="96" xfId="29817" applyNumberFormat="1" applyFont="1" applyFill="1" applyBorder="1" applyAlignment="1">
      <alignment horizontal="left" vertical="center"/>
    </xf>
    <xf numFmtId="1" fontId="75" fillId="24" borderId="95" xfId="29817" applyNumberFormat="1" applyFont="1" applyFill="1" applyBorder="1" applyAlignment="1">
      <alignment horizontal="left" vertical="center"/>
    </xf>
    <xf numFmtId="1" fontId="75" fillId="24" borderId="94" xfId="29817" applyNumberFormat="1" applyFont="1" applyFill="1" applyBorder="1" applyAlignment="1">
      <alignment horizontal="left" vertical="center"/>
    </xf>
    <xf numFmtId="0" fontId="75" fillId="0" borderId="93" xfId="29817" applyNumberFormat="1" applyFont="1" applyBorder="1" applyAlignment="1">
      <alignment horizontal="left" vertical="center"/>
    </xf>
    <xf numFmtId="1" fontId="75" fillId="0" borderId="92" xfId="29817" applyNumberFormat="1" applyFont="1" applyBorder="1" applyAlignment="1">
      <alignment horizontal="left" vertical="center"/>
    </xf>
    <xf numFmtId="1" fontId="75" fillId="0" borderId="91" xfId="29817" applyNumberFormat="1" applyFont="1" applyBorder="1" applyAlignment="1">
      <alignment horizontal="left" vertical="center"/>
    </xf>
    <xf numFmtId="0" fontId="75" fillId="24" borderId="93" xfId="29817" applyNumberFormat="1" applyFont="1" applyFill="1" applyBorder="1" applyAlignment="1">
      <alignment horizontal="left" vertical="center"/>
    </xf>
    <xf numFmtId="1" fontId="75" fillId="24" borderId="92" xfId="29817" applyNumberFormat="1" applyFont="1" applyFill="1" applyBorder="1" applyAlignment="1">
      <alignment horizontal="left" vertical="center"/>
    </xf>
    <xf numFmtId="1" fontId="75" fillId="24" borderId="91" xfId="29817" applyNumberFormat="1" applyFont="1" applyFill="1" applyBorder="1" applyAlignment="1">
      <alignment horizontal="left" vertical="center"/>
    </xf>
    <xf numFmtId="0" fontId="75" fillId="24" borderId="90" xfId="29817" applyNumberFormat="1" applyFont="1" applyFill="1" applyBorder="1" applyAlignment="1">
      <alignment horizontal="left" vertical="center"/>
    </xf>
    <xf numFmtId="1" fontId="75" fillId="24" borderId="89" xfId="29817" applyNumberFormat="1" applyFont="1" applyFill="1" applyBorder="1" applyAlignment="1">
      <alignment horizontal="left" vertical="center"/>
    </xf>
    <xf numFmtId="1" fontId="75" fillId="24" borderId="88" xfId="29817" applyNumberFormat="1" applyFont="1" applyFill="1" applyBorder="1" applyAlignment="1">
      <alignment horizontal="left" vertical="center"/>
    </xf>
    <xf numFmtId="49" fontId="75" fillId="24" borderId="96" xfId="29817" applyNumberFormat="1" applyFont="1" applyFill="1" applyBorder="1" applyAlignment="1">
      <alignment horizontal="left" vertical="center"/>
    </xf>
    <xf numFmtId="2" fontId="75" fillId="24" borderId="94" xfId="29817" applyNumberFormat="1" applyFont="1" applyFill="1" applyBorder="1" applyAlignment="1">
      <alignment horizontal="left" vertical="center"/>
    </xf>
    <xf numFmtId="49" fontId="75" fillId="0" borderId="93" xfId="29817" applyNumberFormat="1" applyFont="1" applyBorder="1" applyAlignment="1">
      <alignment horizontal="left" vertical="center"/>
    </xf>
    <xf numFmtId="2" fontId="75" fillId="0" borderId="91" xfId="29817" applyNumberFormat="1" applyFont="1" applyBorder="1" applyAlignment="1">
      <alignment horizontal="left" vertical="center"/>
    </xf>
    <xf numFmtId="49" fontId="75" fillId="24" borderId="93" xfId="29817" applyNumberFormat="1" applyFont="1" applyFill="1" applyBorder="1" applyAlignment="1">
      <alignment horizontal="left" vertical="center"/>
    </xf>
    <xf numFmtId="2" fontId="75" fillId="24" borderId="91" xfId="29817" applyNumberFormat="1" applyFont="1" applyFill="1" applyBorder="1" applyAlignment="1">
      <alignment horizontal="left" vertical="center"/>
    </xf>
    <xf numFmtId="49" fontId="75" fillId="0" borderId="90" xfId="29817" applyNumberFormat="1" applyFont="1" applyBorder="1" applyAlignment="1">
      <alignment horizontal="left" vertical="center"/>
    </xf>
    <xf numFmtId="1" fontId="75" fillId="0" borderId="89" xfId="29817" applyNumberFormat="1" applyFont="1" applyBorder="1" applyAlignment="1">
      <alignment horizontal="left" vertical="center"/>
    </xf>
    <xf numFmtId="2" fontId="75" fillId="0" borderId="88" xfId="29817" applyNumberFormat="1" applyFont="1" applyBorder="1" applyAlignment="1">
      <alignment horizontal="left" vertical="center"/>
    </xf>
    <xf numFmtId="0" fontId="1" fillId="0" borderId="0" xfId="29818"/>
    <xf numFmtId="0" fontId="39" fillId="0" borderId="0" xfId="29818" applyFont="1" applyAlignment="1">
      <alignment horizontal="centerContinuous" vertical="center" wrapText="1"/>
    </xf>
    <xf numFmtId="0" fontId="76" fillId="0" borderId="96" xfId="29818" applyFont="1" applyBorder="1" applyAlignment="1">
      <alignment horizontal="centerContinuous" vertical="center" wrapText="1"/>
    </xf>
    <xf numFmtId="0" fontId="76" fillId="0" borderId="95" xfId="29818" applyFont="1" applyBorder="1" applyAlignment="1">
      <alignment horizontal="centerContinuous" vertical="center" wrapText="1"/>
    </xf>
    <xf numFmtId="0" fontId="76" fillId="0" borderId="94" xfId="29818" applyFont="1" applyBorder="1" applyAlignment="1">
      <alignment horizontal="centerContinuous" vertical="center" wrapText="1"/>
    </xf>
    <xf numFmtId="1" fontId="75" fillId="24" borderId="96" xfId="29818" applyNumberFormat="1" applyFont="1" applyFill="1" applyBorder="1" applyAlignment="1">
      <alignment horizontal="left" vertical="center"/>
    </xf>
    <xf numFmtId="1" fontId="75" fillId="24" borderId="95" xfId="29818" applyNumberFormat="1" applyFont="1" applyFill="1" applyBorder="1" applyAlignment="1">
      <alignment horizontal="left" vertical="center"/>
    </xf>
    <xf numFmtId="1" fontId="75" fillId="24" borderId="94" xfId="29818" applyNumberFormat="1" applyFont="1" applyFill="1" applyBorder="1" applyAlignment="1">
      <alignment horizontal="left" vertical="center"/>
    </xf>
    <xf numFmtId="1" fontId="75" fillId="0" borderId="93" xfId="29818" applyNumberFormat="1" applyFont="1" applyBorder="1" applyAlignment="1">
      <alignment horizontal="left" vertical="center"/>
    </xf>
    <xf numFmtId="1" fontId="75" fillId="0" borderId="92" xfId="29818" applyNumberFormat="1" applyFont="1" applyBorder="1" applyAlignment="1">
      <alignment horizontal="left" vertical="center"/>
    </xf>
    <xf numFmtId="1" fontId="75" fillId="0" borderId="91" xfId="29818" applyNumberFormat="1" applyFont="1" applyBorder="1" applyAlignment="1">
      <alignment horizontal="left" vertical="center"/>
    </xf>
    <xf numFmtId="1" fontId="75" fillId="24" borderId="93" xfId="29818" applyNumberFormat="1" applyFont="1" applyFill="1" applyBorder="1" applyAlignment="1">
      <alignment horizontal="left" vertical="center"/>
    </xf>
    <xf numFmtId="1" fontId="75" fillId="24" borderId="92" xfId="29818" applyNumberFormat="1" applyFont="1" applyFill="1" applyBorder="1" applyAlignment="1">
      <alignment horizontal="left" vertical="center"/>
    </xf>
    <xf numFmtId="1" fontId="75" fillId="24" borderId="91" xfId="29818" applyNumberFormat="1" applyFont="1" applyFill="1" applyBorder="1" applyAlignment="1">
      <alignment horizontal="left" vertical="center"/>
    </xf>
    <xf numFmtId="1" fontId="75" fillId="24" borderId="90" xfId="29818" applyNumberFormat="1" applyFont="1" applyFill="1" applyBorder="1" applyAlignment="1">
      <alignment horizontal="left" vertical="center"/>
    </xf>
    <xf numFmtId="1" fontId="75" fillId="24" borderId="89" xfId="29818" applyNumberFormat="1" applyFont="1" applyFill="1" applyBorder="1" applyAlignment="1">
      <alignment horizontal="left" vertical="center"/>
    </xf>
    <xf numFmtId="1" fontId="75" fillId="24" borderId="88" xfId="29818" applyNumberFormat="1" applyFont="1" applyFill="1" applyBorder="1" applyAlignment="1">
      <alignment horizontal="left" vertical="center"/>
    </xf>
    <xf numFmtId="0" fontId="75" fillId="24" borderId="96" xfId="29818" applyNumberFormat="1" applyFont="1" applyFill="1" applyBorder="1" applyAlignment="1">
      <alignment horizontal="left" vertical="center"/>
    </xf>
    <xf numFmtId="0" fontId="75" fillId="24" borderId="95" xfId="29818" applyNumberFormat="1" applyFont="1" applyFill="1" applyBorder="1" applyAlignment="1">
      <alignment horizontal="left" vertical="center"/>
    </xf>
    <xf numFmtId="0" fontId="75" fillId="24" borderId="94" xfId="29818" applyNumberFormat="1" applyFont="1" applyFill="1" applyBorder="1" applyAlignment="1">
      <alignment horizontal="left" vertical="center"/>
    </xf>
    <xf numFmtId="0" fontId="75" fillId="0" borderId="93" xfId="29818" applyNumberFormat="1" applyFont="1" applyBorder="1" applyAlignment="1">
      <alignment horizontal="left" vertical="center"/>
    </xf>
    <xf numFmtId="0" fontId="75" fillId="0" borderId="92" xfId="29818" applyNumberFormat="1" applyFont="1" applyBorder="1" applyAlignment="1">
      <alignment horizontal="left" vertical="center"/>
    </xf>
    <xf numFmtId="0" fontId="75" fillId="0" borderId="91" xfId="29818" applyNumberFormat="1" applyFont="1" applyBorder="1" applyAlignment="1">
      <alignment horizontal="left" vertical="center"/>
    </xf>
    <xf numFmtId="0" fontId="75" fillId="24" borderId="93" xfId="29818" applyNumberFormat="1" applyFont="1" applyFill="1" applyBorder="1" applyAlignment="1">
      <alignment horizontal="left" vertical="center"/>
    </xf>
    <xf numFmtId="0" fontId="75" fillId="24" borderId="92" xfId="29818" applyNumberFormat="1" applyFont="1" applyFill="1" applyBorder="1" applyAlignment="1">
      <alignment horizontal="left" vertical="center"/>
    </xf>
    <xf numFmtId="0" fontId="75" fillId="24" borderId="91" xfId="29818" applyNumberFormat="1" applyFont="1" applyFill="1" applyBorder="1" applyAlignment="1">
      <alignment horizontal="left" vertical="center"/>
    </xf>
    <xf numFmtId="0" fontId="75" fillId="24" borderId="90" xfId="29818" applyNumberFormat="1" applyFont="1" applyFill="1" applyBorder="1" applyAlignment="1">
      <alignment horizontal="left" vertical="center"/>
    </xf>
    <xf numFmtId="0" fontId="75" fillId="24" borderId="89" xfId="29818" applyNumberFormat="1" applyFont="1" applyFill="1" applyBorder="1" applyAlignment="1">
      <alignment horizontal="left" vertical="center"/>
    </xf>
    <xf numFmtId="0" fontId="75" fillId="24" borderId="88" xfId="29818" applyNumberFormat="1" applyFont="1" applyFill="1" applyBorder="1" applyAlignment="1">
      <alignment horizontal="left" vertical="center"/>
    </xf>
    <xf numFmtId="0" fontId="12" fillId="6" borderId="11" xfId="41" applyFont="1" applyFill="1" applyBorder="1" applyAlignment="1">
      <alignment horizontal="left"/>
    </xf>
    <xf numFmtId="0" fontId="11" fillId="6" borderId="11" xfId="41" applyFont="1" applyFill="1" applyBorder="1" applyAlignment="1">
      <alignment horizontal="left"/>
    </xf>
    <xf numFmtId="0" fontId="77" fillId="9" borderId="0" xfId="29818" applyFont="1" applyFill="1" applyAlignment="1">
      <alignment vertical="top" wrapText="1"/>
    </xf>
    <xf numFmtId="0" fontId="78" fillId="9" borderId="0" xfId="29818" applyFont="1" applyFill="1" applyAlignment="1">
      <alignment horizontal="center"/>
    </xf>
    <xf numFmtId="0" fontId="78" fillId="9" borderId="0" xfId="29818" applyFont="1" applyFill="1" applyAlignment="1">
      <alignment horizontal="left" vertical="top" wrapText="1"/>
    </xf>
    <xf numFmtId="0" fontId="79" fillId="9" borderId="0" xfId="29818" applyFont="1" applyFill="1"/>
    <xf numFmtId="0" fontId="79" fillId="9" borderId="0" xfId="29818" applyFont="1" applyFill="1" applyAlignment="1">
      <alignment horizontal="left"/>
    </xf>
    <xf numFmtId="0" fontId="78" fillId="9" borderId="0" xfId="29818" applyFont="1" applyFill="1" applyAlignment="1">
      <alignment horizontal="left"/>
    </xf>
    <xf numFmtId="0" fontId="77" fillId="9" borderId="0" xfId="24113" applyFont="1" applyFill="1" applyAlignment="1">
      <alignment wrapText="1"/>
    </xf>
    <xf numFmtId="0" fontId="77" fillId="9" borderId="0" xfId="24113" applyFont="1" applyFill="1" applyAlignment="1"/>
    <xf numFmtId="0" fontId="78" fillId="9" borderId="0" xfId="24113" applyFont="1" applyFill="1" applyAlignment="1">
      <alignment vertical="center"/>
    </xf>
    <xf numFmtId="0" fontId="78" fillId="9" borderId="0" xfId="24113" applyFont="1" applyFill="1" applyAlignment="1">
      <alignment vertical="center" wrapText="1"/>
    </xf>
    <xf numFmtId="0" fontId="78" fillId="9" borderId="0" xfId="24113" applyFont="1" applyFill="1" applyAlignment="1">
      <alignment horizontal="left" vertical="center" wrapText="1"/>
    </xf>
    <xf numFmtId="0" fontId="79" fillId="9" borderId="0" xfId="24113" applyFont="1" applyFill="1" applyAlignment="1">
      <alignment vertical="center"/>
    </xf>
    <xf numFmtId="0" fontId="79" fillId="9" borderId="0" xfId="24113" applyFont="1" applyFill="1"/>
    <xf numFmtId="0" fontId="79" fillId="9" borderId="0" xfId="24113" applyFont="1" applyFill="1" applyAlignment="1">
      <alignment wrapText="1"/>
    </xf>
    <xf numFmtId="0" fontId="79" fillId="9" borderId="0" xfId="24113" applyFont="1" applyFill="1" applyAlignment="1"/>
    <xf numFmtId="0" fontId="77" fillId="9" borderId="0" xfId="24113" applyFont="1" applyFill="1" applyAlignment="1">
      <alignment horizontal="left"/>
    </xf>
    <xf numFmtId="0" fontId="81" fillId="9" borderId="0" xfId="42" applyFont="1" applyFill="1" applyAlignment="1">
      <alignment vertical="top"/>
    </xf>
    <xf numFmtId="0" fontId="79" fillId="9" borderId="0" xfId="4235" applyFont="1" applyFill="1"/>
    <xf numFmtId="0" fontId="81" fillId="9" borderId="0" xfId="42" applyFont="1" applyFill="1" applyAlignment="1">
      <alignment vertical="top" wrapText="1"/>
    </xf>
    <xf numFmtId="0" fontId="82" fillId="9" borderId="0" xfId="42" applyFont="1" applyFill="1" applyAlignment="1">
      <alignment horizontal="left" vertical="top"/>
    </xf>
    <xf numFmtId="0" fontId="82" fillId="9" borderId="0" xfId="42" applyFont="1" applyFill="1" applyAlignment="1">
      <alignment horizontal="left" vertical="top" wrapText="1"/>
    </xf>
    <xf numFmtId="0" fontId="82" fillId="9" borderId="0" xfId="42" applyFont="1" applyFill="1" applyAlignment="1">
      <alignment vertical="top" wrapText="1"/>
    </xf>
    <xf numFmtId="0" fontId="83" fillId="9" borderId="0" xfId="4235" applyFont="1" applyFill="1" applyAlignment="1">
      <alignment horizontal="left" vertical="center" readingOrder="1"/>
    </xf>
    <xf numFmtId="0" fontId="80" fillId="9" borderId="0" xfId="4235" applyFont="1" applyFill="1" applyBorder="1"/>
    <xf numFmtId="0" fontId="77" fillId="9" borderId="0" xfId="42" applyFont="1" applyFill="1" applyAlignment="1">
      <alignment horizontal="left"/>
    </xf>
    <xf numFmtId="0" fontId="79" fillId="9" borderId="0" xfId="42" applyFont="1" applyFill="1" applyBorder="1"/>
    <xf numFmtId="0" fontId="77" fillId="9" borderId="0" xfId="4235" applyFont="1" applyFill="1"/>
    <xf numFmtId="0" fontId="79" fillId="9" borderId="0" xfId="4235" applyFont="1" applyFill="1" applyAlignment="1"/>
    <xf numFmtId="0" fontId="79" fillId="9" borderId="0" xfId="29819" applyFont="1" applyFill="1"/>
    <xf numFmtId="0" fontId="84" fillId="11" borderId="11" xfId="16" applyFont="1" applyFill="1" applyBorder="1" applyAlignment="1" applyProtection="1">
      <alignment horizontal="left"/>
    </xf>
    <xf numFmtId="0" fontId="84" fillId="11" borderId="12" xfId="16" applyFont="1" applyFill="1" applyBorder="1" applyAlignment="1" applyProtection="1">
      <alignment horizontal="left"/>
    </xf>
    <xf numFmtId="0" fontId="9" fillId="9" borderId="73" xfId="24113" applyFont="1" applyFill="1" applyBorder="1" applyAlignment="1">
      <alignment horizontal="center" vertical="top" wrapText="1"/>
    </xf>
    <xf numFmtId="0" fontId="12" fillId="6" borderId="14" xfId="41" applyFont="1" applyFill="1" applyBorder="1" applyAlignment="1">
      <alignment horizontal="left"/>
    </xf>
    <xf numFmtId="0" fontId="12" fillId="6" borderId="17" xfId="41" applyFont="1" applyFill="1" applyBorder="1" applyAlignment="1">
      <alignment horizontal="left"/>
    </xf>
    <xf numFmtId="0" fontId="14" fillId="6" borderId="15" xfId="41" applyFont="1" applyFill="1" applyBorder="1" applyAlignment="1">
      <alignment horizontal="left"/>
    </xf>
    <xf numFmtId="0" fontId="14" fillId="6" borderId="18" xfId="41" applyFont="1" applyFill="1" applyBorder="1" applyAlignment="1">
      <alignment horizontal="left"/>
    </xf>
    <xf numFmtId="0" fontId="12" fillId="6" borderId="11" xfId="41" applyFont="1" applyFill="1" applyBorder="1" applyAlignment="1">
      <alignment horizontal="left"/>
    </xf>
    <xf numFmtId="0" fontId="12" fillId="6" borderId="12" xfId="41" applyFont="1" applyFill="1" applyBorder="1" applyAlignment="1">
      <alignment horizontal="left"/>
    </xf>
    <xf numFmtId="0" fontId="11" fillId="6" borderId="11" xfId="41" applyFont="1" applyFill="1" applyBorder="1" applyAlignment="1">
      <alignment horizontal="left"/>
    </xf>
    <xf numFmtId="0" fontId="11" fillId="6" borderId="12" xfId="41" applyFont="1" applyFill="1" applyBorder="1" applyAlignment="1">
      <alignment horizontal="left"/>
    </xf>
    <xf numFmtId="0" fontId="14" fillId="23" borderId="82" xfId="4597" applyFont="1" applyFill="1" applyBorder="1" applyAlignment="1">
      <alignment horizontal="left"/>
    </xf>
    <xf numFmtId="0" fontId="14" fillId="23" borderId="83" xfId="4597" applyFont="1" applyFill="1" applyBorder="1" applyAlignment="1">
      <alignment horizontal="left"/>
    </xf>
    <xf numFmtId="0" fontId="9" fillId="13" borderId="8" xfId="42" applyFont="1" applyFill="1" applyBorder="1" applyAlignment="1">
      <alignment horizontal="center" vertical="center" wrapText="1"/>
    </xf>
    <xf numFmtId="0" fontId="9" fillId="13" borderId="9" xfId="42" applyFont="1" applyFill="1" applyBorder="1" applyAlignment="1">
      <alignment horizontal="center" vertical="center" wrapText="1"/>
    </xf>
    <xf numFmtId="0" fontId="9" fillId="9" borderId="8" xfId="42" applyFont="1" applyFill="1" applyBorder="1" applyAlignment="1">
      <alignment horizontal="center" vertical="center" wrapText="1"/>
    </xf>
    <xf numFmtId="0" fontId="9" fillId="9" borderId="9" xfId="42" applyFont="1" applyFill="1" applyBorder="1" applyAlignment="1">
      <alignment horizontal="center" vertical="center" wrapText="1"/>
    </xf>
    <xf numFmtId="167" fontId="9" fillId="9" borderId="15" xfId="42" applyNumberFormat="1" applyFont="1" applyFill="1" applyBorder="1" applyAlignment="1">
      <alignment horizontal="center" vertical="top"/>
    </xf>
    <xf numFmtId="167" fontId="9" fillId="9" borderId="18" xfId="42" applyNumberFormat="1" applyFont="1" applyFill="1" applyBorder="1" applyAlignment="1">
      <alignment horizontal="center" vertical="top"/>
    </xf>
    <xf numFmtId="0" fontId="9" fillId="9" borderId="0" xfId="0" applyNumberFormat="1" applyFont="1" applyFill="1" applyBorder="1" applyAlignment="1">
      <alignment horizontal="left" vertical="top" wrapText="1"/>
    </xf>
    <xf numFmtId="0" fontId="9" fillId="9" borderId="4" xfId="42" applyFont="1" applyFill="1" applyBorder="1" applyAlignment="1">
      <alignment horizontal="center" vertical="center" wrapText="1"/>
    </xf>
    <xf numFmtId="0" fontId="10" fillId="9" borderId="4" xfId="0" applyFont="1" applyFill="1" applyBorder="1" applyAlignment="1">
      <alignment horizontal="center" vertical="center" wrapText="1"/>
    </xf>
    <xf numFmtId="0" fontId="10" fillId="9" borderId="9" xfId="0" applyFont="1" applyFill="1" applyBorder="1" applyAlignment="1">
      <alignment horizontal="center" vertical="center" wrapText="1"/>
    </xf>
    <xf numFmtId="0" fontId="11" fillId="9" borderId="0" xfId="42" applyFont="1" applyFill="1" applyAlignment="1">
      <alignment horizontal="left" vertical="center" wrapText="1"/>
    </xf>
    <xf numFmtId="0" fontId="12" fillId="9" borderId="0" xfId="42" applyFont="1" applyFill="1" applyAlignment="1">
      <alignment horizontal="left" vertical="center" wrapText="1"/>
    </xf>
    <xf numFmtId="0" fontId="10" fillId="9" borderId="13" xfId="42" applyFont="1" applyFill="1" applyBorder="1" applyAlignment="1">
      <alignment horizontal="center" vertical="center"/>
    </xf>
    <xf numFmtId="0" fontId="10" fillId="9" borderId="5" xfId="42" applyFont="1" applyFill="1" applyBorder="1" applyAlignment="1">
      <alignment horizontal="center" vertical="center"/>
    </xf>
    <xf numFmtId="0" fontId="10" fillId="9" borderId="7" xfId="42" applyFont="1" applyFill="1" applyBorder="1" applyAlignment="1">
      <alignment horizontal="center" vertical="center"/>
    </xf>
    <xf numFmtId="166" fontId="9" fillId="9" borderId="13" xfId="42" applyNumberFormat="1" applyFont="1" applyFill="1" applyBorder="1" applyAlignment="1">
      <alignment horizontal="center" textRotation="180"/>
    </xf>
    <xf numFmtId="166" fontId="9" fillId="9" borderId="5" xfId="42" applyNumberFormat="1" applyFont="1" applyFill="1" applyBorder="1" applyAlignment="1">
      <alignment horizontal="center" textRotation="180"/>
    </xf>
    <xf numFmtId="166" fontId="9" fillId="9" borderId="7" xfId="42" applyNumberFormat="1" applyFont="1" applyFill="1" applyBorder="1" applyAlignment="1">
      <alignment horizontal="center" textRotation="180"/>
    </xf>
    <xf numFmtId="167" fontId="9" fillId="9" borderId="8" xfId="42" applyNumberFormat="1" applyFont="1" applyFill="1" applyBorder="1" applyAlignment="1">
      <alignment horizontal="center" vertical="top"/>
    </xf>
    <xf numFmtId="167" fontId="9" fillId="9" borderId="9" xfId="42" applyNumberFormat="1" applyFont="1" applyFill="1" applyBorder="1" applyAlignment="1">
      <alignment horizontal="center" vertical="top"/>
    </xf>
    <xf numFmtId="167" fontId="9" fillId="9" borderId="75" xfId="42" applyNumberFormat="1" applyFont="1" applyFill="1" applyBorder="1" applyAlignment="1">
      <alignment horizontal="center" vertical="top"/>
    </xf>
    <xf numFmtId="167" fontId="9" fillId="9" borderId="76" xfId="42" applyNumberFormat="1" applyFont="1" applyFill="1" applyBorder="1" applyAlignment="1">
      <alignment horizontal="center" vertical="top"/>
    </xf>
    <xf numFmtId="0" fontId="9" fillId="13" borderId="59" xfId="51" applyFont="1" applyFill="1" applyBorder="1" applyAlignment="1">
      <alignment horizontal="center"/>
    </xf>
    <xf numFmtId="0" fontId="9" fillId="13" borderId="41" xfId="51" applyFont="1" applyFill="1" applyBorder="1" applyAlignment="1">
      <alignment horizontal="center"/>
    </xf>
    <xf numFmtId="0" fontId="9" fillId="9" borderId="59" xfId="51" applyFont="1" applyFill="1" applyBorder="1" applyAlignment="1">
      <alignment horizontal="center"/>
    </xf>
    <xf numFmtId="0" fontId="9" fillId="9" borderId="41" xfId="51" applyFont="1" applyFill="1" applyBorder="1" applyAlignment="1">
      <alignment horizontal="center"/>
    </xf>
    <xf numFmtId="0" fontId="9" fillId="13" borderId="39" xfId="51" applyFont="1" applyFill="1" applyBorder="1" applyAlignment="1">
      <alignment horizontal="center"/>
    </xf>
    <xf numFmtId="167" fontId="9" fillId="9" borderId="80" xfId="42" applyNumberFormat="1" applyFont="1" applyFill="1" applyBorder="1" applyAlignment="1">
      <alignment horizontal="center" vertical="top"/>
    </xf>
    <xf numFmtId="167" fontId="9" fillId="13" borderId="75" xfId="42" applyNumberFormat="1" applyFont="1" applyFill="1" applyBorder="1" applyAlignment="1">
      <alignment horizontal="center" vertical="top"/>
    </xf>
    <xf numFmtId="167" fontId="9" fillId="13" borderId="76" xfId="42" applyNumberFormat="1" applyFont="1" applyFill="1" applyBorder="1" applyAlignment="1">
      <alignment horizontal="center" vertical="top"/>
    </xf>
    <xf numFmtId="167" fontId="9" fillId="13" borderId="73" xfId="42" applyNumberFormat="1" applyFont="1" applyFill="1" applyBorder="1" applyAlignment="1">
      <alignment horizontal="center" vertical="top"/>
    </xf>
    <xf numFmtId="167" fontId="9" fillId="9" borderId="81" xfId="42" applyNumberFormat="1" applyFont="1" applyFill="1" applyBorder="1" applyAlignment="1">
      <alignment horizontal="center" vertical="top"/>
    </xf>
    <xf numFmtId="0" fontId="9" fillId="9" borderId="53" xfId="51" applyFont="1" applyFill="1" applyBorder="1" applyAlignment="1">
      <alignment horizontal="center"/>
    </xf>
    <xf numFmtId="0" fontId="12" fillId="9" borderId="0" xfId="51" applyFont="1" applyFill="1" applyBorder="1" applyAlignment="1">
      <alignment horizontal="left" vertical="center"/>
    </xf>
    <xf numFmtId="0" fontId="11" fillId="6" borderId="0" xfId="62" applyFont="1" applyFill="1" applyAlignment="1">
      <alignment horizontal="left" vertical="center" wrapText="1"/>
    </xf>
    <xf numFmtId="166" fontId="9" fillId="9" borderId="40" xfId="42" applyNumberFormat="1" applyFont="1" applyFill="1" applyBorder="1" applyAlignment="1">
      <alignment horizontal="center" textRotation="180"/>
    </xf>
    <xf numFmtId="166" fontId="9" fillId="9" borderId="35" xfId="42" applyNumberFormat="1" applyFont="1" applyFill="1" applyBorder="1" applyAlignment="1">
      <alignment horizontal="center" textRotation="180"/>
    </xf>
    <xf numFmtId="166" fontId="9" fillId="9" borderId="42" xfId="42" applyNumberFormat="1" applyFont="1" applyFill="1" applyBorder="1" applyAlignment="1">
      <alignment horizontal="center" textRotation="180"/>
    </xf>
    <xf numFmtId="0" fontId="9" fillId="13" borderId="38" xfId="51" applyFont="1" applyFill="1" applyBorder="1" applyAlignment="1">
      <alignment horizontal="center"/>
    </xf>
    <xf numFmtId="167" fontId="9" fillId="13" borderId="72" xfId="42" applyNumberFormat="1" applyFont="1" applyFill="1" applyBorder="1" applyAlignment="1">
      <alignment horizontal="center" vertical="top"/>
    </xf>
    <xf numFmtId="0" fontId="9" fillId="9" borderId="19" xfId="51" applyFont="1" applyFill="1" applyBorder="1" applyAlignment="1">
      <alignment horizontal="center"/>
    </xf>
    <xf numFmtId="0" fontId="9" fillId="9" borderId="16" xfId="51" applyFont="1" applyFill="1" applyBorder="1" applyAlignment="1">
      <alignment horizontal="center"/>
    </xf>
    <xf numFmtId="0" fontId="9" fillId="9" borderId="31" xfId="51" applyFont="1" applyFill="1" applyBorder="1" applyAlignment="1">
      <alignment horizontal="center"/>
    </xf>
    <xf numFmtId="0" fontId="12" fillId="9" borderId="27" xfId="51" applyFont="1" applyFill="1" applyBorder="1" applyAlignment="1">
      <alignment horizontal="center" vertical="center"/>
    </xf>
    <xf numFmtId="0" fontId="12" fillId="9" borderId="28" xfId="51" applyFont="1" applyFill="1" applyBorder="1" applyAlignment="1">
      <alignment horizontal="center" vertical="center"/>
    </xf>
    <xf numFmtId="0" fontId="10" fillId="0" borderId="28" xfId="0" applyFont="1" applyBorder="1" applyAlignment="1">
      <alignment horizontal="center" vertical="center"/>
    </xf>
    <xf numFmtId="0" fontId="10" fillId="0" borderId="30" xfId="0" applyFont="1" applyBorder="1" applyAlignment="1">
      <alignment horizontal="center" vertical="center"/>
    </xf>
    <xf numFmtId="0" fontId="9" fillId="13" borderId="40" xfId="51" applyFont="1" applyFill="1" applyBorder="1" applyAlignment="1">
      <alignment horizontal="center"/>
    </xf>
    <xf numFmtId="167" fontId="9" fillId="13" borderId="74" xfId="42" applyNumberFormat="1" applyFont="1" applyFill="1" applyBorder="1" applyAlignment="1">
      <alignment horizontal="center" vertical="top"/>
    </xf>
    <xf numFmtId="0" fontId="9" fillId="9" borderId="51" xfId="51" applyFont="1" applyFill="1" applyBorder="1" applyAlignment="1">
      <alignment horizontal="center"/>
    </xf>
    <xf numFmtId="0" fontId="12" fillId="9" borderId="79" xfId="51" applyFont="1" applyFill="1" applyBorder="1" applyAlignment="1">
      <alignment horizontal="center" vertical="center"/>
    </xf>
    <xf numFmtId="0" fontId="12" fillId="9" borderId="43" xfId="51" applyFont="1" applyFill="1" applyBorder="1" applyAlignment="1">
      <alignment horizontal="center" vertical="center"/>
    </xf>
    <xf numFmtId="0" fontId="12" fillId="9" borderId="54" xfId="51" applyFont="1" applyFill="1" applyBorder="1" applyAlignment="1">
      <alignment horizontal="center" vertical="center"/>
    </xf>
    <xf numFmtId="0" fontId="12" fillId="9" borderId="41" xfId="51" applyFont="1" applyFill="1" applyBorder="1" applyAlignment="1">
      <alignment horizontal="center" vertical="center"/>
    </xf>
    <xf numFmtId="0" fontId="12" fillId="9" borderId="39" xfId="51" applyFont="1" applyFill="1" applyBorder="1" applyAlignment="1">
      <alignment horizontal="center" vertical="center"/>
    </xf>
    <xf numFmtId="0" fontId="12" fillId="9" borderId="40" xfId="51" applyFont="1" applyFill="1" applyBorder="1" applyAlignment="1">
      <alignment horizontal="center" vertical="center"/>
    </xf>
    <xf numFmtId="0" fontId="14" fillId="9" borderId="0" xfId="145" applyFont="1" applyFill="1" applyBorder="1" applyAlignment="1">
      <alignment horizontal="left" wrapText="1"/>
    </xf>
    <xf numFmtId="0" fontId="14" fillId="9" borderId="0" xfId="42" applyFont="1" applyFill="1" applyBorder="1" applyAlignment="1">
      <alignment horizontal="left" wrapText="1"/>
    </xf>
    <xf numFmtId="0" fontId="9" fillId="0" borderId="26" xfId="65" applyFont="1" applyFill="1" applyBorder="1" applyAlignment="1">
      <alignment horizontal="center" vertical="top" wrapText="1"/>
    </xf>
    <xf numFmtId="0" fontId="9" fillId="0" borderId="25" xfId="65" applyFont="1" applyFill="1" applyBorder="1" applyAlignment="1">
      <alignment horizontal="center" vertical="top" wrapText="1"/>
    </xf>
    <xf numFmtId="0" fontId="9" fillId="0" borderId="33" xfId="65" applyFont="1" applyFill="1" applyBorder="1" applyAlignment="1">
      <alignment horizontal="center" vertical="top" wrapText="1"/>
    </xf>
    <xf numFmtId="0" fontId="9" fillId="9" borderId="53" xfId="145" applyFont="1" applyFill="1" applyBorder="1" applyAlignment="1">
      <alignment horizontal="center" vertical="top"/>
    </xf>
    <xf numFmtId="0" fontId="9" fillId="9" borderId="52" xfId="145" applyFont="1" applyFill="1" applyBorder="1" applyAlignment="1">
      <alignment horizontal="center" vertical="top"/>
    </xf>
    <xf numFmtId="0" fontId="9" fillId="9" borderId="51" xfId="145" applyFont="1" applyFill="1" applyBorder="1" applyAlignment="1">
      <alignment horizontal="center" vertical="top"/>
    </xf>
    <xf numFmtId="0" fontId="12" fillId="9" borderId="0" xfId="42" applyFont="1" applyFill="1" applyAlignment="1">
      <alignment horizontal="left" vertical="top" wrapText="1"/>
    </xf>
    <xf numFmtId="166" fontId="9" fillId="9" borderId="54" xfId="42" applyNumberFormat="1" applyFont="1" applyFill="1" applyBorder="1" applyAlignment="1">
      <alignment horizontal="center" textRotation="90"/>
    </xf>
    <xf numFmtId="166" fontId="9" fillId="9" borderId="47" xfId="42" applyNumberFormat="1" applyFont="1" applyFill="1" applyBorder="1" applyAlignment="1">
      <alignment horizontal="center" textRotation="90"/>
    </xf>
    <xf numFmtId="166" fontId="9" fillId="9" borderId="48" xfId="42" applyNumberFormat="1" applyFont="1" applyFill="1" applyBorder="1" applyAlignment="1">
      <alignment horizontal="center" textRotation="90"/>
    </xf>
    <xf numFmtId="0" fontId="10" fillId="9" borderId="19" xfId="42" applyFont="1" applyFill="1" applyBorder="1" applyAlignment="1">
      <alignment horizontal="center" vertical="center"/>
    </xf>
    <xf numFmtId="0" fontId="10" fillId="9" borderId="16" xfId="42" applyFont="1" applyFill="1" applyBorder="1" applyAlignment="1">
      <alignment horizontal="center" vertical="center"/>
    </xf>
    <xf numFmtId="0" fontId="10" fillId="9" borderId="49" xfId="42" applyFont="1" applyFill="1" applyBorder="1" applyAlignment="1">
      <alignment horizontal="center" vertical="center"/>
    </xf>
    <xf numFmtId="0" fontId="9" fillId="9" borderId="0" xfId="29816" applyFont="1" applyFill="1" applyAlignment="1">
      <alignment wrapText="1"/>
    </xf>
    <xf numFmtId="0" fontId="10" fillId="9" borderId="0" xfId="29816" applyFont="1" applyFill="1" applyAlignment="1">
      <alignment wrapText="1"/>
    </xf>
    <xf numFmtId="0" fontId="11" fillId="11" borderId="70" xfId="29816" applyFont="1" applyFill="1" applyBorder="1" applyAlignment="1">
      <alignment horizontal="left"/>
    </xf>
    <xf numFmtId="0" fontId="11" fillId="11" borderId="71" xfId="29816" applyFont="1" applyFill="1" applyBorder="1" applyAlignment="1">
      <alignment horizontal="left"/>
    </xf>
    <xf numFmtId="0" fontId="11" fillId="11" borderId="69" xfId="29816" applyFont="1" applyFill="1" applyBorder="1" applyAlignment="1">
      <alignment horizontal="left"/>
    </xf>
    <xf numFmtId="0" fontId="12" fillId="11" borderId="14" xfId="29816" applyFont="1" applyFill="1" applyBorder="1" applyAlignment="1">
      <alignment horizontal="left"/>
    </xf>
    <xf numFmtId="0" fontId="12" fillId="11" borderId="6" xfId="29816" applyFont="1" applyFill="1" applyBorder="1" applyAlignment="1">
      <alignment horizontal="left"/>
    </xf>
    <xf numFmtId="0" fontId="12" fillId="11" borderId="17" xfId="29816" applyFont="1" applyFill="1" applyBorder="1" applyAlignment="1">
      <alignment horizontal="left"/>
    </xf>
    <xf numFmtId="0" fontId="12" fillId="9" borderId="0" xfId="29817" applyFont="1" applyFill="1" applyAlignment="1">
      <alignment horizontal="left" wrapText="1"/>
    </xf>
    <xf numFmtId="0" fontId="11" fillId="9" borderId="0" xfId="29817" applyFont="1" applyFill="1" applyAlignment="1">
      <alignment horizontal="left" wrapText="1"/>
    </xf>
    <xf numFmtId="0" fontId="11" fillId="11" borderId="70" xfId="29817" applyFont="1" applyFill="1" applyBorder="1" applyAlignment="1">
      <alignment horizontal="left"/>
    </xf>
    <xf numFmtId="0" fontId="11" fillId="11" borderId="71" xfId="29817" applyFont="1" applyFill="1" applyBorder="1" applyAlignment="1">
      <alignment horizontal="left"/>
    </xf>
    <xf numFmtId="0" fontId="11" fillId="11" borderId="69" xfId="29817" applyFont="1" applyFill="1" applyBorder="1" applyAlignment="1">
      <alignment horizontal="left"/>
    </xf>
    <xf numFmtId="0" fontId="12" fillId="11" borderId="14" xfId="29817" applyFont="1" applyFill="1" applyBorder="1" applyAlignment="1">
      <alignment horizontal="left"/>
    </xf>
    <xf numFmtId="0" fontId="12" fillId="11" borderId="6" xfId="29817" applyFont="1" applyFill="1" applyBorder="1" applyAlignment="1">
      <alignment horizontal="left"/>
    </xf>
    <xf numFmtId="0" fontId="12" fillId="11" borderId="17" xfId="29817" applyFont="1" applyFill="1" applyBorder="1" applyAlignment="1">
      <alignment horizontal="left"/>
    </xf>
    <xf numFmtId="0" fontId="10" fillId="9" borderId="0" xfId="29817" applyFont="1" applyFill="1" applyAlignment="1">
      <alignment wrapText="1"/>
    </xf>
    <xf numFmtId="0" fontId="79" fillId="11" borderId="75" xfId="24113" applyFont="1" applyFill="1" applyBorder="1" applyAlignment="1">
      <alignment horizontal="left" vertical="top" wrapText="1"/>
    </xf>
    <xf numFmtId="0" fontId="79" fillId="11" borderId="64" xfId="24113" applyFont="1" applyFill="1" applyBorder="1" applyAlignment="1">
      <alignment horizontal="left" vertical="top" wrapText="1"/>
    </xf>
    <xf numFmtId="0" fontId="80" fillId="11" borderId="76" xfId="29818" applyFont="1" applyFill="1" applyBorder="1" applyAlignment="1">
      <alignment wrapText="1"/>
    </xf>
    <xf numFmtId="0" fontId="12" fillId="9" borderId="0" xfId="0" applyFont="1" applyFill="1" applyAlignment="1">
      <alignment horizontal="left" vertical="top" wrapText="1"/>
    </xf>
    <xf numFmtId="0" fontId="77" fillId="9" borderId="0" xfId="29818" applyFont="1" applyFill="1" applyAlignment="1">
      <alignment horizontal="left" vertical="top" wrapText="1"/>
    </xf>
    <xf numFmtId="0" fontId="78" fillId="9" borderId="0" xfId="29818" applyFont="1" applyFill="1" applyAlignment="1">
      <alignment horizontal="left" vertical="top" wrapText="1"/>
    </xf>
    <xf numFmtId="0" fontId="79" fillId="11" borderId="75" xfId="29818" applyFont="1" applyFill="1" applyBorder="1" applyAlignment="1">
      <alignment horizontal="left" wrapText="1"/>
    </xf>
    <xf numFmtId="0" fontId="79" fillId="11" borderId="64" xfId="29818" applyFont="1" applyFill="1" applyBorder="1" applyAlignment="1">
      <alignment wrapText="1"/>
    </xf>
    <xf numFmtId="0" fontId="79" fillId="11" borderId="76" xfId="29818" applyFont="1" applyFill="1" applyBorder="1" applyAlignment="1">
      <alignment wrapText="1"/>
    </xf>
    <xf numFmtId="0" fontId="79" fillId="11" borderId="75" xfId="42" applyFont="1" applyFill="1" applyBorder="1" applyAlignment="1">
      <alignment horizontal="left" vertical="top"/>
    </xf>
    <xf numFmtId="0" fontId="79" fillId="11" borderId="64" xfId="42" applyFont="1" applyFill="1" applyBorder="1" applyAlignment="1">
      <alignment horizontal="left" vertical="top"/>
    </xf>
    <xf numFmtId="0" fontId="79" fillId="11" borderId="76" xfId="42" applyFont="1" applyFill="1" applyBorder="1" applyAlignment="1">
      <alignment horizontal="left" vertical="top"/>
    </xf>
    <xf numFmtId="0" fontId="85" fillId="6" borderId="0" xfId="32" applyFont="1" applyFill="1" applyAlignment="1"/>
    <xf numFmtId="0" fontId="13" fillId="6" borderId="0" xfId="16" applyFill="1" applyAlignment="1" applyProtection="1"/>
    <xf numFmtId="0" fontId="85" fillId="6" borderId="0" xfId="42" applyFont="1" applyFill="1" applyAlignment="1"/>
    <xf numFmtId="0" fontId="85" fillId="6" borderId="0" xfId="32" applyFont="1" applyFill="1" applyBorder="1" applyAlignment="1">
      <alignment horizontal="center"/>
    </xf>
    <xf numFmtId="0" fontId="85" fillId="6" borderId="0" xfId="32" applyFont="1" applyFill="1" applyBorder="1" applyAlignment="1"/>
    <xf numFmtId="0" fontId="13" fillId="6" borderId="0" xfId="16" applyFill="1" applyBorder="1" applyAlignment="1" applyProtection="1"/>
    <xf numFmtId="0" fontId="85" fillId="6" borderId="0" xfId="42" applyFont="1" applyFill="1" applyAlignment="1">
      <alignment textRotation="90"/>
    </xf>
    <xf numFmtId="0" fontId="85" fillId="6" borderId="0" xfId="145" applyFont="1" applyFill="1" applyAlignment="1"/>
    <xf numFmtId="0" fontId="85" fillId="6" borderId="0" xfId="29816" applyFont="1" applyFill="1" applyAlignment="1"/>
    <xf numFmtId="0" fontId="85" fillId="6" borderId="0" xfId="29817" applyFont="1" applyFill="1" applyAlignment="1"/>
    <xf numFmtId="0" fontId="85" fillId="6" borderId="0" xfId="29818" applyFont="1" applyFill="1" applyAlignment="1"/>
  </cellXfs>
  <cellStyles count="29820">
    <cellStyle name="60% - Accent1 2" xfId="147"/>
    <cellStyle name="60% - Accent2 2" xfId="148"/>
    <cellStyle name="annee semestre" xfId="149"/>
    <cellStyle name="annee semestre 2" xfId="24121"/>
    <cellStyle name="bin" xfId="1"/>
    <cellStyle name="bin 2" xfId="150"/>
    <cellStyle name="bin 3" xfId="151"/>
    <cellStyle name="blue" xfId="2"/>
    <cellStyle name="blue 2" xfId="24122"/>
    <cellStyle name="Ç¥ÁØ_ENRL2" xfId="152"/>
    <cellStyle name="caché" xfId="153"/>
    <cellStyle name="cell" xfId="3"/>
    <cellStyle name="cell 10" xfId="154"/>
    <cellStyle name="cell 10 2" xfId="24123"/>
    <cellStyle name="cell 10 3" xfId="24124"/>
    <cellStyle name="cell 11" xfId="155"/>
    <cellStyle name="cell 11 2" xfId="24125"/>
    <cellStyle name="cell 11 3" xfId="24126"/>
    <cellStyle name="cell 12" xfId="24119"/>
    <cellStyle name="cell 12 2" xfId="24127"/>
    <cellStyle name="cell 12 3" xfId="24128"/>
    <cellStyle name="cell 13" xfId="24129"/>
    <cellStyle name="cell 13 2" xfId="24130"/>
    <cellStyle name="cell 14" xfId="24131"/>
    <cellStyle name="cell 2" xfId="156"/>
    <cellStyle name="cell 2 2" xfId="157"/>
    <cellStyle name="cell 2 3" xfId="158"/>
    <cellStyle name="cell 2 3 2" xfId="24132"/>
    <cellStyle name="cell 2 3 3" xfId="24133"/>
    <cellStyle name="cell 3" xfId="159"/>
    <cellStyle name="cell 3 10" xfId="160"/>
    <cellStyle name="cell 3 10 2" xfId="24134"/>
    <cellStyle name="cell 3 10 3" xfId="24135"/>
    <cellStyle name="cell 3 11" xfId="24136"/>
    <cellStyle name="cell 3 12" xfId="24137"/>
    <cellStyle name="cell 3 2" xfId="161"/>
    <cellStyle name="cell 3 2 10" xfId="24138"/>
    <cellStyle name="cell 3 2 2" xfId="162"/>
    <cellStyle name="cell 3 2 2 2" xfId="163"/>
    <cellStyle name="cell 3 2 2 2 10" xfId="164"/>
    <cellStyle name="cell 3 2 2 2 10 2" xfId="24139"/>
    <cellStyle name="cell 3 2 2 2 10 3" xfId="24140"/>
    <cellStyle name="cell 3 2 2 2 11" xfId="24141"/>
    <cellStyle name="cell 3 2 2 2 12" xfId="24142"/>
    <cellStyle name="cell 3 2 2 2 2" xfId="165"/>
    <cellStyle name="cell 3 2 2 2 2 2" xfId="166"/>
    <cellStyle name="cell 3 2 2 2 2 2 2" xfId="167"/>
    <cellStyle name="cell 3 2 2 2 2 2 2 2" xfId="24143"/>
    <cellStyle name="cell 3 2 2 2 2 2 2 3" xfId="24144"/>
    <cellStyle name="cell 3 2 2 2 2 2 3" xfId="24145"/>
    <cellStyle name="cell 3 2 2 2 2 2 4" xfId="24146"/>
    <cellStyle name="cell 3 2 2 2 2 3" xfId="168"/>
    <cellStyle name="cell 3 2 2 2 2 3 2" xfId="169"/>
    <cellStyle name="cell 3 2 2 2 2 3 2 2" xfId="24147"/>
    <cellStyle name="cell 3 2 2 2 2 3 2 3" xfId="24148"/>
    <cellStyle name="cell 3 2 2 2 2 3 3" xfId="24149"/>
    <cellStyle name="cell 3 2 2 2 2 3 4" xfId="24150"/>
    <cellStyle name="cell 3 2 2 2 2 4" xfId="170"/>
    <cellStyle name="cell 3 2 2 2 2 4 2" xfId="24151"/>
    <cellStyle name="cell 3 2 2 2 2 4 3" xfId="24152"/>
    <cellStyle name="cell 3 2 2 2 2 5" xfId="171"/>
    <cellStyle name="cell 3 2 2 2 2 5 2" xfId="24153"/>
    <cellStyle name="cell 3 2 2 2 2 5 3" xfId="24154"/>
    <cellStyle name="cell 3 2 2 2 2 6" xfId="172"/>
    <cellStyle name="cell 3 2 2 2 2 6 2" xfId="24155"/>
    <cellStyle name="cell 3 2 2 2 2 6 3" xfId="24156"/>
    <cellStyle name="cell 3 2 2 2 2 7" xfId="24157"/>
    <cellStyle name="cell 3 2 2 2 2 8" xfId="24158"/>
    <cellStyle name="cell 3 2 2 2 3" xfId="173"/>
    <cellStyle name="cell 3 2 2 2 3 2" xfId="174"/>
    <cellStyle name="cell 3 2 2 2 3 2 2" xfId="175"/>
    <cellStyle name="cell 3 2 2 2 3 2 2 2" xfId="24159"/>
    <cellStyle name="cell 3 2 2 2 3 2 2 3" xfId="24160"/>
    <cellStyle name="cell 3 2 2 2 3 2 3" xfId="24161"/>
    <cellStyle name="cell 3 2 2 2 3 2 4" xfId="24162"/>
    <cellStyle name="cell 3 2 2 2 3 3" xfId="176"/>
    <cellStyle name="cell 3 2 2 2 3 3 2" xfId="177"/>
    <cellStyle name="cell 3 2 2 2 3 3 2 2" xfId="24163"/>
    <cellStyle name="cell 3 2 2 2 3 3 2 3" xfId="24164"/>
    <cellStyle name="cell 3 2 2 2 3 3 3" xfId="24165"/>
    <cellStyle name="cell 3 2 2 2 3 3 4" xfId="24166"/>
    <cellStyle name="cell 3 2 2 2 3 4" xfId="178"/>
    <cellStyle name="cell 3 2 2 2 3 4 2" xfId="24167"/>
    <cellStyle name="cell 3 2 2 2 3 4 3" xfId="24168"/>
    <cellStyle name="cell 3 2 2 2 3 5" xfId="179"/>
    <cellStyle name="cell 3 2 2 2 3 5 2" xfId="24169"/>
    <cellStyle name="cell 3 2 2 2 3 5 3" xfId="24170"/>
    <cellStyle name="cell 3 2 2 2 3 6" xfId="180"/>
    <cellStyle name="cell 3 2 2 2 3 6 2" xfId="24171"/>
    <cellStyle name="cell 3 2 2 2 3 6 3" xfId="24172"/>
    <cellStyle name="cell 3 2 2 2 3 7" xfId="24173"/>
    <cellStyle name="cell 3 2 2 2 3 8" xfId="24174"/>
    <cellStyle name="cell 3 2 2 2 4" xfId="181"/>
    <cellStyle name="cell 3 2 2 2 4 2" xfId="182"/>
    <cellStyle name="cell 3 2 2 2 4 2 2" xfId="183"/>
    <cellStyle name="cell 3 2 2 2 4 2 2 2" xfId="24175"/>
    <cellStyle name="cell 3 2 2 2 4 2 2 3" xfId="24176"/>
    <cellStyle name="cell 3 2 2 2 4 2 3" xfId="24177"/>
    <cellStyle name="cell 3 2 2 2 4 2 4" xfId="24178"/>
    <cellStyle name="cell 3 2 2 2 4 3" xfId="184"/>
    <cellStyle name="cell 3 2 2 2 4 3 2" xfId="185"/>
    <cellStyle name="cell 3 2 2 2 4 3 2 2" xfId="24179"/>
    <cellStyle name="cell 3 2 2 2 4 3 2 3" xfId="24180"/>
    <cellStyle name="cell 3 2 2 2 4 3 3" xfId="24181"/>
    <cellStyle name="cell 3 2 2 2 4 3 4" xfId="24182"/>
    <cellStyle name="cell 3 2 2 2 4 4" xfId="186"/>
    <cellStyle name="cell 3 2 2 2 4 4 2" xfId="24183"/>
    <cellStyle name="cell 3 2 2 2 4 4 3" xfId="24184"/>
    <cellStyle name="cell 3 2 2 2 4 5" xfId="187"/>
    <cellStyle name="cell 3 2 2 2 4 5 2" xfId="24185"/>
    <cellStyle name="cell 3 2 2 2 4 5 3" xfId="24186"/>
    <cellStyle name="cell 3 2 2 2 4 6" xfId="188"/>
    <cellStyle name="cell 3 2 2 2 4 6 2" xfId="24187"/>
    <cellStyle name="cell 3 2 2 2 4 6 3" xfId="24188"/>
    <cellStyle name="cell 3 2 2 2 4 7" xfId="24189"/>
    <cellStyle name="cell 3 2 2 2 4 8" xfId="24190"/>
    <cellStyle name="cell 3 2 2 2 5" xfId="189"/>
    <cellStyle name="cell 3 2 2 2 5 2" xfId="190"/>
    <cellStyle name="cell 3 2 2 2 5 2 2" xfId="191"/>
    <cellStyle name="cell 3 2 2 2 5 2 2 2" xfId="24191"/>
    <cellStyle name="cell 3 2 2 2 5 2 2 3" xfId="24192"/>
    <cellStyle name="cell 3 2 2 2 5 2 3" xfId="24193"/>
    <cellStyle name="cell 3 2 2 2 5 2 4" xfId="24194"/>
    <cellStyle name="cell 3 2 2 2 5 3" xfId="192"/>
    <cellStyle name="cell 3 2 2 2 5 3 2" xfId="193"/>
    <cellStyle name="cell 3 2 2 2 5 3 2 2" xfId="24195"/>
    <cellStyle name="cell 3 2 2 2 5 3 2 3" xfId="24196"/>
    <cellStyle name="cell 3 2 2 2 5 3 3" xfId="24197"/>
    <cellStyle name="cell 3 2 2 2 5 3 4" xfId="24198"/>
    <cellStyle name="cell 3 2 2 2 5 4" xfId="194"/>
    <cellStyle name="cell 3 2 2 2 5 4 2" xfId="24199"/>
    <cellStyle name="cell 3 2 2 2 5 4 3" xfId="24200"/>
    <cellStyle name="cell 3 2 2 2 5 5" xfId="195"/>
    <cellStyle name="cell 3 2 2 2 5 5 2" xfId="24201"/>
    <cellStyle name="cell 3 2 2 2 5 5 3" xfId="24202"/>
    <cellStyle name="cell 3 2 2 2 5 6" xfId="196"/>
    <cellStyle name="cell 3 2 2 2 5 6 2" xfId="24203"/>
    <cellStyle name="cell 3 2 2 2 5 6 3" xfId="24204"/>
    <cellStyle name="cell 3 2 2 2 5 7" xfId="24205"/>
    <cellStyle name="cell 3 2 2 2 5 8" xfId="24206"/>
    <cellStyle name="cell 3 2 2 2 6" xfId="197"/>
    <cellStyle name="cell 3 2 2 2 6 2" xfId="198"/>
    <cellStyle name="cell 3 2 2 2 6 2 2" xfId="199"/>
    <cellStyle name="cell 3 2 2 2 6 2 2 2" xfId="24207"/>
    <cellStyle name="cell 3 2 2 2 6 2 2 3" xfId="24208"/>
    <cellStyle name="cell 3 2 2 2 6 2 3" xfId="24209"/>
    <cellStyle name="cell 3 2 2 2 6 2 4" xfId="24210"/>
    <cellStyle name="cell 3 2 2 2 6 3" xfId="200"/>
    <cellStyle name="cell 3 2 2 2 6 3 2" xfId="201"/>
    <cellStyle name="cell 3 2 2 2 6 3 2 2" xfId="24211"/>
    <cellStyle name="cell 3 2 2 2 6 3 2 3" xfId="24212"/>
    <cellStyle name="cell 3 2 2 2 6 3 3" xfId="24213"/>
    <cellStyle name="cell 3 2 2 2 6 3 4" xfId="24214"/>
    <cellStyle name="cell 3 2 2 2 6 4" xfId="202"/>
    <cellStyle name="cell 3 2 2 2 6 4 2" xfId="24215"/>
    <cellStyle name="cell 3 2 2 2 6 4 3" xfId="24216"/>
    <cellStyle name="cell 3 2 2 2 6 5" xfId="203"/>
    <cellStyle name="cell 3 2 2 2 6 5 2" xfId="24217"/>
    <cellStyle name="cell 3 2 2 2 6 5 3" xfId="24218"/>
    <cellStyle name="cell 3 2 2 2 6 6" xfId="204"/>
    <cellStyle name="cell 3 2 2 2 6 6 2" xfId="24219"/>
    <cellStyle name="cell 3 2 2 2 6 6 3" xfId="24220"/>
    <cellStyle name="cell 3 2 2 2 6 7" xfId="24221"/>
    <cellStyle name="cell 3 2 2 2 6 8" xfId="24222"/>
    <cellStyle name="cell 3 2 2 2 7" xfId="205"/>
    <cellStyle name="cell 3 2 2 2 7 2" xfId="24223"/>
    <cellStyle name="cell 3 2 2 2 7 3" xfId="24224"/>
    <cellStyle name="cell 3 2 2 2 8" xfId="206"/>
    <cellStyle name="cell 3 2 2 2 8 2" xfId="24225"/>
    <cellStyle name="cell 3 2 2 2 8 3" xfId="24226"/>
    <cellStyle name="cell 3 2 2 2 9" xfId="207"/>
    <cellStyle name="cell 3 2 2 2 9 2" xfId="24227"/>
    <cellStyle name="cell 3 2 2 2 9 3" xfId="24228"/>
    <cellStyle name="cell 3 2 2 3" xfId="208"/>
    <cellStyle name="cell 3 2 2 3 2" xfId="24229"/>
    <cellStyle name="cell 3 2 2 3 3" xfId="24230"/>
    <cellStyle name="cell 3 2 2 4" xfId="209"/>
    <cellStyle name="cell 3 2 2 4 2" xfId="24231"/>
    <cellStyle name="cell 3 2 2 4 3" xfId="24232"/>
    <cellStyle name="cell 3 2 2 5" xfId="210"/>
    <cellStyle name="cell 3 2 2 5 2" xfId="24233"/>
    <cellStyle name="cell 3 2 2 5 3" xfId="24234"/>
    <cellStyle name="cell 3 2 2 6" xfId="211"/>
    <cellStyle name="cell 3 2 2 6 2" xfId="24235"/>
    <cellStyle name="cell 3 2 2 6 3" xfId="24236"/>
    <cellStyle name="cell 3 2 2 7" xfId="24237"/>
    <cellStyle name="cell 3 2 2 8" xfId="24238"/>
    <cellStyle name="cell 3 2 2_STUD aligned by INSTIT" xfId="212"/>
    <cellStyle name="cell 3 2 3" xfId="213"/>
    <cellStyle name="cell 3 2 3 2" xfId="214"/>
    <cellStyle name="cell 3 2 3 2 2" xfId="24239"/>
    <cellStyle name="cell 3 2 3 2 3" xfId="24240"/>
    <cellStyle name="cell 3 2 3 3" xfId="215"/>
    <cellStyle name="cell 3 2 3 3 2" xfId="24241"/>
    <cellStyle name="cell 3 2 3 3 3" xfId="24242"/>
    <cellStyle name="cell 3 2 3 4" xfId="216"/>
    <cellStyle name="cell 3 2 3 4 2" xfId="24243"/>
    <cellStyle name="cell 3 2 3 4 3" xfId="24244"/>
    <cellStyle name="cell 3 2 3 5" xfId="24245"/>
    <cellStyle name="cell 3 2 3 6" xfId="24246"/>
    <cellStyle name="cell 3 2 4" xfId="217"/>
    <cellStyle name="cell 3 2 4 2" xfId="24247"/>
    <cellStyle name="cell 3 2 4 3" xfId="24248"/>
    <cellStyle name="cell 3 2 5" xfId="218"/>
    <cellStyle name="cell 3 2 5 2" xfId="24249"/>
    <cellStyle name="cell 3 2 5 3" xfId="24250"/>
    <cellStyle name="cell 3 2 6" xfId="219"/>
    <cellStyle name="cell 3 2 6 2" xfId="24251"/>
    <cellStyle name="cell 3 2 6 3" xfId="24252"/>
    <cellStyle name="cell 3 2 7" xfId="220"/>
    <cellStyle name="cell 3 2 7 2" xfId="24253"/>
    <cellStyle name="cell 3 2 7 3" xfId="24254"/>
    <cellStyle name="cell 3 2 8" xfId="221"/>
    <cellStyle name="cell 3 2 8 2" xfId="24255"/>
    <cellStyle name="cell 3 2 8 3" xfId="24256"/>
    <cellStyle name="cell 3 2 9" xfId="24257"/>
    <cellStyle name="cell 3 2_STUD aligned by INSTIT" xfId="222"/>
    <cellStyle name="cell 3 3" xfId="223"/>
    <cellStyle name="cell 3 3 10" xfId="24258"/>
    <cellStyle name="cell 3 3 2" xfId="224"/>
    <cellStyle name="cell 3 3 2 2" xfId="225"/>
    <cellStyle name="cell 3 3 2 2 2" xfId="226"/>
    <cellStyle name="cell 3 3 2 2 2 2" xfId="24259"/>
    <cellStyle name="cell 3 3 2 2 2 3" xfId="24260"/>
    <cellStyle name="cell 3 3 2 2 3" xfId="227"/>
    <cellStyle name="cell 3 3 2 2 3 2" xfId="24261"/>
    <cellStyle name="cell 3 3 2 2 3 3" xfId="24262"/>
    <cellStyle name="cell 3 3 2 2 4" xfId="228"/>
    <cellStyle name="cell 3 3 2 2 4 2" xfId="24263"/>
    <cellStyle name="cell 3 3 2 2 4 3" xfId="24264"/>
    <cellStyle name="cell 3 3 2 2 5" xfId="229"/>
    <cellStyle name="cell 3 3 2 2 5 2" xfId="24265"/>
    <cellStyle name="cell 3 3 2 2 5 3" xfId="24266"/>
    <cellStyle name="cell 3 3 2 2 6" xfId="24267"/>
    <cellStyle name="cell 3 3 2 2 7" xfId="24268"/>
    <cellStyle name="cell 3 3 2 3" xfId="230"/>
    <cellStyle name="cell 3 3 2 3 2" xfId="24269"/>
    <cellStyle name="cell 3 3 2 3 3" xfId="24270"/>
    <cellStyle name="cell 3 3 2 4" xfId="231"/>
    <cellStyle name="cell 3 3 2 4 2" xfId="24271"/>
    <cellStyle name="cell 3 3 2 4 3" xfId="24272"/>
    <cellStyle name="cell 3 3 2 5" xfId="232"/>
    <cellStyle name="cell 3 3 2 5 2" xfId="24273"/>
    <cellStyle name="cell 3 3 2 5 3" xfId="24274"/>
    <cellStyle name="cell 3 3 2 6" xfId="233"/>
    <cellStyle name="cell 3 3 2 6 2" xfId="24275"/>
    <cellStyle name="cell 3 3 2 6 3" xfId="24276"/>
    <cellStyle name="cell 3 3 2 7" xfId="24277"/>
    <cellStyle name="cell 3 3 2 8" xfId="24278"/>
    <cellStyle name="cell 3 3 2_STUD aligned by INSTIT" xfId="234"/>
    <cellStyle name="cell 3 3 3" xfId="235"/>
    <cellStyle name="cell 3 3 3 2" xfId="236"/>
    <cellStyle name="cell 3 3 3 2 2" xfId="24279"/>
    <cellStyle name="cell 3 3 3 2 3" xfId="24280"/>
    <cellStyle name="cell 3 3 3 3" xfId="237"/>
    <cellStyle name="cell 3 3 3 3 2" xfId="24281"/>
    <cellStyle name="cell 3 3 3 3 3" xfId="24282"/>
    <cellStyle name="cell 3 3 3 4" xfId="238"/>
    <cellStyle name="cell 3 3 3 4 2" xfId="24283"/>
    <cellStyle name="cell 3 3 3 4 3" xfId="24284"/>
    <cellStyle name="cell 3 3 3 5" xfId="239"/>
    <cellStyle name="cell 3 3 3 5 2" xfId="24285"/>
    <cellStyle name="cell 3 3 3 5 3" xfId="24286"/>
    <cellStyle name="cell 3 3 3 6" xfId="24287"/>
    <cellStyle name="cell 3 3 3 7" xfId="24288"/>
    <cellStyle name="cell 3 3 4" xfId="240"/>
    <cellStyle name="cell 3 3 4 2" xfId="24289"/>
    <cellStyle name="cell 3 3 4 3" xfId="24290"/>
    <cellStyle name="cell 3 3 5" xfId="241"/>
    <cellStyle name="cell 3 3 5 2" xfId="24291"/>
    <cellStyle name="cell 3 3 5 3" xfId="24292"/>
    <cellStyle name="cell 3 3 6" xfId="242"/>
    <cellStyle name="cell 3 3 6 2" xfId="24293"/>
    <cellStyle name="cell 3 3 6 3" xfId="24294"/>
    <cellStyle name="cell 3 3 7" xfId="243"/>
    <cellStyle name="cell 3 3 7 2" xfId="24295"/>
    <cellStyle name="cell 3 3 7 3" xfId="24296"/>
    <cellStyle name="cell 3 3 8" xfId="244"/>
    <cellStyle name="cell 3 3 8 2" xfId="24297"/>
    <cellStyle name="cell 3 3 8 3" xfId="24298"/>
    <cellStyle name="cell 3 3 9" xfId="24299"/>
    <cellStyle name="cell 3 3_STUD aligned by INSTIT" xfId="245"/>
    <cellStyle name="cell 3 4" xfId="246"/>
    <cellStyle name="cell 3 4 2" xfId="247"/>
    <cellStyle name="cell 3 4 2 2" xfId="248"/>
    <cellStyle name="cell 3 4 2 2 2" xfId="24300"/>
    <cellStyle name="cell 3 4 2 2 3" xfId="24301"/>
    <cellStyle name="cell 3 4 2 3" xfId="249"/>
    <cellStyle name="cell 3 4 2 3 2" xfId="24302"/>
    <cellStyle name="cell 3 4 2 3 3" xfId="24303"/>
    <cellStyle name="cell 3 4 2 4" xfId="250"/>
    <cellStyle name="cell 3 4 2 4 2" xfId="24304"/>
    <cellStyle name="cell 3 4 2 4 3" xfId="24305"/>
    <cellStyle name="cell 3 4 2 5" xfId="251"/>
    <cellStyle name="cell 3 4 2 5 2" xfId="24306"/>
    <cellStyle name="cell 3 4 2 5 3" xfId="24307"/>
    <cellStyle name="cell 3 4 2 6" xfId="24308"/>
    <cellStyle name="cell 3 4 2 7" xfId="24309"/>
    <cellStyle name="cell 3 4 3" xfId="252"/>
    <cellStyle name="cell 3 4 3 2" xfId="24310"/>
    <cellStyle name="cell 3 4 3 3" xfId="24311"/>
    <cellStyle name="cell 3 4 4" xfId="253"/>
    <cellStyle name="cell 3 4 4 2" xfId="24312"/>
    <cellStyle name="cell 3 4 4 3" xfId="24313"/>
    <cellStyle name="cell 3 4 5" xfId="254"/>
    <cellStyle name="cell 3 4 5 2" xfId="24314"/>
    <cellStyle name="cell 3 4 5 3" xfId="24315"/>
    <cellStyle name="cell 3 4 6" xfId="255"/>
    <cellStyle name="cell 3 4 6 2" xfId="24316"/>
    <cellStyle name="cell 3 4 6 3" xfId="24317"/>
    <cellStyle name="cell 3 4 7" xfId="24318"/>
    <cellStyle name="cell 3 4 8" xfId="24319"/>
    <cellStyle name="cell 3 4_STUD aligned by INSTIT" xfId="256"/>
    <cellStyle name="cell 3 5" xfId="257"/>
    <cellStyle name="cell 3 5 2" xfId="258"/>
    <cellStyle name="cell 3 5 2 2" xfId="24320"/>
    <cellStyle name="cell 3 5 2 3" xfId="24321"/>
    <cellStyle name="cell 3 5 3" xfId="259"/>
    <cellStyle name="cell 3 5 3 2" xfId="24322"/>
    <cellStyle name="cell 3 5 3 3" xfId="24323"/>
    <cellStyle name="cell 3 5 4" xfId="260"/>
    <cellStyle name="cell 3 5 4 2" xfId="24324"/>
    <cellStyle name="cell 3 5 4 3" xfId="24325"/>
    <cellStyle name="cell 3 5 5" xfId="24326"/>
    <cellStyle name="cell 3 5 6" xfId="24327"/>
    <cellStyle name="cell 3 6" xfId="261"/>
    <cellStyle name="cell 3 6 2" xfId="24328"/>
    <cellStyle name="cell 3 6 3" xfId="24329"/>
    <cellStyle name="cell 3 7" xfId="262"/>
    <cellStyle name="cell 3 7 2" xfId="24330"/>
    <cellStyle name="cell 3 7 3" xfId="24331"/>
    <cellStyle name="cell 3 8" xfId="263"/>
    <cellStyle name="cell 3 8 2" xfId="24332"/>
    <cellStyle name="cell 3 8 3" xfId="24333"/>
    <cellStyle name="cell 3 9" xfId="264"/>
    <cellStyle name="cell 3 9 2" xfId="24334"/>
    <cellStyle name="cell 3 9 3" xfId="24335"/>
    <cellStyle name="cell 3_STUD aligned by INSTIT" xfId="265"/>
    <cellStyle name="cell 4" xfId="266"/>
    <cellStyle name="cell 4 2" xfId="267"/>
    <cellStyle name="cell 4 2 2" xfId="268"/>
    <cellStyle name="cell 4 2 2 2" xfId="269"/>
    <cellStyle name="cell 4 2 2 2 2" xfId="24336"/>
    <cellStyle name="cell 4 2 2 2 3" xfId="24337"/>
    <cellStyle name="cell 4 2 2 3" xfId="270"/>
    <cellStyle name="cell 4 2 2 3 2" xfId="24338"/>
    <cellStyle name="cell 4 2 2 3 3" xfId="24339"/>
    <cellStyle name="cell 4 2 2 4" xfId="271"/>
    <cellStyle name="cell 4 2 2 4 2" xfId="24340"/>
    <cellStyle name="cell 4 2 2 4 3" xfId="24341"/>
    <cellStyle name="cell 4 2 2 5" xfId="272"/>
    <cellStyle name="cell 4 2 2 5 2" xfId="24342"/>
    <cellStyle name="cell 4 2 2 5 3" xfId="24343"/>
    <cellStyle name="cell 4 2 2 6" xfId="24344"/>
    <cellStyle name="cell 4 2 2 7" xfId="24345"/>
    <cellStyle name="cell 4 2 3" xfId="273"/>
    <cellStyle name="cell 4 2 3 2" xfId="24346"/>
    <cellStyle name="cell 4 2 3 3" xfId="24347"/>
    <cellStyle name="cell 4 2 4" xfId="274"/>
    <cellStyle name="cell 4 2 4 2" xfId="24348"/>
    <cellStyle name="cell 4 2 4 3" xfId="24349"/>
    <cellStyle name="cell 4 2 5" xfId="275"/>
    <cellStyle name="cell 4 2 5 2" xfId="24350"/>
    <cellStyle name="cell 4 2 5 3" xfId="24351"/>
    <cellStyle name="cell 4 2 6" xfId="276"/>
    <cellStyle name="cell 4 2 6 2" xfId="24352"/>
    <cellStyle name="cell 4 2 6 3" xfId="24353"/>
    <cellStyle name="cell 4 2 7" xfId="24354"/>
    <cellStyle name="cell 4 2 8" xfId="24355"/>
    <cellStyle name="cell 4 2_STUD aligned by INSTIT" xfId="277"/>
    <cellStyle name="cell 4 3" xfId="278"/>
    <cellStyle name="cell 4 3 2" xfId="279"/>
    <cellStyle name="cell 4 3 2 2" xfId="24356"/>
    <cellStyle name="cell 4 3 2 3" xfId="24357"/>
    <cellStyle name="cell 4 3 3" xfId="280"/>
    <cellStyle name="cell 4 3 3 2" xfId="24358"/>
    <cellStyle name="cell 4 3 3 3" xfId="24359"/>
    <cellStyle name="cell 4 3 4" xfId="281"/>
    <cellStyle name="cell 4 3 4 2" xfId="24360"/>
    <cellStyle name="cell 4 3 4 3" xfId="24361"/>
    <cellStyle name="cell 4 3 5" xfId="282"/>
    <cellStyle name="cell 4 3 5 2" xfId="24362"/>
    <cellStyle name="cell 4 3 5 3" xfId="24363"/>
    <cellStyle name="cell 4 3 6" xfId="24364"/>
    <cellStyle name="cell 4 3 7" xfId="24365"/>
    <cellStyle name="cell 4 4" xfId="283"/>
    <cellStyle name="cell 4 4 2" xfId="24366"/>
    <cellStyle name="cell 4 4 3" xfId="24367"/>
    <cellStyle name="cell 4 5" xfId="284"/>
    <cellStyle name="cell 4 5 2" xfId="24368"/>
    <cellStyle name="cell 4 5 3" xfId="24369"/>
    <cellStyle name="cell 4 6" xfId="285"/>
    <cellStyle name="cell 4 6 2" xfId="24370"/>
    <cellStyle name="cell 4 6 3" xfId="24371"/>
    <cellStyle name="cell 4 7" xfId="286"/>
    <cellStyle name="cell 4 7 2" xfId="24372"/>
    <cellStyle name="cell 4 7 3" xfId="24373"/>
    <cellStyle name="cell 4 8" xfId="24374"/>
    <cellStyle name="cell 4 9" xfId="24375"/>
    <cellStyle name="cell 4_STUD aligned by INSTIT" xfId="287"/>
    <cellStyle name="cell 5" xfId="288"/>
    <cellStyle name="cell 5 2" xfId="289"/>
    <cellStyle name="cell 5 2 10" xfId="290"/>
    <cellStyle name="cell 5 2 10 2" xfId="24376"/>
    <cellStyle name="cell 5 2 10 3" xfId="24377"/>
    <cellStyle name="cell 5 2 11" xfId="24378"/>
    <cellStyle name="cell 5 2 12" xfId="24379"/>
    <cellStyle name="cell 5 2 2" xfId="291"/>
    <cellStyle name="cell 5 2 2 2" xfId="292"/>
    <cellStyle name="cell 5 2 2 2 2" xfId="293"/>
    <cellStyle name="cell 5 2 2 2 2 2" xfId="24380"/>
    <cellStyle name="cell 5 2 2 2 2 3" xfId="24381"/>
    <cellStyle name="cell 5 2 2 2 3" xfId="24382"/>
    <cellStyle name="cell 5 2 2 2 4" xfId="24383"/>
    <cellStyle name="cell 5 2 2 3" xfId="294"/>
    <cellStyle name="cell 5 2 2 3 2" xfId="295"/>
    <cellStyle name="cell 5 2 2 3 2 2" xfId="24384"/>
    <cellStyle name="cell 5 2 2 3 2 3" xfId="24385"/>
    <cellStyle name="cell 5 2 2 3 3" xfId="24386"/>
    <cellStyle name="cell 5 2 2 3 4" xfId="24387"/>
    <cellStyle name="cell 5 2 2 4" xfId="296"/>
    <cellStyle name="cell 5 2 2 4 2" xfId="24388"/>
    <cellStyle name="cell 5 2 2 4 3" xfId="24389"/>
    <cellStyle name="cell 5 2 2 5" xfId="297"/>
    <cellStyle name="cell 5 2 2 5 2" xfId="24390"/>
    <cellStyle name="cell 5 2 2 5 3" xfId="24391"/>
    <cellStyle name="cell 5 2 2 6" xfId="298"/>
    <cellStyle name="cell 5 2 2 6 2" xfId="24392"/>
    <cellStyle name="cell 5 2 2 6 3" xfId="24393"/>
    <cellStyle name="cell 5 2 2 7" xfId="24394"/>
    <cellStyle name="cell 5 2 2 8" xfId="24395"/>
    <cellStyle name="cell 5 2 3" xfId="299"/>
    <cellStyle name="cell 5 2 3 2" xfId="300"/>
    <cellStyle name="cell 5 2 3 2 2" xfId="301"/>
    <cellStyle name="cell 5 2 3 2 2 2" xfId="24396"/>
    <cellStyle name="cell 5 2 3 2 2 3" xfId="24397"/>
    <cellStyle name="cell 5 2 3 2 3" xfId="24398"/>
    <cellStyle name="cell 5 2 3 2 4" xfId="24399"/>
    <cellStyle name="cell 5 2 3 3" xfId="302"/>
    <cellStyle name="cell 5 2 3 3 2" xfId="303"/>
    <cellStyle name="cell 5 2 3 3 2 2" xfId="24400"/>
    <cellStyle name="cell 5 2 3 3 2 3" xfId="24401"/>
    <cellStyle name="cell 5 2 3 3 3" xfId="24402"/>
    <cellStyle name="cell 5 2 3 3 4" xfId="24403"/>
    <cellStyle name="cell 5 2 3 4" xfId="304"/>
    <cellStyle name="cell 5 2 3 4 2" xfId="24404"/>
    <cellStyle name="cell 5 2 3 4 3" xfId="24405"/>
    <cellStyle name="cell 5 2 3 5" xfId="305"/>
    <cellStyle name="cell 5 2 3 5 2" xfId="24406"/>
    <cellStyle name="cell 5 2 3 5 3" xfId="24407"/>
    <cellStyle name="cell 5 2 3 6" xfId="306"/>
    <cellStyle name="cell 5 2 3 6 2" xfId="24408"/>
    <cellStyle name="cell 5 2 3 6 3" xfId="24409"/>
    <cellStyle name="cell 5 2 3 7" xfId="24410"/>
    <cellStyle name="cell 5 2 3 8" xfId="24411"/>
    <cellStyle name="cell 5 2 4" xfId="307"/>
    <cellStyle name="cell 5 2 4 2" xfId="308"/>
    <cellStyle name="cell 5 2 4 2 2" xfId="309"/>
    <cellStyle name="cell 5 2 4 2 2 2" xfId="24412"/>
    <cellStyle name="cell 5 2 4 2 2 3" xfId="24413"/>
    <cellStyle name="cell 5 2 4 2 3" xfId="24414"/>
    <cellStyle name="cell 5 2 4 2 4" xfId="24415"/>
    <cellStyle name="cell 5 2 4 3" xfId="310"/>
    <cellStyle name="cell 5 2 4 3 2" xfId="311"/>
    <cellStyle name="cell 5 2 4 3 2 2" xfId="24416"/>
    <cellStyle name="cell 5 2 4 3 2 3" xfId="24417"/>
    <cellStyle name="cell 5 2 4 3 3" xfId="24418"/>
    <cellStyle name="cell 5 2 4 3 4" xfId="24419"/>
    <cellStyle name="cell 5 2 4 4" xfId="312"/>
    <cellStyle name="cell 5 2 4 4 2" xfId="24420"/>
    <cellStyle name="cell 5 2 4 4 3" xfId="24421"/>
    <cellStyle name="cell 5 2 4 5" xfId="313"/>
    <cellStyle name="cell 5 2 4 5 2" xfId="24422"/>
    <cellStyle name="cell 5 2 4 5 3" xfId="24423"/>
    <cellStyle name="cell 5 2 4 6" xfId="314"/>
    <cellStyle name="cell 5 2 4 6 2" xfId="24424"/>
    <cellStyle name="cell 5 2 4 6 3" xfId="24425"/>
    <cellStyle name="cell 5 2 4 7" xfId="24426"/>
    <cellStyle name="cell 5 2 4 8" xfId="24427"/>
    <cellStyle name="cell 5 2 5" xfId="315"/>
    <cellStyle name="cell 5 2 5 2" xfId="316"/>
    <cellStyle name="cell 5 2 5 2 2" xfId="317"/>
    <cellStyle name="cell 5 2 5 2 2 2" xfId="24428"/>
    <cellStyle name="cell 5 2 5 2 2 3" xfId="24429"/>
    <cellStyle name="cell 5 2 5 2 3" xfId="24430"/>
    <cellStyle name="cell 5 2 5 2 4" xfId="24431"/>
    <cellStyle name="cell 5 2 5 3" xfId="318"/>
    <cellStyle name="cell 5 2 5 3 2" xfId="319"/>
    <cellStyle name="cell 5 2 5 3 2 2" xfId="24432"/>
    <cellStyle name="cell 5 2 5 3 2 3" xfId="24433"/>
    <cellStyle name="cell 5 2 5 3 3" xfId="24434"/>
    <cellStyle name="cell 5 2 5 3 4" xfId="24435"/>
    <cellStyle name="cell 5 2 5 4" xfId="320"/>
    <cellStyle name="cell 5 2 5 4 2" xfId="24436"/>
    <cellStyle name="cell 5 2 5 4 3" xfId="24437"/>
    <cellStyle name="cell 5 2 5 5" xfId="321"/>
    <cellStyle name="cell 5 2 5 5 2" xfId="24438"/>
    <cellStyle name="cell 5 2 5 5 3" xfId="24439"/>
    <cellStyle name="cell 5 2 5 6" xfId="322"/>
    <cellStyle name="cell 5 2 5 6 2" xfId="24440"/>
    <cellStyle name="cell 5 2 5 6 3" xfId="24441"/>
    <cellStyle name="cell 5 2 5 7" xfId="24442"/>
    <cellStyle name="cell 5 2 5 8" xfId="24443"/>
    <cellStyle name="cell 5 2 6" xfId="323"/>
    <cellStyle name="cell 5 2 6 2" xfId="324"/>
    <cellStyle name="cell 5 2 6 2 2" xfId="325"/>
    <cellStyle name="cell 5 2 6 2 2 2" xfId="24444"/>
    <cellStyle name="cell 5 2 6 2 2 3" xfId="24445"/>
    <cellStyle name="cell 5 2 6 2 3" xfId="24446"/>
    <cellStyle name="cell 5 2 6 2 4" xfId="24447"/>
    <cellStyle name="cell 5 2 6 3" xfId="326"/>
    <cellStyle name="cell 5 2 6 3 2" xfId="327"/>
    <cellStyle name="cell 5 2 6 3 2 2" xfId="24448"/>
    <cellStyle name="cell 5 2 6 3 2 3" xfId="24449"/>
    <cellStyle name="cell 5 2 6 3 3" xfId="24450"/>
    <cellStyle name="cell 5 2 6 3 4" xfId="24451"/>
    <cellStyle name="cell 5 2 6 4" xfId="328"/>
    <cellStyle name="cell 5 2 6 4 2" xfId="24452"/>
    <cellStyle name="cell 5 2 6 4 3" xfId="24453"/>
    <cellStyle name="cell 5 2 6 5" xfId="329"/>
    <cellStyle name="cell 5 2 6 5 2" xfId="24454"/>
    <cellStyle name="cell 5 2 6 5 3" xfId="24455"/>
    <cellStyle name="cell 5 2 6 6" xfId="330"/>
    <cellStyle name="cell 5 2 6 6 2" xfId="24456"/>
    <cellStyle name="cell 5 2 6 6 3" xfId="24457"/>
    <cellStyle name="cell 5 2 6 7" xfId="24458"/>
    <cellStyle name="cell 5 2 6 8" xfId="24459"/>
    <cellStyle name="cell 5 2 7" xfId="331"/>
    <cellStyle name="cell 5 2 7 2" xfId="24460"/>
    <cellStyle name="cell 5 2 7 3" xfId="24461"/>
    <cellStyle name="cell 5 2 8" xfId="332"/>
    <cellStyle name="cell 5 2 8 2" xfId="24462"/>
    <cellStyle name="cell 5 2 8 3" xfId="24463"/>
    <cellStyle name="cell 5 2 9" xfId="333"/>
    <cellStyle name="cell 5 2 9 2" xfId="24464"/>
    <cellStyle name="cell 5 2 9 3" xfId="24465"/>
    <cellStyle name="cell 5 3" xfId="334"/>
    <cellStyle name="cell 5 3 2" xfId="24466"/>
    <cellStyle name="cell 5 3 3" xfId="24467"/>
    <cellStyle name="cell 5 4" xfId="335"/>
    <cellStyle name="cell 5 4 2" xfId="24468"/>
    <cellStyle name="cell 5 4 3" xfId="24469"/>
    <cellStyle name="cell 5 5" xfId="336"/>
    <cellStyle name="cell 5 5 2" xfId="24470"/>
    <cellStyle name="cell 5 5 3" xfId="24471"/>
    <cellStyle name="cell 5 6" xfId="337"/>
    <cellStyle name="cell 5 6 2" xfId="24472"/>
    <cellStyle name="cell 5 6 3" xfId="24473"/>
    <cellStyle name="cell 5 7" xfId="24474"/>
    <cellStyle name="cell 5 8" xfId="24475"/>
    <cellStyle name="cell 5_STUD aligned by INSTIT" xfId="338"/>
    <cellStyle name="cell 6" xfId="339"/>
    <cellStyle name="cell 6 10" xfId="340"/>
    <cellStyle name="cell 6 10 2" xfId="24476"/>
    <cellStyle name="cell 6 10 3" xfId="24477"/>
    <cellStyle name="cell 6 11" xfId="24478"/>
    <cellStyle name="cell 6 12" xfId="24479"/>
    <cellStyle name="cell 6 2" xfId="341"/>
    <cellStyle name="cell 6 2 2" xfId="342"/>
    <cellStyle name="cell 6 2 2 2" xfId="24480"/>
    <cellStyle name="cell 6 2 2 3" xfId="24481"/>
    <cellStyle name="cell 6 2 3" xfId="343"/>
    <cellStyle name="cell 6 2 3 2" xfId="24482"/>
    <cellStyle name="cell 6 2 3 3" xfId="24483"/>
    <cellStyle name="cell 6 2 4" xfId="344"/>
    <cellStyle name="cell 6 2 4 2" xfId="24484"/>
    <cellStyle name="cell 6 2 4 3" xfId="24485"/>
    <cellStyle name="cell 6 2 5" xfId="345"/>
    <cellStyle name="cell 6 2 5 2" xfId="24486"/>
    <cellStyle name="cell 6 2 5 3" xfId="24487"/>
    <cellStyle name="cell 6 2 6" xfId="24488"/>
    <cellStyle name="cell 6 2 7" xfId="24489"/>
    <cellStyle name="cell 6 3" xfId="346"/>
    <cellStyle name="cell 6 3 2" xfId="347"/>
    <cellStyle name="cell 6 3 2 2" xfId="348"/>
    <cellStyle name="cell 6 3 2 2 2" xfId="24490"/>
    <cellStyle name="cell 6 3 2 2 3" xfId="24491"/>
    <cellStyle name="cell 6 3 2 3" xfId="24492"/>
    <cellStyle name="cell 6 3 2 4" xfId="24493"/>
    <cellStyle name="cell 6 3 3" xfId="349"/>
    <cellStyle name="cell 6 3 3 2" xfId="350"/>
    <cellStyle name="cell 6 3 3 2 2" xfId="24494"/>
    <cellStyle name="cell 6 3 3 2 3" xfId="24495"/>
    <cellStyle name="cell 6 3 3 3" xfId="24496"/>
    <cellStyle name="cell 6 3 3 4" xfId="24497"/>
    <cellStyle name="cell 6 3 4" xfId="351"/>
    <cellStyle name="cell 6 3 4 2" xfId="24498"/>
    <cellStyle name="cell 6 3 4 3" xfId="24499"/>
    <cellStyle name="cell 6 3 5" xfId="352"/>
    <cellStyle name="cell 6 3 5 2" xfId="24500"/>
    <cellStyle name="cell 6 3 5 3" xfId="24501"/>
    <cellStyle name="cell 6 3 6" xfId="353"/>
    <cellStyle name="cell 6 3 6 2" xfId="24502"/>
    <cellStyle name="cell 6 3 6 3" xfId="24503"/>
    <cellStyle name="cell 6 3 7" xfId="24504"/>
    <cellStyle name="cell 6 3 8" xfId="24505"/>
    <cellStyle name="cell 6 4" xfId="354"/>
    <cellStyle name="cell 6 4 2" xfId="355"/>
    <cellStyle name="cell 6 4 2 2" xfId="356"/>
    <cellStyle name="cell 6 4 2 2 2" xfId="24506"/>
    <cellStyle name="cell 6 4 2 2 3" xfId="24507"/>
    <cellStyle name="cell 6 4 2 3" xfId="24508"/>
    <cellStyle name="cell 6 4 2 4" xfId="24509"/>
    <cellStyle name="cell 6 4 3" xfId="357"/>
    <cellStyle name="cell 6 4 3 2" xfId="358"/>
    <cellStyle name="cell 6 4 3 2 2" xfId="24510"/>
    <cellStyle name="cell 6 4 3 2 3" xfId="24511"/>
    <cellStyle name="cell 6 4 3 3" xfId="24512"/>
    <cellStyle name="cell 6 4 3 4" xfId="24513"/>
    <cellStyle name="cell 6 4 4" xfId="359"/>
    <cellStyle name="cell 6 4 4 2" xfId="24514"/>
    <cellStyle name="cell 6 4 4 3" xfId="24515"/>
    <cellStyle name="cell 6 4 5" xfId="360"/>
    <cellStyle name="cell 6 4 5 2" xfId="24516"/>
    <cellStyle name="cell 6 4 5 3" xfId="24517"/>
    <cellStyle name="cell 6 4 6" xfId="361"/>
    <cellStyle name="cell 6 4 6 2" xfId="24518"/>
    <cellStyle name="cell 6 4 6 3" xfId="24519"/>
    <cellStyle name="cell 6 4 7" xfId="24520"/>
    <cellStyle name="cell 6 4 8" xfId="24521"/>
    <cellStyle name="cell 6 5" xfId="362"/>
    <cellStyle name="cell 6 5 2" xfId="363"/>
    <cellStyle name="cell 6 5 2 2" xfId="364"/>
    <cellStyle name="cell 6 5 2 2 2" xfId="24522"/>
    <cellStyle name="cell 6 5 2 2 3" xfId="24523"/>
    <cellStyle name="cell 6 5 2 3" xfId="24524"/>
    <cellStyle name="cell 6 5 2 4" xfId="24525"/>
    <cellStyle name="cell 6 5 3" xfId="365"/>
    <cellStyle name="cell 6 5 3 2" xfId="366"/>
    <cellStyle name="cell 6 5 3 2 2" xfId="24526"/>
    <cellStyle name="cell 6 5 3 2 3" xfId="24527"/>
    <cellStyle name="cell 6 5 3 3" xfId="24528"/>
    <cellStyle name="cell 6 5 3 4" xfId="24529"/>
    <cellStyle name="cell 6 5 4" xfId="367"/>
    <cellStyle name="cell 6 5 4 2" xfId="24530"/>
    <cellStyle name="cell 6 5 4 3" xfId="24531"/>
    <cellStyle name="cell 6 5 5" xfId="368"/>
    <cellStyle name="cell 6 5 5 2" xfId="24532"/>
    <cellStyle name="cell 6 5 5 3" xfId="24533"/>
    <cellStyle name="cell 6 5 6" xfId="369"/>
    <cellStyle name="cell 6 5 6 2" xfId="24534"/>
    <cellStyle name="cell 6 5 6 3" xfId="24535"/>
    <cellStyle name="cell 6 5 7" xfId="24536"/>
    <cellStyle name="cell 6 5 8" xfId="24537"/>
    <cellStyle name="cell 6 6" xfId="370"/>
    <cellStyle name="cell 6 6 2" xfId="371"/>
    <cellStyle name="cell 6 6 2 2" xfId="372"/>
    <cellStyle name="cell 6 6 2 2 2" xfId="24538"/>
    <cellStyle name="cell 6 6 2 2 3" xfId="24539"/>
    <cellStyle name="cell 6 6 2 3" xfId="24540"/>
    <cellStyle name="cell 6 6 2 4" xfId="24541"/>
    <cellStyle name="cell 6 6 3" xfId="373"/>
    <cellStyle name="cell 6 6 3 2" xfId="374"/>
    <cellStyle name="cell 6 6 3 2 2" xfId="24542"/>
    <cellStyle name="cell 6 6 3 2 3" xfId="24543"/>
    <cellStyle name="cell 6 6 3 3" xfId="24544"/>
    <cellStyle name="cell 6 6 3 4" xfId="24545"/>
    <cellStyle name="cell 6 6 4" xfId="375"/>
    <cellStyle name="cell 6 6 4 2" xfId="24546"/>
    <cellStyle name="cell 6 6 4 3" xfId="24547"/>
    <cellStyle name="cell 6 6 5" xfId="376"/>
    <cellStyle name="cell 6 6 5 2" xfId="24548"/>
    <cellStyle name="cell 6 6 5 3" xfId="24549"/>
    <cellStyle name="cell 6 6 6" xfId="377"/>
    <cellStyle name="cell 6 6 6 2" xfId="24550"/>
    <cellStyle name="cell 6 6 6 3" xfId="24551"/>
    <cellStyle name="cell 6 6 7" xfId="24552"/>
    <cellStyle name="cell 6 6 8" xfId="24553"/>
    <cellStyle name="cell 6 7" xfId="378"/>
    <cellStyle name="cell 6 7 2" xfId="24554"/>
    <cellStyle name="cell 6 7 3" xfId="24555"/>
    <cellStyle name="cell 6 8" xfId="379"/>
    <cellStyle name="cell 6 8 2" xfId="24556"/>
    <cellStyle name="cell 6 8 3" xfId="24557"/>
    <cellStyle name="cell 6 9" xfId="380"/>
    <cellStyle name="cell 6 9 2" xfId="24558"/>
    <cellStyle name="cell 6 9 3" xfId="24559"/>
    <cellStyle name="cell 7" xfId="381"/>
    <cellStyle name="cell 7 10" xfId="382"/>
    <cellStyle name="cell 7 10 2" xfId="24560"/>
    <cellStyle name="cell 7 10 3" xfId="24561"/>
    <cellStyle name="cell 7 11" xfId="383"/>
    <cellStyle name="cell 7 11 2" xfId="24562"/>
    <cellStyle name="cell 7 11 3" xfId="24563"/>
    <cellStyle name="cell 7 12" xfId="24564"/>
    <cellStyle name="cell 7 13" xfId="24565"/>
    <cellStyle name="cell 7 2" xfId="384"/>
    <cellStyle name="cell 7 2 10" xfId="385"/>
    <cellStyle name="cell 7 2 10 2" xfId="24566"/>
    <cellStyle name="cell 7 2 10 3" xfId="24567"/>
    <cellStyle name="cell 7 2 11" xfId="386"/>
    <cellStyle name="cell 7 2 11 2" xfId="24568"/>
    <cellStyle name="cell 7 2 11 3" xfId="24569"/>
    <cellStyle name="cell 7 2 12" xfId="24570"/>
    <cellStyle name="cell 7 2 13" xfId="24571"/>
    <cellStyle name="cell 7 2 2" xfId="387"/>
    <cellStyle name="cell 7 2 2 2" xfId="388"/>
    <cellStyle name="cell 7 2 2 2 2" xfId="389"/>
    <cellStyle name="cell 7 2 2 2 2 2" xfId="24572"/>
    <cellStyle name="cell 7 2 2 2 2 3" xfId="24573"/>
    <cellStyle name="cell 7 2 2 2 3" xfId="24574"/>
    <cellStyle name="cell 7 2 2 2 4" xfId="24575"/>
    <cellStyle name="cell 7 2 2 3" xfId="390"/>
    <cellStyle name="cell 7 2 2 3 2" xfId="391"/>
    <cellStyle name="cell 7 2 2 3 2 2" xfId="24576"/>
    <cellStyle name="cell 7 2 2 3 2 3" xfId="24577"/>
    <cellStyle name="cell 7 2 2 3 3" xfId="24578"/>
    <cellStyle name="cell 7 2 2 3 4" xfId="24579"/>
    <cellStyle name="cell 7 2 2 4" xfId="392"/>
    <cellStyle name="cell 7 2 2 4 2" xfId="24580"/>
    <cellStyle name="cell 7 2 2 4 3" xfId="24581"/>
    <cellStyle name="cell 7 2 2 5" xfId="393"/>
    <cellStyle name="cell 7 2 2 5 2" xfId="24582"/>
    <cellStyle name="cell 7 2 2 5 3" xfId="24583"/>
    <cellStyle name="cell 7 2 2 6" xfId="394"/>
    <cellStyle name="cell 7 2 2 6 2" xfId="24584"/>
    <cellStyle name="cell 7 2 2 6 3" xfId="24585"/>
    <cellStyle name="cell 7 2 2 7" xfId="24586"/>
    <cellStyle name="cell 7 2 2 8" xfId="24587"/>
    <cellStyle name="cell 7 2 3" xfId="395"/>
    <cellStyle name="cell 7 2 3 2" xfId="396"/>
    <cellStyle name="cell 7 2 3 2 2" xfId="397"/>
    <cellStyle name="cell 7 2 3 2 2 2" xfId="24588"/>
    <cellStyle name="cell 7 2 3 2 2 3" xfId="24589"/>
    <cellStyle name="cell 7 2 3 2 3" xfId="24590"/>
    <cellStyle name="cell 7 2 3 2 4" xfId="24591"/>
    <cellStyle name="cell 7 2 3 3" xfId="398"/>
    <cellStyle name="cell 7 2 3 3 2" xfId="399"/>
    <cellStyle name="cell 7 2 3 3 2 2" xfId="24592"/>
    <cellStyle name="cell 7 2 3 3 2 3" xfId="24593"/>
    <cellStyle name="cell 7 2 3 3 3" xfId="24594"/>
    <cellStyle name="cell 7 2 3 3 4" xfId="24595"/>
    <cellStyle name="cell 7 2 3 4" xfId="400"/>
    <cellStyle name="cell 7 2 3 4 2" xfId="24596"/>
    <cellStyle name="cell 7 2 3 4 3" xfId="24597"/>
    <cellStyle name="cell 7 2 3 5" xfId="401"/>
    <cellStyle name="cell 7 2 3 5 2" xfId="24598"/>
    <cellStyle name="cell 7 2 3 5 3" xfId="24599"/>
    <cellStyle name="cell 7 2 3 6" xfId="402"/>
    <cellStyle name="cell 7 2 3 6 2" xfId="24600"/>
    <cellStyle name="cell 7 2 3 6 3" xfId="24601"/>
    <cellStyle name="cell 7 2 3 7" xfId="24602"/>
    <cellStyle name="cell 7 2 3 8" xfId="24603"/>
    <cellStyle name="cell 7 2 4" xfId="403"/>
    <cellStyle name="cell 7 2 4 2" xfId="404"/>
    <cellStyle name="cell 7 2 4 2 2" xfId="405"/>
    <cellStyle name="cell 7 2 4 2 2 2" xfId="24604"/>
    <cellStyle name="cell 7 2 4 2 2 3" xfId="24605"/>
    <cellStyle name="cell 7 2 4 2 3" xfId="24606"/>
    <cellStyle name="cell 7 2 4 2 4" xfId="24607"/>
    <cellStyle name="cell 7 2 4 3" xfId="406"/>
    <cellStyle name="cell 7 2 4 3 2" xfId="407"/>
    <cellStyle name="cell 7 2 4 3 2 2" xfId="24608"/>
    <cellStyle name="cell 7 2 4 3 2 3" xfId="24609"/>
    <cellStyle name="cell 7 2 4 3 3" xfId="24610"/>
    <cellStyle name="cell 7 2 4 3 4" xfId="24611"/>
    <cellStyle name="cell 7 2 4 4" xfId="408"/>
    <cellStyle name="cell 7 2 4 4 2" xfId="24612"/>
    <cellStyle name="cell 7 2 4 4 3" xfId="24613"/>
    <cellStyle name="cell 7 2 4 5" xfId="409"/>
    <cellStyle name="cell 7 2 4 5 2" xfId="24614"/>
    <cellStyle name="cell 7 2 4 5 3" xfId="24615"/>
    <cellStyle name="cell 7 2 4 6" xfId="410"/>
    <cellStyle name="cell 7 2 4 6 2" xfId="24616"/>
    <cellStyle name="cell 7 2 4 6 3" xfId="24617"/>
    <cellStyle name="cell 7 2 4 7" xfId="24618"/>
    <cellStyle name="cell 7 2 4 8" xfId="24619"/>
    <cellStyle name="cell 7 2 5" xfId="411"/>
    <cellStyle name="cell 7 2 5 2" xfId="412"/>
    <cellStyle name="cell 7 2 5 2 2" xfId="413"/>
    <cellStyle name="cell 7 2 5 2 2 2" xfId="24620"/>
    <cellStyle name="cell 7 2 5 2 2 3" xfId="24621"/>
    <cellStyle name="cell 7 2 5 2 3" xfId="24622"/>
    <cellStyle name="cell 7 2 5 2 4" xfId="24623"/>
    <cellStyle name="cell 7 2 5 3" xfId="414"/>
    <cellStyle name="cell 7 2 5 3 2" xfId="415"/>
    <cellStyle name="cell 7 2 5 3 2 2" xfId="24624"/>
    <cellStyle name="cell 7 2 5 3 2 3" xfId="24625"/>
    <cellStyle name="cell 7 2 5 3 3" xfId="24626"/>
    <cellStyle name="cell 7 2 5 3 4" xfId="24627"/>
    <cellStyle name="cell 7 2 5 4" xfId="416"/>
    <cellStyle name="cell 7 2 5 4 2" xfId="24628"/>
    <cellStyle name="cell 7 2 5 4 3" xfId="24629"/>
    <cellStyle name="cell 7 2 5 5" xfId="417"/>
    <cellStyle name="cell 7 2 5 5 2" xfId="24630"/>
    <cellStyle name="cell 7 2 5 5 3" xfId="24631"/>
    <cellStyle name="cell 7 2 5 6" xfId="418"/>
    <cellStyle name="cell 7 2 5 6 2" xfId="24632"/>
    <cellStyle name="cell 7 2 5 6 3" xfId="24633"/>
    <cellStyle name="cell 7 2 5 7" xfId="24634"/>
    <cellStyle name="cell 7 2 5 8" xfId="24635"/>
    <cellStyle name="cell 7 2 6" xfId="419"/>
    <cellStyle name="cell 7 2 6 2" xfId="420"/>
    <cellStyle name="cell 7 2 6 2 2" xfId="421"/>
    <cellStyle name="cell 7 2 6 2 2 2" xfId="24636"/>
    <cellStyle name="cell 7 2 6 2 2 3" xfId="24637"/>
    <cellStyle name="cell 7 2 6 2 3" xfId="24638"/>
    <cellStyle name="cell 7 2 6 2 4" xfId="24639"/>
    <cellStyle name="cell 7 2 6 3" xfId="422"/>
    <cellStyle name="cell 7 2 6 3 2" xfId="423"/>
    <cellStyle name="cell 7 2 6 3 2 2" xfId="24640"/>
    <cellStyle name="cell 7 2 6 3 2 3" xfId="24641"/>
    <cellStyle name="cell 7 2 6 3 3" xfId="24642"/>
    <cellStyle name="cell 7 2 6 3 4" xfId="24643"/>
    <cellStyle name="cell 7 2 6 4" xfId="424"/>
    <cellStyle name="cell 7 2 6 4 2" xfId="24644"/>
    <cellStyle name="cell 7 2 6 4 3" xfId="24645"/>
    <cellStyle name="cell 7 2 6 5" xfId="425"/>
    <cellStyle name="cell 7 2 6 5 2" xfId="24646"/>
    <cellStyle name="cell 7 2 6 5 3" xfId="24647"/>
    <cellStyle name="cell 7 2 6 6" xfId="426"/>
    <cellStyle name="cell 7 2 6 6 2" xfId="24648"/>
    <cellStyle name="cell 7 2 6 6 3" xfId="24649"/>
    <cellStyle name="cell 7 2 6 7" xfId="24650"/>
    <cellStyle name="cell 7 2 6 8" xfId="24651"/>
    <cellStyle name="cell 7 2 7" xfId="427"/>
    <cellStyle name="cell 7 2 7 2" xfId="428"/>
    <cellStyle name="cell 7 2 7 2 2" xfId="24652"/>
    <cellStyle name="cell 7 2 7 2 3" xfId="24653"/>
    <cellStyle name="cell 7 2 7 3" xfId="24654"/>
    <cellStyle name="cell 7 2 7 4" xfId="24655"/>
    <cellStyle name="cell 7 2 8" xfId="429"/>
    <cellStyle name="cell 7 2 8 2" xfId="430"/>
    <cellStyle name="cell 7 2 8 2 2" xfId="24656"/>
    <cellStyle name="cell 7 2 8 2 3" xfId="24657"/>
    <cellStyle name="cell 7 2 8 3" xfId="24658"/>
    <cellStyle name="cell 7 2 8 4" xfId="24659"/>
    <cellStyle name="cell 7 2 9" xfId="431"/>
    <cellStyle name="cell 7 2 9 2" xfId="24660"/>
    <cellStyle name="cell 7 2 9 3" xfId="24661"/>
    <cellStyle name="cell 7 3" xfId="432"/>
    <cellStyle name="cell 7 3 10" xfId="433"/>
    <cellStyle name="cell 7 3 10 2" xfId="24662"/>
    <cellStyle name="cell 7 3 10 3" xfId="24663"/>
    <cellStyle name="cell 7 3 11" xfId="24664"/>
    <cellStyle name="cell 7 3 12" xfId="24665"/>
    <cellStyle name="cell 7 3 2" xfId="434"/>
    <cellStyle name="cell 7 3 2 2" xfId="435"/>
    <cellStyle name="cell 7 3 2 2 2" xfId="436"/>
    <cellStyle name="cell 7 3 2 2 2 2" xfId="24666"/>
    <cellStyle name="cell 7 3 2 2 2 3" xfId="24667"/>
    <cellStyle name="cell 7 3 2 2 3" xfId="24668"/>
    <cellStyle name="cell 7 3 2 2 4" xfId="24669"/>
    <cellStyle name="cell 7 3 2 3" xfId="437"/>
    <cellStyle name="cell 7 3 2 3 2" xfId="438"/>
    <cellStyle name="cell 7 3 2 3 2 2" xfId="24670"/>
    <cellStyle name="cell 7 3 2 3 2 3" xfId="24671"/>
    <cellStyle name="cell 7 3 2 3 3" xfId="24672"/>
    <cellStyle name="cell 7 3 2 3 4" xfId="24673"/>
    <cellStyle name="cell 7 3 2 4" xfId="439"/>
    <cellStyle name="cell 7 3 2 4 2" xfId="24674"/>
    <cellStyle name="cell 7 3 2 4 3" xfId="24675"/>
    <cellStyle name="cell 7 3 2 5" xfId="440"/>
    <cellStyle name="cell 7 3 2 5 2" xfId="24676"/>
    <cellStyle name="cell 7 3 2 5 3" xfId="24677"/>
    <cellStyle name="cell 7 3 2 6" xfId="441"/>
    <cellStyle name="cell 7 3 2 6 2" xfId="24678"/>
    <cellStyle name="cell 7 3 2 6 3" xfId="24679"/>
    <cellStyle name="cell 7 3 2 7" xfId="24680"/>
    <cellStyle name="cell 7 3 2 8" xfId="24681"/>
    <cellStyle name="cell 7 3 3" xfId="442"/>
    <cellStyle name="cell 7 3 3 2" xfId="443"/>
    <cellStyle name="cell 7 3 3 2 2" xfId="444"/>
    <cellStyle name="cell 7 3 3 2 2 2" xfId="24682"/>
    <cellStyle name="cell 7 3 3 2 2 3" xfId="24683"/>
    <cellStyle name="cell 7 3 3 2 3" xfId="24684"/>
    <cellStyle name="cell 7 3 3 2 4" xfId="24685"/>
    <cellStyle name="cell 7 3 3 3" xfId="445"/>
    <cellStyle name="cell 7 3 3 3 2" xfId="446"/>
    <cellStyle name="cell 7 3 3 3 2 2" xfId="24686"/>
    <cellStyle name="cell 7 3 3 3 2 3" xfId="24687"/>
    <cellStyle name="cell 7 3 3 3 3" xfId="24688"/>
    <cellStyle name="cell 7 3 3 3 4" xfId="24689"/>
    <cellStyle name="cell 7 3 3 4" xfId="447"/>
    <cellStyle name="cell 7 3 3 4 2" xfId="24690"/>
    <cellStyle name="cell 7 3 3 4 3" xfId="24691"/>
    <cellStyle name="cell 7 3 3 5" xfId="448"/>
    <cellStyle name="cell 7 3 3 5 2" xfId="24692"/>
    <cellStyle name="cell 7 3 3 5 3" xfId="24693"/>
    <cellStyle name="cell 7 3 3 6" xfId="449"/>
    <cellStyle name="cell 7 3 3 6 2" xfId="24694"/>
    <cellStyle name="cell 7 3 3 6 3" xfId="24695"/>
    <cellStyle name="cell 7 3 3 7" xfId="24696"/>
    <cellStyle name="cell 7 3 3 8" xfId="24697"/>
    <cellStyle name="cell 7 3 4" xfId="450"/>
    <cellStyle name="cell 7 3 4 2" xfId="451"/>
    <cellStyle name="cell 7 3 4 2 2" xfId="452"/>
    <cellStyle name="cell 7 3 4 2 2 2" xfId="24698"/>
    <cellStyle name="cell 7 3 4 2 2 3" xfId="24699"/>
    <cellStyle name="cell 7 3 4 2 3" xfId="24700"/>
    <cellStyle name="cell 7 3 4 2 4" xfId="24701"/>
    <cellStyle name="cell 7 3 4 3" xfId="453"/>
    <cellStyle name="cell 7 3 4 3 2" xfId="454"/>
    <cellStyle name="cell 7 3 4 3 2 2" xfId="24702"/>
    <cellStyle name="cell 7 3 4 3 2 3" xfId="24703"/>
    <cellStyle name="cell 7 3 4 3 3" xfId="24704"/>
    <cellStyle name="cell 7 3 4 3 4" xfId="24705"/>
    <cellStyle name="cell 7 3 4 4" xfId="455"/>
    <cellStyle name="cell 7 3 4 4 2" xfId="24706"/>
    <cellStyle name="cell 7 3 4 4 3" xfId="24707"/>
    <cellStyle name="cell 7 3 4 5" xfId="456"/>
    <cellStyle name="cell 7 3 4 5 2" xfId="24708"/>
    <cellStyle name="cell 7 3 4 5 3" xfId="24709"/>
    <cellStyle name="cell 7 3 4 6" xfId="457"/>
    <cellStyle name="cell 7 3 4 6 2" xfId="24710"/>
    <cellStyle name="cell 7 3 4 6 3" xfId="24711"/>
    <cellStyle name="cell 7 3 4 7" xfId="24712"/>
    <cellStyle name="cell 7 3 4 8" xfId="24713"/>
    <cellStyle name="cell 7 3 5" xfId="458"/>
    <cellStyle name="cell 7 3 5 2" xfId="459"/>
    <cellStyle name="cell 7 3 5 2 2" xfId="460"/>
    <cellStyle name="cell 7 3 5 2 2 2" xfId="24714"/>
    <cellStyle name="cell 7 3 5 2 2 3" xfId="24715"/>
    <cellStyle name="cell 7 3 5 2 3" xfId="24716"/>
    <cellStyle name="cell 7 3 5 2 4" xfId="24717"/>
    <cellStyle name="cell 7 3 5 3" xfId="461"/>
    <cellStyle name="cell 7 3 5 3 2" xfId="462"/>
    <cellStyle name="cell 7 3 5 3 2 2" xfId="24718"/>
    <cellStyle name="cell 7 3 5 3 2 3" xfId="24719"/>
    <cellStyle name="cell 7 3 5 3 3" xfId="24720"/>
    <cellStyle name="cell 7 3 5 3 4" xfId="24721"/>
    <cellStyle name="cell 7 3 5 4" xfId="463"/>
    <cellStyle name="cell 7 3 5 4 2" xfId="24722"/>
    <cellStyle name="cell 7 3 5 4 3" xfId="24723"/>
    <cellStyle name="cell 7 3 5 5" xfId="464"/>
    <cellStyle name="cell 7 3 5 5 2" xfId="24724"/>
    <cellStyle name="cell 7 3 5 5 3" xfId="24725"/>
    <cellStyle name="cell 7 3 5 6" xfId="465"/>
    <cellStyle name="cell 7 3 5 6 2" xfId="24726"/>
    <cellStyle name="cell 7 3 5 6 3" xfId="24727"/>
    <cellStyle name="cell 7 3 5 7" xfId="24728"/>
    <cellStyle name="cell 7 3 5 8" xfId="24729"/>
    <cellStyle name="cell 7 3 6" xfId="466"/>
    <cellStyle name="cell 7 3 6 2" xfId="467"/>
    <cellStyle name="cell 7 3 6 2 2" xfId="468"/>
    <cellStyle name="cell 7 3 6 2 2 2" xfId="24730"/>
    <cellStyle name="cell 7 3 6 2 2 3" xfId="24731"/>
    <cellStyle name="cell 7 3 6 2 3" xfId="24732"/>
    <cellStyle name="cell 7 3 6 2 4" xfId="24733"/>
    <cellStyle name="cell 7 3 6 3" xfId="469"/>
    <cellStyle name="cell 7 3 6 3 2" xfId="470"/>
    <cellStyle name="cell 7 3 6 3 2 2" xfId="24734"/>
    <cellStyle name="cell 7 3 6 3 2 3" xfId="24735"/>
    <cellStyle name="cell 7 3 6 3 3" xfId="24736"/>
    <cellStyle name="cell 7 3 6 3 4" xfId="24737"/>
    <cellStyle name="cell 7 3 6 4" xfId="471"/>
    <cellStyle name="cell 7 3 6 4 2" xfId="24738"/>
    <cellStyle name="cell 7 3 6 4 3" xfId="24739"/>
    <cellStyle name="cell 7 3 6 5" xfId="472"/>
    <cellStyle name="cell 7 3 6 5 2" xfId="24740"/>
    <cellStyle name="cell 7 3 6 5 3" xfId="24741"/>
    <cellStyle name="cell 7 3 6 6" xfId="473"/>
    <cellStyle name="cell 7 3 6 6 2" xfId="24742"/>
    <cellStyle name="cell 7 3 6 6 3" xfId="24743"/>
    <cellStyle name="cell 7 3 6 7" xfId="24744"/>
    <cellStyle name="cell 7 3 6 8" xfId="24745"/>
    <cellStyle name="cell 7 3 7" xfId="474"/>
    <cellStyle name="cell 7 3 7 2" xfId="24746"/>
    <cellStyle name="cell 7 3 7 3" xfId="24747"/>
    <cellStyle name="cell 7 3 8" xfId="475"/>
    <cellStyle name="cell 7 3 8 2" xfId="24748"/>
    <cellStyle name="cell 7 3 8 3" xfId="24749"/>
    <cellStyle name="cell 7 3 9" xfId="476"/>
    <cellStyle name="cell 7 3 9 2" xfId="24750"/>
    <cellStyle name="cell 7 3 9 3" xfId="24751"/>
    <cellStyle name="cell 7 4" xfId="477"/>
    <cellStyle name="cell 7 4 2" xfId="478"/>
    <cellStyle name="cell 7 4 2 2" xfId="479"/>
    <cellStyle name="cell 7 4 2 2 2" xfId="24752"/>
    <cellStyle name="cell 7 4 2 2 3" xfId="24753"/>
    <cellStyle name="cell 7 4 2 3" xfId="24754"/>
    <cellStyle name="cell 7 4 2 4" xfId="24755"/>
    <cellStyle name="cell 7 4 3" xfId="480"/>
    <cellStyle name="cell 7 4 3 2" xfId="481"/>
    <cellStyle name="cell 7 4 3 2 2" xfId="24756"/>
    <cellStyle name="cell 7 4 3 2 3" xfId="24757"/>
    <cellStyle name="cell 7 4 3 3" xfId="24758"/>
    <cellStyle name="cell 7 4 3 4" xfId="24759"/>
    <cellStyle name="cell 7 4 4" xfId="482"/>
    <cellStyle name="cell 7 4 4 2" xfId="24760"/>
    <cellStyle name="cell 7 4 4 3" xfId="24761"/>
    <cellStyle name="cell 7 4 5" xfId="483"/>
    <cellStyle name="cell 7 4 5 2" xfId="24762"/>
    <cellStyle name="cell 7 4 5 3" xfId="24763"/>
    <cellStyle name="cell 7 4 6" xfId="484"/>
    <cellStyle name="cell 7 4 6 2" xfId="24764"/>
    <cellStyle name="cell 7 4 6 3" xfId="24765"/>
    <cellStyle name="cell 7 4 7" xfId="24766"/>
    <cellStyle name="cell 7 4 8" xfId="24767"/>
    <cellStyle name="cell 7 5" xfId="485"/>
    <cellStyle name="cell 7 5 2" xfId="486"/>
    <cellStyle name="cell 7 5 2 2" xfId="487"/>
    <cellStyle name="cell 7 5 2 2 2" xfId="24768"/>
    <cellStyle name="cell 7 5 2 2 3" xfId="24769"/>
    <cellStyle name="cell 7 5 2 3" xfId="24770"/>
    <cellStyle name="cell 7 5 2 4" xfId="24771"/>
    <cellStyle name="cell 7 5 3" xfId="488"/>
    <cellStyle name="cell 7 5 3 2" xfId="489"/>
    <cellStyle name="cell 7 5 3 2 2" xfId="24772"/>
    <cellStyle name="cell 7 5 3 2 3" xfId="24773"/>
    <cellStyle name="cell 7 5 3 3" xfId="24774"/>
    <cellStyle name="cell 7 5 3 4" xfId="24775"/>
    <cellStyle name="cell 7 5 4" xfId="490"/>
    <cellStyle name="cell 7 5 4 2" xfId="24776"/>
    <cellStyle name="cell 7 5 4 3" xfId="24777"/>
    <cellStyle name="cell 7 5 5" xfId="491"/>
    <cellStyle name="cell 7 5 5 2" xfId="24778"/>
    <cellStyle name="cell 7 5 5 3" xfId="24779"/>
    <cellStyle name="cell 7 5 6" xfId="492"/>
    <cellStyle name="cell 7 5 6 2" xfId="24780"/>
    <cellStyle name="cell 7 5 6 3" xfId="24781"/>
    <cellStyle name="cell 7 5 7" xfId="24782"/>
    <cellStyle name="cell 7 5 8" xfId="24783"/>
    <cellStyle name="cell 7 6" xfId="493"/>
    <cellStyle name="cell 7 6 2" xfId="494"/>
    <cellStyle name="cell 7 6 2 2" xfId="495"/>
    <cellStyle name="cell 7 6 2 2 2" xfId="24784"/>
    <cellStyle name="cell 7 6 2 2 3" xfId="24785"/>
    <cellStyle name="cell 7 6 2 3" xfId="24786"/>
    <cellStyle name="cell 7 6 2 4" xfId="24787"/>
    <cellStyle name="cell 7 6 3" xfId="496"/>
    <cellStyle name="cell 7 6 3 2" xfId="497"/>
    <cellStyle name="cell 7 6 3 2 2" xfId="24788"/>
    <cellStyle name="cell 7 6 3 2 3" xfId="24789"/>
    <cellStyle name="cell 7 6 3 3" xfId="24790"/>
    <cellStyle name="cell 7 6 3 4" xfId="24791"/>
    <cellStyle name="cell 7 6 4" xfId="498"/>
    <cellStyle name="cell 7 6 4 2" xfId="24792"/>
    <cellStyle name="cell 7 6 4 3" xfId="24793"/>
    <cellStyle name="cell 7 6 5" xfId="499"/>
    <cellStyle name="cell 7 6 5 2" xfId="24794"/>
    <cellStyle name="cell 7 6 5 3" xfId="24795"/>
    <cellStyle name="cell 7 6 6" xfId="500"/>
    <cellStyle name="cell 7 6 6 2" xfId="24796"/>
    <cellStyle name="cell 7 6 6 3" xfId="24797"/>
    <cellStyle name="cell 7 6 7" xfId="24798"/>
    <cellStyle name="cell 7 6 8" xfId="24799"/>
    <cellStyle name="cell 7 7" xfId="501"/>
    <cellStyle name="cell 7 7 2" xfId="502"/>
    <cellStyle name="cell 7 7 2 2" xfId="24800"/>
    <cellStyle name="cell 7 7 2 3" xfId="24801"/>
    <cellStyle name="cell 7 7 3" xfId="24802"/>
    <cellStyle name="cell 7 7 4" xfId="24803"/>
    <cellStyle name="cell 7 8" xfId="503"/>
    <cellStyle name="cell 7 8 2" xfId="24804"/>
    <cellStyle name="cell 7 8 3" xfId="24805"/>
    <cellStyle name="cell 7 9" xfId="504"/>
    <cellStyle name="cell 7 9 2" xfId="24806"/>
    <cellStyle name="cell 7 9 3" xfId="24807"/>
    <cellStyle name="cell 8" xfId="505"/>
    <cellStyle name="cell 8 2" xfId="24808"/>
    <cellStyle name="cell 8 3" xfId="24809"/>
    <cellStyle name="cell 9" xfId="506"/>
    <cellStyle name="cell 9 2" xfId="24810"/>
    <cellStyle name="cell 9 3" xfId="24811"/>
    <cellStyle name="cell_06entr" xfId="507"/>
    <cellStyle name="Code additions" xfId="508"/>
    <cellStyle name="Code additions 2" xfId="24812"/>
    <cellStyle name="Code additions 3" xfId="24813"/>
    <cellStyle name="Col&amp;RowHeadings" xfId="4"/>
    <cellStyle name="ColCodes" xfId="5"/>
    <cellStyle name="ColTitles" xfId="6"/>
    <cellStyle name="ColTitles 10" xfId="509"/>
    <cellStyle name="ColTitles 10 2" xfId="510"/>
    <cellStyle name="ColTitles 11" xfId="511"/>
    <cellStyle name="ColTitles 11 2" xfId="512"/>
    <cellStyle name="ColTitles 12" xfId="513"/>
    <cellStyle name="ColTitles 13" xfId="514"/>
    <cellStyle name="ColTitles 2" xfId="515"/>
    <cellStyle name="ColTitles 2 2" xfId="516"/>
    <cellStyle name="ColTitles 3" xfId="517"/>
    <cellStyle name="ColTitles 3 2" xfId="518"/>
    <cellStyle name="ColTitles 4" xfId="519"/>
    <cellStyle name="ColTitles 4 2" xfId="520"/>
    <cellStyle name="ColTitles 5" xfId="521"/>
    <cellStyle name="ColTitles 5 2" xfId="522"/>
    <cellStyle name="ColTitles 6" xfId="523"/>
    <cellStyle name="ColTitles 6 2" xfId="524"/>
    <cellStyle name="ColTitles 7" xfId="525"/>
    <cellStyle name="ColTitles 7 2" xfId="526"/>
    <cellStyle name="ColTitles 8" xfId="527"/>
    <cellStyle name="ColTitles 8 2" xfId="528"/>
    <cellStyle name="ColTitles 9" xfId="529"/>
    <cellStyle name="ColTitles 9 2" xfId="530"/>
    <cellStyle name="column" xfId="7"/>
    <cellStyle name="Comma" xfId="24112" builtinId="3"/>
    <cellStyle name="Comma  [1]" xfId="531"/>
    <cellStyle name="Comma [0] 2" xfId="532"/>
    <cellStyle name="Comma [0] 2 2" xfId="533"/>
    <cellStyle name="Comma [0] 2 2 2" xfId="534"/>
    <cellStyle name="Comma [0] 2 2 2 2" xfId="24814"/>
    <cellStyle name="Comma [0] 2 2 2 3" xfId="24815"/>
    <cellStyle name="Comma [0] 2 2 3" xfId="535"/>
    <cellStyle name="Comma [0] 2 2 3 2" xfId="24816"/>
    <cellStyle name="Comma [0] 2 2 3 3" xfId="24817"/>
    <cellStyle name="Comma [0] 2 2 4" xfId="24818"/>
    <cellStyle name="Comma [0] 2 2 5" xfId="24819"/>
    <cellStyle name="Comma [0] 2 3" xfId="536"/>
    <cellStyle name="Comma [0] 2 3 2" xfId="537"/>
    <cellStyle name="Comma [0] 2 3 2 2" xfId="24820"/>
    <cellStyle name="Comma [0] 2 3 2 3" xfId="24821"/>
    <cellStyle name="Comma [0] 2 3 3" xfId="538"/>
    <cellStyle name="Comma [0] 2 3 3 2" xfId="24822"/>
    <cellStyle name="Comma [0] 2 3 3 3" xfId="24823"/>
    <cellStyle name="Comma [0] 2 3 4" xfId="24824"/>
    <cellStyle name="Comma [0] 2 3 5" xfId="24825"/>
    <cellStyle name="Comma [0] 2 4" xfId="539"/>
    <cellStyle name="Comma [0] 2 4 2" xfId="24826"/>
    <cellStyle name="Comma [0] 2 4 3" xfId="24827"/>
    <cellStyle name="Comma [0] 2 5" xfId="540"/>
    <cellStyle name="Comma [0] 2 5 2" xfId="24828"/>
    <cellStyle name="Comma [0] 2 5 3" xfId="24829"/>
    <cellStyle name="Comma [0] 2 6" xfId="24830"/>
    <cellStyle name="Comma [0] 2 7" xfId="24831"/>
    <cellStyle name="Comma [1]" xfId="541"/>
    <cellStyle name="Comma 10" xfId="542"/>
    <cellStyle name="Comma 10 2" xfId="24832"/>
    <cellStyle name="Comma 11" xfId="543"/>
    <cellStyle name="Comma 11 2" xfId="24833"/>
    <cellStyle name="Comma 12" xfId="544"/>
    <cellStyle name="Comma 12 2" xfId="24834"/>
    <cellStyle name="Comma 13" xfId="545"/>
    <cellStyle name="Comma 13 2" xfId="24835"/>
    <cellStyle name="Comma 14" xfId="546"/>
    <cellStyle name="Comma 14 2" xfId="24836"/>
    <cellStyle name="Comma 15" xfId="547"/>
    <cellStyle name="Comma 15 2" xfId="24837"/>
    <cellStyle name="Comma 16" xfId="548"/>
    <cellStyle name="Comma 17" xfId="549"/>
    <cellStyle name="Comma 18" xfId="24838"/>
    <cellStyle name="Comma 18 2" xfId="24839"/>
    <cellStyle name="Comma 19" xfId="24840"/>
    <cellStyle name="Comma 19 2" xfId="24841"/>
    <cellStyle name="Comma 2" xfId="8"/>
    <cellStyle name="Comma 2 10" xfId="24842"/>
    <cellStyle name="Comma 2 2" xfId="550"/>
    <cellStyle name="Comma 2 2 2" xfId="24843"/>
    <cellStyle name="Comma 2 3" xfId="551"/>
    <cellStyle name="Comma 2 3 2" xfId="552"/>
    <cellStyle name="Comma 2 3 2 2" xfId="24844"/>
    <cellStyle name="Comma 2 3 2 3" xfId="24845"/>
    <cellStyle name="Comma 2 3 3" xfId="553"/>
    <cellStyle name="Comma 2 3 3 2" xfId="24846"/>
    <cellStyle name="Comma 2 3 3 3" xfId="24847"/>
    <cellStyle name="Comma 2 3 4" xfId="24848"/>
    <cellStyle name="Comma 2 3 5" xfId="24849"/>
    <cellStyle name="Comma 2 4" xfId="554"/>
    <cellStyle name="Comma 2 4 2" xfId="555"/>
    <cellStyle name="Comma 2 4 2 2" xfId="24850"/>
    <cellStyle name="Comma 2 4 2 3" xfId="24851"/>
    <cellStyle name="Comma 2 4 3" xfId="556"/>
    <cellStyle name="Comma 2 4 3 2" xfId="24852"/>
    <cellStyle name="Comma 2 4 3 3" xfId="24853"/>
    <cellStyle name="Comma 2 4 4" xfId="24854"/>
    <cellStyle name="Comma 2 4 5" xfId="24855"/>
    <cellStyle name="Comma 2 5" xfId="557"/>
    <cellStyle name="Comma 2 6" xfId="558"/>
    <cellStyle name="Comma 2 6 2" xfId="24856"/>
    <cellStyle name="Comma 2 6 3" xfId="24857"/>
    <cellStyle name="Comma 2 7" xfId="559"/>
    <cellStyle name="Comma 2 7 2" xfId="24858"/>
    <cellStyle name="Comma 2 7 3" xfId="24859"/>
    <cellStyle name="Comma 2 8" xfId="24860"/>
    <cellStyle name="Comma 2 9" xfId="24861"/>
    <cellStyle name="Comma 3" xfId="560"/>
    <cellStyle name="Comma 3 2" xfId="561"/>
    <cellStyle name="Comma 4" xfId="562"/>
    <cellStyle name="Comma 5" xfId="563"/>
    <cellStyle name="Comma 5 2" xfId="564"/>
    <cellStyle name="Comma 5 2 2" xfId="24862"/>
    <cellStyle name="Comma 5 2 3" xfId="24863"/>
    <cellStyle name="Comma 5 3" xfId="565"/>
    <cellStyle name="Comma 5 3 2" xfId="24864"/>
    <cellStyle name="Comma 5 3 3" xfId="24865"/>
    <cellStyle name="Comma 5 4" xfId="24866"/>
    <cellStyle name="Comma 5 5" xfId="24867"/>
    <cellStyle name="Comma 6" xfId="566"/>
    <cellStyle name="Comma 6 2" xfId="567"/>
    <cellStyle name="Comma 6 2 2" xfId="568"/>
    <cellStyle name="Comma 6 2 2 2" xfId="24868"/>
    <cellStyle name="Comma 6 2 2 3" xfId="24869"/>
    <cellStyle name="Comma 6 2 3" xfId="569"/>
    <cellStyle name="Comma 6 2 3 2" xfId="24870"/>
    <cellStyle name="Comma 6 2 3 3" xfId="24871"/>
    <cellStyle name="Comma 6 2 4" xfId="24872"/>
    <cellStyle name="Comma 6 2 5" xfId="24873"/>
    <cellStyle name="Comma 6 3" xfId="570"/>
    <cellStyle name="Comma 6 3 2" xfId="24874"/>
    <cellStyle name="Comma 6 3 3" xfId="24875"/>
    <cellStyle name="Comma 6 4" xfId="571"/>
    <cellStyle name="Comma 6 4 2" xfId="24876"/>
    <cellStyle name="Comma 6 4 3" xfId="24877"/>
    <cellStyle name="Comma 6 5" xfId="24878"/>
    <cellStyle name="Comma 6 6" xfId="24879"/>
    <cellStyle name="Comma 7" xfId="572"/>
    <cellStyle name="Comma 7 2" xfId="573"/>
    <cellStyle name="Comma 7 2 2" xfId="574"/>
    <cellStyle name="Comma 7 2 2 2" xfId="24880"/>
    <cellStyle name="Comma 7 2 2 3" xfId="24881"/>
    <cellStyle name="Comma 7 2 3" xfId="575"/>
    <cellStyle name="Comma 7 2 3 2" xfId="24882"/>
    <cellStyle name="Comma 7 2 3 3" xfId="24883"/>
    <cellStyle name="Comma 7 2 4" xfId="24884"/>
    <cellStyle name="Comma 7 2 5" xfId="24885"/>
    <cellStyle name="Comma 7 3" xfId="576"/>
    <cellStyle name="Comma 7 3 2" xfId="24886"/>
    <cellStyle name="Comma 7 3 3" xfId="24887"/>
    <cellStyle name="Comma 7 4" xfId="577"/>
    <cellStyle name="Comma 7 4 2" xfId="24888"/>
    <cellStyle name="Comma 7 4 3" xfId="24889"/>
    <cellStyle name="Comma 7 5" xfId="24890"/>
    <cellStyle name="Comma 7 6" xfId="24891"/>
    <cellStyle name="Comma 8" xfId="578"/>
    <cellStyle name="Comma 9" xfId="579"/>
    <cellStyle name="Comma 9 2" xfId="24892"/>
    <cellStyle name="Comma(0)" xfId="580"/>
    <cellStyle name="comma(1)" xfId="581"/>
    <cellStyle name="Comma(3)" xfId="582"/>
    <cellStyle name="Comma[0]" xfId="583"/>
    <cellStyle name="Comma[1]" xfId="584"/>
    <cellStyle name="Comma[2]__" xfId="585"/>
    <cellStyle name="Comma[3]" xfId="586"/>
    <cellStyle name="Comma0" xfId="587"/>
    <cellStyle name="Currency 2" xfId="588"/>
    <cellStyle name="Currency 2 2" xfId="24893"/>
    <cellStyle name="Currency 3" xfId="24894"/>
    <cellStyle name="Currency0" xfId="589"/>
    <cellStyle name="DataEntryCells" xfId="9"/>
    <cellStyle name="DataEntryCells 10" xfId="590"/>
    <cellStyle name="DataEntryCells 10 2" xfId="591"/>
    <cellStyle name="DataEntryCells 10 2 2" xfId="24895"/>
    <cellStyle name="DataEntryCells 10 2 3" xfId="24896"/>
    <cellStyle name="DataEntryCells 10 3" xfId="24897"/>
    <cellStyle name="DataEntryCells 10 4" xfId="24898"/>
    <cellStyle name="DataEntryCells 11" xfId="592"/>
    <cellStyle name="DataEntryCells 11 2" xfId="24899"/>
    <cellStyle name="DataEntryCells 11 3" xfId="24900"/>
    <cellStyle name="DataEntryCells 12" xfId="593"/>
    <cellStyle name="DataEntryCells 12 2" xfId="24901"/>
    <cellStyle name="DataEntryCells 12 3" xfId="24902"/>
    <cellStyle name="DataEntryCells 13" xfId="594"/>
    <cellStyle name="DataEntryCells 13 2" xfId="24903"/>
    <cellStyle name="DataEntryCells 13 3" xfId="24904"/>
    <cellStyle name="DataEntryCells 14" xfId="595"/>
    <cellStyle name="DataEntryCells 14 2" xfId="24905"/>
    <cellStyle name="DataEntryCells 14 3" xfId="24906"/>
    <cellStyle name="DataEntryCells 2" xfId="596"/>
    <cellStyle name="DataEntryCells 2 2" xfId="597"/>
    <cellStyle name="DataEntryCells 2_08pers" xfId="598"/>
    <cellStyle name="DataEntryCells 3" xfId="599"/>
    <cellStyle name="DataEntryCells 3 2" xfId="600"/>
    <cellStyle name="DataEntryCells 3 2 2" xfId="601"/>
    <cellStyle name="DataEntryCells 3 2 2 2" xfId="24907"/>
    <cellStyle name="DataEntryCells 3 2 2 3" xfId="24908"/>
    <cellStyle name="DataEntryCells 3 2 3" xfId="602"/>
    <cellStyle name="DataEntryCells 3 2 3 2" xfId="24909"/>
    <cellStyle name="DataEntryCells 3 2 3 3" xfId="24910"/>
    <cellStyle name="DataEntryCells 3 2 4" xfId="603"/>
    <cellStyle name="DataEntryCells 3 2 4 2" xfId="24911"/>
    <cellStyle name="DataEntryCells 3 2 4 3" xfId="24912"/>
    <cellStyle name="DataEntryCells 3 2 5" xfId="604"/>
    <cellStyle name="DataEntryCells 3 2 5 2" xfId="24913"/>
    <cellStyle name="DataEntryCells 3 2 5 3" xfId="24914"/>
    <cellStyle name="DataEntryCells 3 2 6" xfId="24915"/>
    <cellStyle name="DataEntryCells 3 2 7" xfId="24916"/>
    <cellStyle name="DataEntryCells 3 3" xfId="605"/>
    <cellStyle name="DataEntryCells 3 3 2" xfId="24917"/>
    <cellStyle name="DataEntryCells 3 3 3" xfId="24918"/>
    <cellStyle name="DataEntryCells 3 4" xfId="606"/>
    <cellStyle name="DataEntryCells 3 4 2" xfId="24919"/>
    <cellStyle name="DataEntryCells 3 4 3" xfId="24920"/>
    <cellStyle name="DataEntryCells 3 5" xfId="607"/>
    <cellStyle name="DataEntryCells 3 5 2" xfId="24921"/>
    <cellStyle name="DataEntryCells 3 5 3" xfId="24922"/>
    <cellStyle name="DataEntryCells 3 6" xfId="608"/>
    <cellStyle name="DataEntryCells 3 6 2" xfId="24923"/>
    <cellStyle name="DataEntryCells 3 6 3" xfId="24924"/>
    <cellStyle name="DataEntryCells 3_STUD aligned by INSTIT" xfId="609"/>
    <cellStyle name="DataEntryCells 4" xfId="610"/>
    <cellStyle name="DataEntryCells 4 2" xfId="611"/>
    <cellStyle name="DataEntryCells 4 2 2" xfId="24925"/>
    <cellStyle name="DataEntryCells 4 2 3" xfId="24926"/>
    <cellStyle name="DataEntryCells 4 3" xfId="612"/>
    <cellStyle name="DataEntryCells 4 3 2" xfId="24927"/>
    <cellStyle name="DataEntryCells 4 3 3" xfId="24928"/>
    <cellStyle name="DataEntryCells 4 4" xfId="613"/>
    <cellStyle name="DataEntryCells 4 4 2" xfId="24929"/>
    <cellStyle name="DataEntryCells 4 4 3" xfId="24930"/>
    <cellStyle name="DataEntryCells 4 5" xfId="614"/>
    <cellStyle name="DataEntryCells 4 5 2" xfId="24931"/>
    <cellStyle name="DataEntryCells 4 5 3" xfId="24932"/>
    <cellStyle name="DataEntryCells 4 6" xfId="24933"/>
    <cellStyle name="DataEntryCells 4 7" xfId="24934"/>
    <cellStyle name="DataEntryCells 5" xfId="615"/>
    <cellStyle name="DataEntryCells 5 2" xfId="616"/>
    <cellStyle name="DataEntryCells 5 2 2" xfId="24935"/>
    <cellStyle name="DataEntryCells 5 2 3" xfId="24936"/>
    <cellStyle name="DataEntryCells 5 3" xfId="617"/>
    <cellStyle name="DataEntryCells 5 3 2" xfId="24937"/>
    <cellStyle name="DataEntryCells 5 3 3" xfId="24938"/>
    <cellStyle name="DataEntryCells 5 4" xfId="618"/>
    <cellStyle name="DataEntryCells 5 4 2" xfId="24939"/>
    <cellStyle name="DataEntryCells 5 4 3" xfId="24940"/>
    <cellStyle name="DataEntryCells 5 5" xfId="619"/>
    <cellStyle name="DataEntryCells 5 5 2" xfId="24941"/>
    <cellStyle name="DataEntryCells 5 5 3" xfId="24942"/>
    <cellStyle name="DataEntryCells 5 6" xfId="24943"/>
    <cellStyle name="DataEntryCells 5 7" xfId="24944"/>
    <cellStyle name="DataEntryCells 6" xfId="620"/>
    <cellStyle name="DataEntryCells 6 2" xfId="621"/>
    <cellStyle name="DataEntryCells 6 2 2" xfId="24945"/>
    <cellStyle name="DataEntryCells 6 2 3" xfId="24946"/>
    <cellStyle name="DataEntryCells 6 3" xfId="622"/>
    <cellStyle name="DataEntryCells 6 3 2" xfId="24947"/>
    <cellStyle name="DataEntryCells 6 3 3" xfId="24948"/>
    <cellStyle name="DataEntryCells 6 4" xfId="623"/>
    <cellStyle name="DataEntryCells 6 4 2" xfId="24949"/>
    <cellStyle name="DataEntryCells 6 4 3" xfId="24950"/>
    <cellStyle name="DataEntryCells 6 5" xfId="624"/>
    <cellStyle name="DataEntryCells 6 5 2" xfId="24951"/>
    <cellStyle name="DataEntryCells 6 5 3" xfId="24952"/>
    <cellStyle name="DataEntryCells 6 6" xfId="24953"/>
    <cellStyle name="DataEntryCells 6 7" xfId="24954"/>
    <cellStyle name="DataEntryCells 7" xfId="625"/>
    <cellStyle name="DataEntryCells 7 2" xfId="626"/>
    <cellStyle name="DataEntryCells 7 2 2" xfId="24955"/>
    <cellStyle name="DataEntryCells 7 2 3" xfId="24956"/>
    <cellStyle name="DataEntryCells 7 3" xfId="627"/>
    <cellStyle name="DataEntryCells 7 3 2" xfId="24957"/>
    <cellStyle name="DataEntryCells 7 3 3" xfId="24958"/>
    <cellStyle name="DataEntryCells 7 4" xfId="628"/>
    <cellStyle name="DataEntryCells 7 4 2" xfId="24959"/>
    <cellStyle name="DataEntryCells 7 4 3" xfId="24960"/>
    <cellStyle name="DataEntryCells 7 5" xfId="629"/>
    <cellStyle name="DataEntryCells 7 5 2" xfId="24961"/>
    <cellStyle name="DataEntryCells 7 5 3" xfId="24962"/>
    <cellStyle name="DataEntryCells 7 6" xfId="24963"/>
    <cellStyle name="DataEntryCells 7 7" xfId="24964"/>
    <cellStyle name="DataEntryCells 8" xfId="630"/>
    <cellStyle name="DataEntryCells 8 2" xfId="631"/>
    <cellStyle name="DataEntryCells 8 2 2" xfId="24965"/>
    <cellStyle name="DataEntryCells 8 2 3" xfId="24966"/>
    <cellStyle name="DataEntryCells 8 3" xfId="632"/>
    <cellStyle name="DataEntryCells 8 3 2" xfId="24967"/>
    <cellStyle name="DataEntryCells 8 3 3" xfId="24968"/>
    <cellStyle name="DataEntryCells 8 4" xfId="633"/>
    <cellStyle name="DataEntryCells 8 4 2" xfId="24969"/>
    <cellStyle name="DataEntryCells 8 4 3" xfId="24970"/>
    <cellStyle name="DataEntryCells 8 5" xfId="634"/>
    <cellStyle name="DataEntryCells 8 5 2" xfId="24971"/>
    <cellStyle name="DataEntryCells 8 5 3" xfId="24972"/>
    <cellStyle name="DataEntryCells 8 6" xfId="24973"/>
    <cellStyle name="DataEntryCells 8 7" xfId="24974"/>
    <cellStyle name="DataEntryCells 9" xfId="635"/>
    <cellStyle name="DataEntryCells 9 2" xfId="636"/>
    <cellStyle name="DataEntryCells 9 2 2" xfId="24975"/>
    <cellStyle name="DataEntryCells 9 2 3" xfId="24976"/>
    <cellStyle name="DataEntryCells 9 3" xfId="24977"/>
    <cellStyle name="DataEntryCells 9 4" xfId="24978"/>
    <cellStyle name="DataEntryCells_05entr" xfId="637"/>
    <cellStyle name="Date" xfId="638"/>
    <cellStyle name="Dezimal [0]_DIAGRAM" xfId="639"/>
    <cellStyle name="Dezimal_DIAGRAM" xfId="640"/>
    <cellStyle name="Didier" xfId="641"/>
    <cellStyle name="Didier - Title" xfId="642"/>
    <cellStyle name="Didier subtitles" xfId="643"/>
    <cellStyle name="données" xfId="644"/>
    <cellStyle name="donnéesbord" xfId="645"/>
    <cellStyle name="ErrRpt_DataEntryCells" xfId="10"/>
    <cellStyle name="ErrRpt-DataEntryCells" xfId="11"/>
    <cellStyle name="ErrRpt-DataEntryCells 10" xfId="24979"/>
    <cellStyle name="ErrRpt-DataEntryCells 10 2" xfId="24980"/>
    <cellStyle name="ErrRpt-DataEntryCells 10 3" xfId="24981"/>
    <cellStyle name="ErrRpt-DataEntryCells 11" xfId="24982"/>
    <cellStyle name="ErrRpt-DataEntryCells 12" xfId="24983"/>
    <cellStyle name="ErrRpt-DataEntryCells 2" xfId="646"/>
    <cellStyle name="ErrRpt-DataEntryCells 2 2" xfId="647"/>
    <cellStyle name="ErrRpt-DataEntryCells 2 2 2" xfId="648"/>
    <cellStyle name="ErrRpt-DataEntryCells 2 2 2 2" xfId="649"/>
    <cellStyle name="ErrRpt-DataEntryCells 2 2 2 2 2" xfId="24984"/>
    <cellStyle name="ErrRpt-DataEntryCells 2 2 2 2 3" xfId="24985"/>
    <cellStyle name="ErrRpt-DataEntryCells 2 2 2 3" xfId="650"/>
    <cellStyle name="ErrRpt-DataEntryCells 2 2 2 3 2" xfId="24986"/>
    <cellStyle name="ErrRpt-DataEntryCells 2 2 2 3 3" xfId="24987"/>
    <cellStyle name="ErrRpt-DataEntryCells 2 2 2 4" xfId="651"/>
    <cellStyle name="ErrRpt-DataEntryCells 2 2 2 4 2" xfId="24988"/>
    <cellStyle name="ErrRpt-DataEntryCells 2 2 2 4 3" xfId="24989"/>
    <cellStyle name="ErrRpt-DataEntryCells 2 2 2 5" xfId="652"/>
    <cellStyle name="ErrRpt-DataEntryCells 2 2 2 5 2" xfId="24990"/>
    <cellStyle name="ErrRpt-DataEntryCells 2 2 2 5 3" xfId="24991"/>
    <cellStyle name="ErrRpt-DataEntryCells 2 2 2 6" xfId="24992"/>
    <cellStyle name="ErrRpt-DataEntryCells 2 2 2 7" xfId="24993"/>
    <cellStyle name="ErrRpt-DataEntryCells 2 2 3" xfId="653"/>
    <cellStyle name="ErrRpt-DataEntryCells 2 2 3 2" xfId="24994"/>
    <cellStyle name="ErrRpt-DataEntryCells 2 2 3 3" xfId="24995"/>
    <cellStyle name="ErrRpt-DataEntryCells 2 2 4" xfId="654"/>
    <cellStyle name="ErrRpt-DataEntryCells 2 2 4 2" xfId="24996"/>
    <cellStyle name="ErrRpt-DataEntryCells 2 2 4 3" xfId="24997"/>
    <cellStyle name="ErrRpt-DataEntryCells 2 2 5" xfId="655"/>
    <cellStyle name="ErrRpt-DataEntryCells 2 2 5 2" xfId="24998"/>
    <cellStyle name="ErrRpt-DataEntryCells 2 2 5 3" xfId="24999"/>
    <cellStyle name="ErrRpt-DataEntryCells 2 2 6" xfId="656"/>
    <cellStyle name="ErrRpt-DataEntryCells 2 2 6 2" xfId="25000"/>
    <cellStyle name="ErrRpt-DataEntryCells 2 2 6 3" xfId="25001"/>
    <cellStyle name="ErrRpt-DataEntryCells 2 2 7" xfId="25002"/>
    <cellStyle name="ErrRpt-DataEntryCells 2 2 8" xfId="25003"/>
    <cellStyle name="ErrRpt-DataEntryCells 2 2_STUD aligned by INSTIT" xfId="657"/>
    <cellStyle name="ErrRpt-DataEntryCells 2 3" xfId="658"/>
    <cellStyle name="ErrRpt-DataEntryCells 2 3 2" xfId="659"/>
    <cellStyle name="ErrRpt-DataEntryCells 2 3 2 2" xfId="25004"/>
    <cellStyle name="ErrRpt-DataEntryCells 2 3 2 3" xfId="25005"/>
    <cellStyle name="ErrRpt-DataEntryCells 2 3 3" xfId="660"/>
    <cellStyle name="ErrRpt-DataEntryCells 2 3 3 2" xfId="25006"/>
    <cellStyle name="ErrRpt-DataEntryCells 2 3 3 3" xfId="25007"/>
    <cellStyle name="ErrRpt-DataEntryCells 2 3 4" xfId="661"/>
    <cellStyle name="ErrRpt-DataEntryCells 2 3 4 2" xfId="25008"/>
    <cellStyle name="ErrRpt-DataEntryCells 2 3 4 3" xfId="25009"/>
    <cellStyle name="ErrRpt-DataEntryCells 2 3 5" xfId="662"/>
    <cellStyle name="ErrRpt-DataEntryCells 2 3 5 2" xfId="25010"/>
    <cellStyle name="ErrRpt-DataEntryCells 2 3 5 3" xfId="25011"/>
    <cellStyle name="ErrRpt-DataEntryCells 2 3 6" xfId="25012"/>
    <cellStyle name="ErrRpt-DataEntryCells 2 3 7" xfId="25013"/>
    <cellStyle name="ErrRpt-DataEntryCells 2 4" xfId="663"/>
    <cellStyle name="ErrRpt-DataEntryCells 2 4 2" xfId="25014"/>
    <cellStyle name="ErrRpt-DataEntryCells 2 4 3" xfId="25015"/>
    <cellStyle name="ErrRpt-DataEntryCells 2 5" xfId="664"/>
    <cellStyle name="ErrRpt-DataEntryCells 2 5 2" xfId="25016"/>
    <cellStyle name="ErrRpt-DataEntryCells 2 5 3" xfId="25017"/>
    <cellStyle name="ErrRpt-DataEntryCells 2 6" xfId="665"/>
    <cellStyle name="ErrRpt-DataEntryCells 2 6 2" xfId="25018"/>
    <cellStyle name="ErrRpt-DataEntryCells 2 6 3" xfId="25019"/>
    <cellStyle name="ErrRpt-DataEntryCells 2 7" xfId="666"/>
    <cellStyle name="ErrRpt-DataEntryCells 2 7 2" xfId="25020"/>
    <cellStyle name="ErrRpt-DataEntryCells 2 7 3" xfId="25021"/>
    <cellStyle name="ErrRpt-DataEntryCells 2 8" xfId="25022"/>
    <cellStyle name="ErrRpt-DataEntryCells 2 9" xfId="25023"/>
    <cellStyle name="ErrRpt-DataEntryCells 2_STUD aligned by INSTIT" xfId="667"/>
    <cellStyle name="ErrRpt-DataEntryCells 3" xfId="668"/>
    <cellStyle name="ErrRpt-DataEntryCells 3 2" xfId="669"/>
    <cellStyle name="ErrRpt-DataEntryCells 3 2 2" xfId="670"/>
    <cellStyle name="ErrRpt-DataEntryCells 3 2 2 2" xfId="25024"/>
    <cellStyle name="ErrRpt-DataEntryCells 3 2 2 3" xfId="25025"/>
    <cellStyle name="ErrRpt-DataEntryCells 3 2 3" xfId="671"/>
    <cellStyle name="ErrRpt-DataEntryCells 3 2 3 2" xfId="25026"/>
    <cellStyle name="ErrRpt-DataEntryCells 3 2 3 3" xfId="25027"/>
    <cellStyle name="ErrRpt-DataEntryCells 3 2 4" xfId="672"/>
    <cellStyle name="ErrRpt-DataEntryCells 3 2 4 2" xfId="25028"/>
    <cellStyle name="ErrRpt-DataEntryCells 3 2 4 3" xfId="25029"/>
    <cellStyle name="ErrRpt-DataEntryCells 3 2 5" xfId="673"/>
    <cellStyle name="ErrRpt-DataEntryCells 3 2 5 2" xfId="25030"/>
    <cellStyle name="ErrRpt-DataEntryCells 3 2 5 3" xfId="25031"/>
    <cellStyle name="ErrRpt-DataEntryCells 3 2 6" xfId="25032"/>
    <cellStyle name="ErrRpt-DataEntryCells 3 2 7" xfId="25033"/>
    <cellStyle name="ErrRpt-DataEntryCells 3 3" xfId="674"/>
    <cellStyle name="ErrRpt-DataEntryCells 3 3 2" xfId="25034"/>
    <cellStyle name="ErrRpt-DataEntryCells 3 3 3" xfId="25035"/>
    <cellStyle name="ErrRpt-DataEntryCells 3 4" xfId="675"/>
    <cellStyle name="ErrRpt-DataEntryCells 3 4 2" xfId="25036"/>
    <cellStyle name="ErrRpt-DataEntryCells 3 4 3" xfId="25037"/>
    <cellStyle name="ErrRpt-DataEntryCells 3 5" xfId="676"/>
    <cellStyle name="ErrRpt-DataEntryCells 3 5 2" xfId="25038"/>
    <cellStyle name="ErrRpt-DataEntryCells 3 5 3" xfId="25039"/>
    <cellStyle name="ErrRpt-DataEntryCells 3 6" xfId="677"/>
    <cellStyle name="ErrRpt-DataEntryCells 3 6 2" xfId="25040"/>
    <cellStyle name="ErrRpt-DataEntryCells 3 6 3" xfId="25041"/>
    <cellStyle name="ErrRpt-DataEntryCells 3 7" xfId="25042"/>
    <cellStyle name="ErrRpt-DataEntryCells 3 8" xfId="25043"/>
    <cellStyle name="ErrRpt-DataEntryCells 3_STUD aligned by INSTIT" xfId="678"/>
    <cellStyle name="ErrRpt-DataEntryCells 4" xfId="679"/>
    <cellStyle name="ErrRpt-DataEntryCells 4 2" xfId="680"/>
    <cellStyle name="ErrRpt-DataEntryCells 4 2 2" xfId="25044"/>
    <cellStyle name="ErrRpt-DataEntryCells 4 2 3" xfId="25045"/>
    <cellStyle name="ErrRpt-DataEntryCells 4 3" xfId="681"/>
    <cellStyle name="ErrRpt-DataEntryCells 4 3 2" xfId="25046"/>
    <cellStyle name="ErrRpt-DataEntryCells 4 3 3" xfId="25047"/>
    <cellStyle name="ErrRpt-DataEntryCells 4 4" xfId="682"/>
    <cellStyle name="ErrRpt-DataEntryCells 4 4 2" xfId="25048"/>
    <cellStyle name="ErrRpt-DataEntryCells 4 4 3" xfId="25049"/>
    <cellStyle name="ErrRpt-DataEntryCells 4 5" xfId="683"/>
    <cellStyle name="ErrRpt-DataEntryCells 4 5 2" xfId="25050"/>
    <cellStyle name="ErrRpt-DataEntryCells 4 5 3" xfId="25051"/>
    <cellStyle name="ErrRpt-DataEntryCells 4 6" xfId="25052"/>
    <cellStyle name="ErrRpt-DataEntryCells 4 7" xfId="25053"/>
    <cellStyle name="ErrRpt-DataEntryCells 5" xfId="684"/>
    <cellStyle name="ErrRpt-DataEntryCells 5 2" xfId="25054"/>
    <cellStyle name="ErrRpt-DataEntryCells 5 3" xfId="25055"/>
    <cellStyle name="ErrRpt-DataEntryCells 6" xfId="685"/>
    <cellStyle name="ErrRpt-DataEntryCells 6 2" xfId="25056"/>
    <cellStyle name="ErrRpt-DataEntryCells 6 3" xfId="25057"/>
    <cellStyle name="ErrRpt-DataEntryCells 7" xfId="686"/>
    <cellStyle name="ErrRpt-DataEntryCells 7 2" xfId="25058"/>
    <cellStyle name="ErrRpt-DataEntryCells 7 3" xfId="25059"/>
    <cellStyle name="ErrRpt-DataEntryCells 8" xfId="687"/>
    <cellStyle name="ErrRpt-DataEntryCells 8 2" xfId="25060"/>
    <cellStyle name="ErrRpt-DataEntryCells 8 3" xfId="25061"/>
    <cellStyle name="ErrRpt-DataEntryCells 9" xfId="25062"/>
    <cellStyle name="ErrRpt-DataEntryCells 9 2" xfId="25063"/>
    <cellStyle name="ErrRpt-DataEntryCells 9 3" xfId="25064"/>
    <cellStyle name="ErrRpt-DataEntryCells_STUD aligned by INSTIT" xfId="688"/>
    <cellStyle name="ErrRpt-GreyBackground" xfId="12"/>
    <cellStyle name="ErrRpt-GreyBackground 2" xfId="689"/>
    <cellStyle name="Fixed" xfId="690"/>
    <cellStyle name="Followed Hyperlink" xfId="76" builtinId="9" hidden="1"/>
    <cellStyle name="Followed Hyperlink" xfId="77" builtinId="9" hidden="1"/>
    <cellStyle name="Followed Hyperlink" xfId="78" builtinId="9" hidden="1"/>
    <cellStyle name="Followed Hyperlink" xfId="79" builtinId="9" hidden="1"/>
    <cellStyle name="Followed Hyperlink" xfId="80" builtinId="9" hidden="1"/>
    <cellStyle name="Followed Hyperlink" xfId="81" builtinId="9" hidden="1"/>
    <cellStyle name="Followed Hyperlink" xfId="82" builtinId="9" hidden="1"/>
    <cellStyle name="Followed Hyperlink" xfId="83" builtinId="9" hidden="1"/>
    <cellStyle name="Followed Hyperlink" xfId="84" builtinId="9" hidden="1"/>
    <cellStyle name="Followed Hyperlink" xfId="85" builtinId="9" hidden="1"/>
    <cellStyle name="Followed Hyperlink" xfId="86" builtinId="9" hidden="1"/>
    <cellStyle name="Followed Hyperlink" xfId="87" builtinId="9" hidden="1"/>
    <cellStyle name="Followed Hyperlink" xfId="88" builtinId="9" hidden="1"/>
    <cellStyle name="Followed Hyperlink" xfId="89" builtinId="9" hidden="1"/>
    <cellStyle name="Followed Hyperlink" xfId="90" builtinId="9" hidden="1"/>
    <cellStyle name="Followed Hyperlink" xfId="91" builtinId="9" hidden="1"/>
    <cellStyle name="Followed Hyperlink" xfId="92" builtinId="9" hidden="1"/>
    <cellStyle name="Followed Hyperlink" xfId="93" builtinId="9" hidden="1"/>
    <cellStyle name="Followed Hyperlink" xfId="94" builtinId="9" hidden="1"/>
    <cellStyle name="Followed Hyperlink" xfId="95" builtinId="9" hidden="1"/>
    <cellStyle name="Followed Hyperlink" xfId="96" builtinId="9" hidden="1"/>
    <cellStyle name="Followed Hyperlink" xfId="97" builtinId="9" hidden="1"/>
    <cellStyle name="Followed Hyperlink" xfId="98" builtinId="9" hidden="1"/>
    <cellStyle name="Followed Hyperlink" xfId="99" builtinId="9" hidden="1"/>
    <cellStyle name="Followed Hyperlink" xfId="100" builtinId="9" hidden="1"/>
    <cellStyle name="Followed Hyperlink" xfId="101" builtinId="9" hidden="1"/>
    <cellStyle name="Followed Hyperlink" xfId="102" builtinId="9" hidden="1"/>
    <cellStyle name="Followed Hyperlink" xfId="103" builtinId="9" hidden="1"/>
    <cellStyle name="Followed Hyperlink" xfId="104" builtinId="9" hidden="1"/>
    <cellStyle name="Followed Hyperlink" xfId="105" builtinId="9" hidden="1"/>
    <cellStyle name="Followed Hyperlink" xfId="106" builtinId="9" hidden="1"/>
    <cellStyle name="Followed Hyperlink" xfId="107" builtinId="9" hidden="1"/>
    <cellStyle name="Followed Hyperlink" xfId="108" builtinId="9" hidden="1"/>
    <cellStyle name="Followed Hyperlink" xfId="109" builtinId="9" hidden="1"/>
    <cellStyle name="Followed Hyperlink" xfId="110" builtinId="9" hidden="1"/>
    <cellStyle name="Followed Hyperlink" xfId="111" builtinId="9" hidden="1"/>
    <cellStyle name="Followed Hyperlink" xfId="112" builtinId="9" hidden="1"/>
    <cellStyle name="Followed Hyperlink" xfId="113" builtinId="9" hidden="1"/>
    <cellStyle name="Followed Hyperlink" xfId="114" builtinId="9" hidden="1"/>
    <cellStyle name="Followed Hyperlink" xfId="115" builtinId="9" hidden="1"/>
    <cellStyle name="Followed Hyperlink" xfId="116" builtinId="9" hidden="1"/>
    <cellStyle name="Followed Hyperlink" xfId="117" builtinId="9" hidden="1"/>
    <cellStyle name="Followed Hyperlink" xfId="118" builtinId="9" hidden="1"/>
    <cellStyle name="Followed Hyperlink" xfId="119" builtinId="9" hidden="1"/>
    <cellStyle name="Followed Hyperlink" xfId="120" builtinId="9" hidden="1"/>
    <cellStyle name="Followed Hyperlink" xfId="121" builtinId="9" hidden="1"/>
    <cellStyle name="Followed Hyperlink" xfId="122" builtinId="9" hidden="1"/>
    <cellStyle name="Followed Hyperlink" xfId="123" builtinId="9" hidden="1"/>
    <cellStyle name="Followed Hyperlink" xfId="124" builtinId="9" hidden="1"/>
    <cellStyle name="Followed Hyperlink" xfId="125" builtinId="9" hidden="1"/>
    <cellStyle name="Followed Hyperlink" xfId="126" builtinId="9" hidden="1"/>
    <cellStyle name="Followed Hyperlink" xfId="127" builtinId="9" hidden="1"/>
    <cellStyle name="Followed Hyperlink" xfId="128" builtinId="9" hidden="1"/>
    <cellStyle name="Followed Hyperlink" xfId="129" builtinId="9" hidden="1"/>
    <cellStyle name="Followed Hyperlink" xfId="130" builtinId="9" hidden="1"/>
    <cellStyle name="Followed Hyperlink" xfId="131" builtinId="9" hidden="1"/>
    <cellStyle name="Followed Hyperlink" xfId="132" builtinId="9" hidden="1"/>
    <cellStyle name="Followed Hyperlink" xfId="133" builtinId="9" hidden="1"/>
    <cellStyle name="Followed Hyperlink" xfId="134" builtinId="9" hidden="1"/>
    <cellStyle name="Followed Hyperlink" xfId="135" builtinId="9" hidden="1"/>
    <cellStyle name="Followed Hyperlink" xfId="136" builtinId="9" hidden="1"/>
    <cellStyle name="Followed Hyperlink" xfId="137" builtinId="9" hidden="1"/>
    <cellStyle name="Followed Hyperlink" xfId="138" builtinId="9" hidden="1"/>
    <cellStyle name="Followed Hyperlink" xfId="139" builtinId="9" hidden="1"/>
    <cellStyle name="Followed Hyperlink" xfId="140" builtinId="9" hidden="1"/>
    <cellStyle name="Followed Hyperlink" xfId="141" builtinId="9" hidden="1"/>
    <cellStyle name="Followed Hyperlink" xfId="142" builtinId="9" hidden="1"/>
    <cellStyle name="Followed Hyperlink" xfId="143" builtinId="9" hidden="1"/>
    <cellStyle name="formula" xfId="13"/>
    <cellStyle name="formula 10" xfId="25065"/>
    <cellStyle name="formula 10 2" xfId="25066"/>
    <cellStyle name="formula 10 3" xfId="25067"/>
    <cellStyle name="formula 11" xfId="25068"/>
    <cellStyle name="formula 12" xfId="25069"/>
    <cellStyle name="formula 2" xfId="691"/>
    <cellStyle name="formula 2 2" xfId="692"/>
    <cellStyle name="formula 2 2 2" xfId="693"/>
    <cellStyle name="formula 2 2 2 2" xfId="694"/>
    <cellStyle name="formula 2 2 2 2 2" xfId="25070"/>
    <cellStyle name="formula 2 2 2 2 3" xfId="25071"/>
    <cellStyle name="formula 2 2 2 3" xfId="695"/>
    <cellStyle name="formula 2 2 2 3 2" xfId="25072"/>
    <cellStyle name="formula 2 2 2 3 3" xfId="25073"/>
    <cellStyle name="formula 2 2 2 4" xfId="696"/>
    <cellStyle name="formula 2 2 2 4 2" xfId="25074"/>
    <cellStyle name="formula 2 2 2 4 3" xfId="25075"/>
    <cellStyle name="formula 2 2 2 5" xfId="697"/>
    <cellStyle name="formula 2 2 2 5 2" xfId="25076"/>
    <cellStyle name="formula 2 2 2 5 3" xfId="25077"/>
    <cellStyle name="formula 2 2 2 6" xfId="25078"/>
    <cellStyle name="formula 2 2 2 7" xfId="25079"/>
    <cellStyle name="formula 2 2 3" xfId="698"/>
    <cellStyle name="formula 2 2 3 2" xfId="25080"/>
    <cellStyle name="formula 2 2 3 3" xfId="25081"/>
    <cellStyle name="formula 2 2 4" xfId="699"/>
    <cellStyle name="formula 2 2 4 2" xfId="25082"/>
    <cellStyle name="formula 2 2 4 3" xfId="25083"/>
    <cellStyle name="formula 2 2 5" xfId="700"/>
    <cellStyle name="formula 2 2 5 2" xfId="25084"/>
    <cellStyle name="formula 2 2 5 3" xfId="25085"/>
    <cellStyle name="formula 2 2 6" xfId="701"/>
    <cellStyle name="formula 2 2 6 2" xfId="25086"/>
    <cellStyle name="formula 2 2 6 3" xfId="25087"/>
    <cellStyle name="formula 2 2 7" xfId="25088"/>
    <cellStyle name="formula 2 2 8" xfId="25089"/>
    <cellStyle name="formula 2 2_STUD aligned by INSTIT" xfId="702"/>
    <cellStyle name="formula 2 3" xfId="703"/>
    <cellStyle name="formula 2 3 2" xfId="704"/>
    <cellStyle name="formula 2 3 2 2" xfId="25090"/>
    <cellStyle name="formula 2 3 2 3" xfId="25091"/>
    <cellStyle name="formula 2 3 3" xfId="705"/>
    <cellStyle name="formula 2 3 3 2" xfId="25092"/>
    <cellStyle name="formula 2 3 3 3" xfId="25093"/>
    <cellStyle name="formula 2 3 4" xfId="706"/>
    <cellStyle name="formula 2 3 4 2" xfId="25094"/>
    <cellStyle name="formula 2 3 4 3" xfId="25095"/>
    <cellStyle name="formula 2 3 5" xfId="707"/>
    <cellStyle name="formula 2 3 5 2" xfId="25096"/>
    <cellStyle name="formula 2 3 5 3" xfId="25097"/>
    <cellStyle name="formula 2 3 6" xfId="25098"/>
    <cellStyle name="formula 2 3 7" xfId="25099"/>
    <cellStyle name="formula 2 4" xfId="708"/>
    <cellStyle name="formula 2 4 2" xfId="25100"/>
    <cellStyle name="formula 2 4 3" xfId="25101"/>
    <cellStyle name="formula 2 5" xfId="709"/>
    <cellStyle name="formula 2 5 2" xfId="25102"/>
    <cellStyle name="formula 2 5 3" xfId="25103"/>
    <cellStyle name="formula 2 6" xfId="710"/>
    <cellStyle name="formula 2 6 2" xfId="25104"/>
    <cellStyle name="formula 2 6 3" xfId="25105"/>
    <cellStyle name="formula 2 7" xfId="711"/>
    <cellStyle name="formula 2 7 2" xfId="25106"/>
    <cellStyle name="formula 2 7 3" xfId="25107"/>
    <cellStyle name="formula 2 8" xfId="25108"/>
    <cellStyle name="formula 2 9" xfId="25109"/>
    <cellStyle name="formula 2_STUD aligned by INSTIT" xfId="712"/>
    <cellStyle name="formula 3" xfId="713"/>
    <cellStyle name="formula 3 2" xfId="714"/>
    <cellStyle name="formula 3 2 2" xfId="715"/>
    <cellStyle name="formula 3 2 2 2" xfId="25110"/>
    <cellStyle name="formula 3 2 2 3" xfId="25111"/>
    <cellStyle name="formula 3 2 3" xfId="716"/>
    <cellStyle name="formula 3 2 3 2" xfId="25112"/>
    <cellStyle name="formula 3 2 3 3" xfId="25113"/>
    <cellStyle name="formula 3 2 4" xfId="717"/>
    <cellStyle name="formula 3 2 4 2" xfId="25114"/>
    <cellStyle name="formula 3 2 4 3" xfId="25115"/>
    <cellStyle name="formula 3 2 5" xfId="718"/>
    <cellStyle name="formula 3 2 5 2" xfId="25116"/>
    <cellStyle name="formula 3 2 5 3" xfId="25117"/>
    <cellStyle name="formula 3 2 6" xfId="25118"/>
    <cellStyle name="formula 3 2 7" xfId="25119"/>
    <cellStyle name="formula 3 3" xfId="719"/>
    <cellStyle name="formula 3 3 2" xfId="25120"/>
    <cellStyle name="formula 3 3 3" xfId="25121"/>
    <cellStyle name="formula 3 4" xfId="720"/>
    <cellStyle name="formula 3 4 2" xfId="25122"/>
    <cellStyle name="formula 3 4 3" xfId="25123"/>
    <cellStyle name="formula 3 5" xfId="721"/>
    <cellStyle name="formula 3 5 2" xfId="25124"/>
    <cellStyle name="formula 3 5 3" xfId="25125"/>
    <cellStyle name="formula 3 6" xfId="722"/>
    <cellStyle name="formula 3 6 2" xfId="25126"/>
    <cellStyle name="formula 3 6 3" xfId="25127"/>
    <cellStyle name="formula 3 7" xfId="25128"/>
    <cellStyle name="formula 3 8" xfId="25129"/>
    <cellStyle name="formula 3_STUD aligned by INSTIT" xfId="723"/>
    <cellStyle name="formula 4" xfId="724"/>
    <cellStyle name="formula 4 2" xfId="725"/>
    <cellStyle name="formula 4 2 2" xfId="25130"/>
    <cellStyle name="formula 4 2 3" xfId="25131"/>
    <cellStyle name="formula 4 3" xfId="726"/>
    <cellStyle name="formula 4 3 2" xfId="25132"/>
    <cellStyle name="formula 4 3 3" xfId="25133"/>
    <cellStyle name="formula 4 4" xfId="727"/>
    <cellStyle name="formula 4 4 2" xfId="25134"/>
    <cellStyle name="formula 4 4 3" xfId="25135"/>
    <cellStyle name="formula 4 5" xfId="728"/>
    <cellStyle name="formula 4 5 2" xfId="25136"/>
    <cellStyle name="formula 4 5 3" xfId="25137"/>
    <cellStyle name="formula 4 6" xfId="25138"/>
    <cellStyle name="formula 4 7" xfId="25139"/>
    <cellStyle name="formula 5" xfId="729"/>
    <cellStyle name="formula 5 2" xfId="25140"/>
    <cellStyle name="formula 5 3" xfId="25141"/>
    <cellStyle name="formula 6" xfId="730"/>
    <cellStyle name="formula 6 2" xfId="25142"/>
    <cellStyle name="formula 6 3" xfId="25143"/>
    <cellStyle name="formula 7" xfId="731"/>
    <cellStyle name="formula 7 2" xfId="25144"/>
    <cellStyle name="formula 7 3" xfId="25145"/>
    <cellStyle name="formula 8" xfId="732"/>
    <cellStyle name="formula 8 2" xfId="25146"/>
    <cellStyle name="formula 8 3" xfId="25147"/>
    <cellStyle name="formula 9" xfId="25148"/>
    <cellStyle name="formula 9 2" xfId="25149"/>
    <cellStyle name="formula 9 3" xfId="25150"/>
    <cellStyle name="formula_STUD aligned by INSTIT" xfId="733"/>
    <cellStyle name="gap" xfId="14"/>
    <cellStyle name="gap 2" xfId="734"/>
    <cellStyle name="gap 2 2" xfId="735"/>
    <cellStyle name="gap 2 2 2" xfId="736"/>
    <cellStyle name="gap 2 2 2 2" xfId="737"/>
    <cellStyle name="gap 2 2 3" xfId="738"/>
    <cellStyle name="gap 2 3" xfId="739"/>
    <cellStyle name="gap 2 4" xfId="740"/>
    <cellStyle name="gap 2_Tertiary Salaries Survey" xfId="741"/>
    <cellStyle name="gap 3" xfId="742"/>
    <cellStyle name="gap 3 2" xfId="743"/>
    <cellStyle name="gap 4" xfId="744"/>
    <cellStyle name="gap 5" xfId="745"/>
    <cellStyle name="gap_Tertiary Salaries Survey" xfId="746"/>
    <cellStyle name="Grey" xfId="747"/>
    <cellStyle name="GreyBackground" xfId="15"/>
    <cellStyle name="GreyBackground 2" xfId="748"/>
    <cellStyle name="GreyBackground 2 2" xfId="749"/>
    <cellStyle name="GreyBackground 2_08pers" xfId="750"/>
    <cellStyle name="GreyBackground 3" xfId="751"/>
    <cellStyle name="GreyBackground 3 2" xfId="25151"/>
    <cellStyle name="GreyBackground 4" xfId="752"/>
    <cellStyle name="GreyBackground 5" xfId="753"/>
    <cellStyle name="GreyBackground_00enrl" xfId="754"/>
    <cellStyle name="Header1" xfId="755"/>
    <cellStyle name="Header2" xfId="756"/>
    <cellStyle name="Header2 2" xfId="25152"/>
    <cellStyle name="Header2 3" xfId="25153"/>
    <cellStyle name="Header2 4" xfId="25154"/>
    <cellStyle name="Heading 1 2" xfId="757"/>
    <cellStyle name="Heading 2 2" xfId="758"/>
    <cellStyle name="Heading1" xfId="759"/>
    <cellStyle name="Heading2" xfId="760"/>
    <cellStyle name="Hipervínculo" xfId="761"/>
    <cellStyle name="Hipervínculo visitado" xfId="762"/>
    <cellStyle name="Hyperlink" xfId="16" builtinId="8"/>
    <cellStyle name="Hyperlink 2" xfId="763"/>
    <cellStyle name="Hyperlink 3" xfId="764"/>
    <cellStyle name="Hyperlink 4" xfId="765"/>
    <cellStyle name="Hyperlink 5" xfId="24120"/>
    <cellStyle name="Input [yellow]" xfId="766"/>
    <cellStyle name="Input [yellow] 2" xfId="25155"/>
    <cellStyle name="Input [yellow] 3" xfId="25156"/>
    <cellStyle name="ISC" xfId="17"/>
    <cellStyle name="ISC 2" xfId="767"/>
    <cellStyle name="ISC 2 2" xfId="25157"/>
    <cellStyle name="ISC 3" xfId="768"/>
    <cellStyle name="ISC 3 2" xfId="25158"/>
    <cellStyle name="isced" xfId="18"/>
    <cellStyle name="isced 10" xfId="25159"/>
    <cellStyle name="isced 10 2" xfId="25160"/>
    <cellStyle name="isced 10 3" xfId="25161"/>
    <cellStyle name="isced 11" xfId="25162"/>
    <cellStyle name="isced 12" xfId="25163"/>
    <cellStyle name="isced 2" xfId="769"/>
    <cellStyle name="isced 2 2" xfId="770"/>
    <cellStyle name="isced 2 2 2" xfId="771"/>
    <cellStyle name="isced 2 2 2 2" xfId="772"/>
    <cellStyle name="isced 2 2 2 2 2" xfId="25164"/>
    <cellStyle name="isced 2 2 2 2 3" xfId="25165"/>
    <cellStyle name="isced 2 2 2 3" xfId="773"/>
    <cellStyle name="isced 2 2 2 3 2" xfId="25166"/>
    <cellStyle name="isced 2 2 2 3 3" xfId="25167"/>
    <cellStyle name="isced 2 2 2 4" xfId="774"/>
    <cellStyle name="isced 2 2 2 4 2" xfId="25168"/>
    <cellStyle name="isced 2 2 2 4 3" xfId="25169"/>
    <cellStyle name="isced 2 2 2 5" xfId="775"/>
    <cellStyle name="isced 2 2 2 5 2" xfId="25170"/>
    <cellStyle name="isced 2 2 2 5 3" xfId="25171"/>
    <cellStyle name="isced 2 2 2 6" xfId="25172"/>
    <cellStyle name="isced 2 2 2 7" xfId="25173"/>
    <cellStyle name="isced 2 2 3" xfId="776"/>
    <cellStyle name="isced 2 2 3 2" xfId="25174"/>
    <cellStyle name="isced 2 2 3 3" xfId="25175"/>
    <cellStyle name="isced 2 2 4" xfId="777"/>
    <cellStyle name="isced 2 2 4 2" xfId="25176"/>
    <cellStyle name="isced 2 2 4 3" xfId="25177"/>
    <cellStyle name="isced 2 2 5" xfId="778"/>
    <cellStyle name="isced 2 2 5 2" xfId="25178"/>
    <cellStyle name="isced 2 2 5 3" xfId="25179"/>
    <cellStyle name="isced 2 2 6" xfId="779"/>
    <cellStyle name="isced 2 2 6 2" xfId="25180"/>
    <cellStyle name="isced 2 2 6 3" xfId="25181"/>
    <cellStyle name="isced 2 2 7" xfId="25182"/>
    <cellStyle name="isced 2 2 8" xfId="25183"/>
    <cellStyle name="isced 2 2_STUD aligned by INSTIT" xfId="780"/>
    <cellStyle name="isced 2 3" xfId="781"/>
    <cellStyle name="isced 2 3 2" xfId="782"/>
    <cellStyle name="isced 2 3 2 2" xfId="25184"/>
    <cellStyle name="isced 2 3 2 3" xfId="25185"/>
    <cellStyle name="isced 2 3 3" xfId="783"/>
    <cellStyle name="isced 2 3 3 2" xfId="25186"/>
    <cellStyle name="isced 2 3 3 3" xfId="25187"/>
    <cellStyle name="isced 2 3 4" xfId="784"/>
    <cellStyle name="isced 2 3 4 2" xfId="25188"/>
    <cellStyle name="isced 2 3 4 3" xfId="25189"/>
    <cellStyle name="isced 2 3 5" xfId="785"/>
    <cellStyle name="isced 2 3 5 2" xfId="25190"/>
    <cellStyle name="isced 2 3 5 3" xfId="25191"/>
    <cellStyle name="isced 2 3 6" xfId="25192"/>
    <cellStyle name="isced 2 3 7" xfId="25193"/>
    <cellStyle name="isced 2 4" xfId="786"/>
    <cellStyle name="isced 2 4 2" xfId="25194"/>
    <cellStyle name="isced 2 4 3" xfId="25195"/>
    <cellStyle name="isced 2 5" xfId="787"/>
    <cellStyle name="isced 2 5 2" xfId="25196"/>
    <cellStyle name="isced 2 5 3" xfId="25197"/>
    <cellStyle name="isced 2 6" xfId="788"/>
    <cellStyle name="isced 2 6 2" xfId="25198"/>
    <cellStyle name="isced 2 6 3" xfId="25199"/>
    <cellStyle name="isced 2 7" xfId="789"/>
    <cellStyle name="isced 2 7 2" xfId="25200"/>
    <cellStyle name="isced 2 7 3" xfId="25201"/>
    <cellStyle name="isced 2 8" xfId="25202"/>
    <cellStyle name="isced 2 9" xfId="25203"/>
    <cellStyle name="isced 2_STUD aligned by INSTIT" xfId="790"/>
    <cellStyle name="isced 3" xfId="791"/>
    <cellStyle name="isced 3 2" xfId="792"/>
    <cellStyle name="isced 3 2 2" xfId="793"/>
    <cellStyle name="isced 3 2 2 2" xfId="25204"/>
    <cellStyle name="isced 3 2 2 3" xfId="25205"/>
    <cellStyle name="isced 3 2 3" xfId="794"/>
    <cellStyle name="isced 3 2 3 2" xfId="25206"/>
    <cellStyle name="isced 3 2 3 3" xfId="25207"/>
    <cellStyle name="isced 3 2 4" xfId="795"/>
    <cellStyle name="isced 3 2 4 2" xfId="25208"/>
    <cellStyle name="isced 3 2 4 3" xfId="25209"/>
    <cellStyle name="isced 3 2 5" xfId="796"/>
    <cellStyle name="isced 3 2 5 2" xfId="25210"/>
    <cellStyle name="isced 3 2 5 3" xfId="25211"/>
    <cellStyle name="isced 3 2 6" xfId="25212"/>
    <cellStyle name="isced 3 2 7" xfId="25213"/>
    <cellStyle name="isced 3 3" xfId="797"/>
    <cellStyle name="isced 3 3 2" xfId="25214"/>
    <cellStyle name="isced 3 3 3" xfId="25215"/>
    <cellStyle name="isced 3 4" xfId="798"/>
    <cellStyle name="isced 3 4 2" xfId="25216"/>
    <cellStyle name="isced 3 4 3" xfId="25217"/>
    <cellStyle name="isced 3 5" xfId="799"/>
    <cellStyle name="isced 3 5 2" xfId="25218"/>
    <cellStyle name="isced 3 5 3" xfId="25219"/>
    <cellStyle name="isced 3 6" xfId="800"/>
    <cellStyle name="isced 3 6 2" xfId="25220"/>
    <cellStyle name="isced 3 6 3" xfId="25221"/>
    <cellStyle name="isced 3 7" xfId="25222"/>
    <cellStyle name="isced 3 8" xfId="25223"/>
    <cellStyle name="isced 3_STUD aligned by INSTIT" xfId="801"/>
    <cellStyle name="isced 4" xfId="802"/>
    <cellStyle name="isced 4 2" xfId="803"/>
    <cellStyle name="isced 4 2 2" xfId="25224"/>
    <cellStyle name="isced 4 2 3" xfId="25225"/>
    <cellStyle name="isced 4 3" xfId="804"/>
    <cellStyle name="isced 4 3 2" xfId="25226"/>
    <cellStyle name="isced 4 3 3" xfId="25227"/>
    <cellStyle name="isced 4 4" xfId="805"/>
    <cellStyle name="isced 4 4 2" xfId="25228"/>
    <cellStyle name="isced 4 4 3" xfId="25229"/>
    <cellStyle name="isced 4 5" xfId="806"/>
    <cellStyle name="isced 4 5 2" xfId="25230"/>
    <cellStyle name="isced 4 5 3" xfId="25231"/>
    <cellStyle name="isced 4 6" xfId="25232"/>
    <cellStyle name="isced 4 7" xfId="25233"/>
    <cellStyle name="isced 5" xfId="807"/>
    <cellStyle name="isced 5 2" xfId="25234"/>
    <cellStyle name="isced 5 3" xfId="25235"/>
    <cellStyle name="isced 6" xfId="808"/>
    <cellStyle name="isced 6 2" xfId="25236"/>
    <cellStyle name="isced 6 3" xfId="25237"/>
    <cellStyle name="isced 7" xfId="809"/>
    <cellStyle name="isced 7 2" xfId="25238"/>
    <cellStyle name="isced 7 3" xfId="25239"/>
    <cellStyle name="isced 8" xfId="810"/>
    <cellStyle name="isced 8 2" xfId="25240"/>
    <cellStyle name="isced 8 3" xfId="25241"/>
    <cellStyle name="isced 9" xfId="25242"/>
    <cellStyle name="isced 9 2" xfId="25243"/>
    <cellStyle name="isced 9 3" xfId="25244"/>
    <cellStyle name="ISCED Titles" xfId="19"/>
    <cellStyle name="isced_05enrl_REVISED_2" xfId="811"/>
    <cellStyle name="level1a" xfId="20"/>
    <cellStyle name="level1a 10" xfId="812"/>
    <cellStyle name="level1a 10 2" xfId="813"/>
    <cellStyle name="level1a 10 2 2" xfId="814"/>
    <cellStyle name="level1a 10 2 2 2" xfId="815"/>
    <cellStyle name="level1a 10 2 2 2 2" xfId="25245"/>
    <cellStyle name="level1a 10 2 2 3" xfId="25246"/>
    <cellStyle name="level1a 10 2 3" xfId="816"/>
    <cellStyle name="level1a 10 2 3 2" xfId="25247"/>
    <cellStyle name="level1a 10 2 4" xfId="25248"/>
    <cellStyle name="level1a 10 3" xfId="817"/>
    <cellStyle name="level1a 10 3 2" xfId="818"/>
    <cellStyle name="level1a 10 3 2 2" xfId="819"/>
    <cellStyle name="level1a 10 3 2 2 2" xfId="25249"/>
    <cellStyle name="level1a 10 3 2 3" xfId="25250"/>
    <cellStyle name="level1a 10 3 3" xfId="820"/>
    <cellStyle name="level1a 10 3 3 2" xfId="25251"/>
    <cellStyle name="level1a 10 3 4" xfId="25252"/>
    <cellStyle name="level1a 10 4" xfId="821"/>
    <cellStyle name="level1a 10 4 2" xfId="25253"/>
    <cellStyle name="level1a 10 5" xfId="822"/>
    <cellStyle name="level1a 10 5 2" xfId="823"/>
    <cellStyle name="level1a 10 5 2 2" xfId="25254"/>
    <cellStyle name="level1a 10 5 3" xfId="25255"/>
    <cellStyle name="level1a 10 6" xfId="824"/>
    <cellStyle name="level1a 10 6 2" xfId="25256"/>
    <cellStyle name="level1a 10 7" xfId="25257"/>
    <cellStyle name="level1a 11" xfId="825"/>
    <cellStyle name="level1a 11 2" xfId="826"/>
    <cellStyle name="level1a 11 2 2" xfId="827"/>
    <cellStyle name="level1a 11 2 2 2" xfId="828"/>
    <cellStyle name="level1a 11 2 2 2 2" xfId="25258"/>
    <cellStyle name="level1a 11 2 2 3" xfId="25259"/>
    <cellStyle name="level1a 11 2 3" xfId="829"/>
    <cellStyle name="level1a 11 2 3 2" xfId="25260"/>
    <cellStyle name="level1a 11 2 4" xfId="25261"/>
    <cellStyle name="level1a 11 3" xfId="830"/>
    <cellStyle name="level1a 11 3 2" xfId="831"/>
    <cellStyle name="level1a 11 3 2 2" xfId="832"/>
    <cellStyle name="level1a 11 3 2 2 2" xfId="25262"/>
    <cellStyle name="level1a 11 3 2 3" xfId="25263"/>
    <cellStyle name="level1a 11 3 3" xfId="833"/>
    <cellStyle name="level1a 11 3 3 2" xfId="25264"/>
    <cellStyle name="level1a 11 3 4" xfId="25265"/>
    <cellStyle name="level1a 11 4" xfId="834"/>
    <cellStyle name="level1a 11 4 2" xfId="835"/>
    <cellStyle name="level1a 11 4 2 2" xfId="25266"/>
    <cellStyle name="level1a 11 4 3" xfId="25267"/>
    <cellStyle name="level1a 11 5" xfId="836"/>
    <cellStyle name="level1a 11 5 2" xfId="25268"/>
    <cellStyle name="level1a 11 6" xfId="25269"/>
    <cellStyle name="level1a 12" xfId="837"/>
    <cellStyle name="level1a 12 2" xfId="838"/>
    <cellStyle name="level1a 12 2 2" xfId="839"/>
    <cellStyle name="level1a 12 2 2 2" xfId="25270"/>
    <cellStyle name="level1a 12 2 3" xfId="25271"/>
    <cellStyle name="level1a 12 3" xfId="840"/>
    <cellStyle name="level1a 12 3 2" xfId="25272"/>
    <cellStyle name="level1a 12 4" xfId="25273"/>
    <cellStyle name="level1a 13" xfId="841"/>
    <cellStyle name="level1a 13 2" xfId="25274"/>
    <cellStyle name="level1a 14" xfId="842"/>
    <cellStyle name="level1a 14 2" xfId="25275"/>
    <cellStyle name="level1a 15" xfId="843"/>
    <cellStyle name="level1a 15 2" xfId="25276"/>
    <cellStyle name="level1a 16" xfId="24117"/>
    <cellStyle name="level1a 16 2" xfId="25277"/>
    <cellStyle name="level1a 16 3" xfId="25278"/>
    <cellStyle name="level1a 17" xfId="25279"/>
    <cellStyle name="level1a 18" xfId="25280"/>
    <cellStyle name="level1a 19" xfId="25281"/>
    <cellStyle name="level1a 2" xfId="21"/>
    <cellStyle name="level1a 2 10" xfId="844"/>
    <cellStyle name="level1a 2 10 2" xfId="845"/>
    <cellStyle name="level1a 2 10 2 2" xfId="846"/>
    <cellStyle name="level1a 2 10 2 2 2" xfId="847"/>
    <cellStyle name="level1a 2 10 2 2 2 2" xfId="25282"/>
    <cellStyle name="level1a 2 10 2 2 3" xfId="25283"/>
    <cellStyle name="level1a 2 10 2 3" xfId="848"/>
    <cellStyle name="level1a 2 10 2 3 2" xfId="25284"/>
    <cellStyle name="level1a 2 10 2 4" xfId="25285"/>
    <cellStyle name="level1a 2 10 3" xfId="849"/>
    <cellStyle name="level1a 2 10 3 2" xfId="850"/>
    <cellStyle name="level1a 2 10 3 2 2" xfId="851"/>
    <cellStyle name="level1a 2 10 3 2 2 2" xfId="25286"/>
    <cellStyle name="level1a 2 10 3 2 3" xfId="25287"/>
    <cellStyle name="level1a 2 10 3 3" xfId="852"/>
    <cellStyle name="level1a 2 10 3 3 2" xfId="25288"/>
    <cellStyle name="level1a 2 10 3 4" xfId="25289"/>
    <cellStyle name="level1a 2 10 4" xfId="853"/>
    <cellStyle name="level1a 2 10 4 2" xfId="25290"/>
    <cellStyle name="level1a 2 10 5" xfId="854"/>
    <cellStyle name="level1a 2 10 5 2" xfId="855"/>
    <cellStyle name="level1a 2 10 5 2 2" xfId="25291"/>
    <cellStyle name="level1a 2 10 5 3" xfId="25292"/>
    <cellStyle name="level1a 2 10 6" xfId="856"/>
    <cellStyle name="level1a 2 10 6 2" xfId="25293"/>
    <cellStyle name="level1a 2 10 7" xfId="25294"/>
    <cellStyle name="level1a 2 11" xfId="857"/>
    <cellStyle name="level1a 2 11 2" xfId="858"/>
    <cellStyle name="level1a 2 11 2 2" xfId="859"/>
    <cellStyle name="level1a 2 11 2 2 2" xfId="860"/>
    <cellStyle name="level1a 2 11 2 2 2 2" xfId="25295"/>
    <cellStyle name="level1a 2 11 2 2 3" xfId="25296"/>
    <cellStyle name="level1a 2 11 2 3" xfId="861"/>
    <cellStyle name="level1a 2 11 2 3 2" xfId="25297"/>
    <cellStyle name="level1a 2 11 2 4" xfId="25298"/>
    <cellStyle name="level1a 2 11 3" xfId="862"/>
    <cellStyle name="level1a 2 11 3 2" xfId="863"/>
    <cellStyle name="level1a 2 11 3 2 2" xfId="864"/>
    <cellStyle name="level1a 2 11 3 2 2 2" xfId="25299"/>
    <cellStyle name="level1a 2 11 3 2 3" xfId="25300"/>
    <cellStyle name="level1a 2 11 3 3" xfId="865"/>
    <cellStyle name="level1a 2 11 3 3 2" xfId="25301"/>
    <cellStyle name="level1a 2 11 3 4" xfId="25302"/>
    <cellStyle name="level1a 2 11 4" xfId="866"/>
    <cellStyle name="level1a 2 11 4 2" xfId="867"/>
    <cellStyle name="level1a 2 11 4 2 2" xfId="25303"/>
    <cellStyle name="level1a 2 11 4 3" xfId="25304"/>
    <cellStyle name="level1a 2 11 5" xfId="868"/>
    <cellStyle name="level1a 2 11 5 2" xfId="25305"/>
    <cellStyle name="level1a 2 11 6" xfId="25306"/>
    <cellStyle name="level1a 2 12" xfId="869"/>
    <cellStyle name="level1a 2 12 2" xfId="870"/>
    <cellStyle name="level1a 2 12 2 2" xfId="871"/>
    <cellStyle name="level1a 2 12 2 2 2" xfId="25307"/>
    <cellStyle name="level1a 2 12 2 3" xfId="25308"/>
    <cellStyle name="level1a 2 12 3" xfId="872"/>
    <cellStyle name="level1a 2 12 3 2" xfId="25309"/>
    <cellStyle name="level1a 2 12 4" xfId="25310"/>
    <cellStyle name="level1a 2 13" xfId="873"/>
    <cellStyle name="level1a 2 13 2" xfId="25311"/>
    <cellStyle name="level1a 2 14" xfId="874"/>
    <cellStyle name="level1a 2 14 2" xfId="25312"/>
    <cellStyle name="level1a 2 15" xfId="25313"/>
    <cellStyle name="level1a 2 16" xfId="25314"/>
    <cellStyle name="level1a 2 17" xfId="25315"/>
    <cellStyle name="level1a 2 2" xfId="875"/>
    <cellStyle name="level1a 2 2 10" xfId="876"/>
    <cellStyle name="level1a 2 2 10 2" xfId="877"/>
    <cellStyle name="level1a 2 2 10 2 2" xfId="878"/>
    <cellStyle name="level1a 2 2 10 2 2 2" xfId="879"/>
    <cellStyle name="level1a 2 2 10 2 2 2 2" xfId="25316"/>
    <cellStyle name="level1a 2 2 10 2 2 3" xfId="25317"/>
    <cellStyle name="level1a 2 2 10 2 3" xfId="880"/>
    <cellStyle name="level1a 2 2 10 2 3 2" xfId="25318"/>
    <cellStyle name="level1a 2 2 10 2 4" xfId="25319"/>
    <cellStyle name="level1a 2 2 10 3" xfId="881"/>
    <cellStyle name="level1a 2 2 10 3 2" xfId="882"/>
    <cellStyle name="level1a 2 2 10 3 2 2" xfId="883"/>
    <cellStyle name="level1a 2 2 10 3 2 2 2" xfId="25320"/>
    <cellStyle name="level1a 2 2 10 3 2 3" xfId="25321"/>
    <cellStyle name="level1a 2 2 10 3 3" xfId="884"/>
    <cellStyle name="level1a 2 2 10 3 3 2" xfId="25322"/>
    <cellStyle name="level1a 2 2 10 3 4" xfId="25323"/>
    <cellStyle name="level1a 2 2 10 4" xfId="885"/>
    <cellStyle name="level1a 2 2 10 4 2" xfId="886"/>
    <cellStyle name="level1a 2 2 10 4 2 2" xfId="25324"/>
    <cellStyle name="level1a 2 2 10 4 3" xfId="25325"/>
    <cellStyle name="level1a 2 2 10 5" xfId="887"/>
    <cellStyle name="level1a 2 2 10 5 2" xfId="25326"/>
    <cellStyle name="level1a 2 2 10 6" xfId="25327"/>
    <cellStyle name="level1a 2 2 11" xfId="888"/>
    <cellStyle name="level1a 2 2 11 2" xfId="889"/>
    <cellStyle name="level1a 2 2 11 2 2" xfId="890"/>
    <cellStyle name="level1a 2 2 11 2 2 2" xfId="25328"/>
    <cellStyle name="level1a 2 2 11 2 3" xfId="25329"/>
    <cellStyle name="level1a 2 2 11 3" xfId="891"/>
    <cellStyle name="level1a 2 2 11 3 2" xfId="25330"/>
    <cellStyle name="level1a 2 2 11 4" xfId="25331"/>
    <cellStyle name="level1a 2 2 12" xfId="892"/>
    <cellStyle name="level1a 2 2 12 2" xfId="25332"/>
    <cellStyle name="level1a 2 2 13" xfId="25333"/>
    <cellStyle name="level1a 2 2 2" xfId="893"/>
    <cellStyle name="level1a 2 2 2 10" xfId="894"/>
    <cellStyle name="level1a 2 2 2 10 2" xfId="25334"/>
    <cellStyle name="level1a 2 2 2 11" xfId="25335"/>
    <cellStyle name="level1a 2 2 2 2" xfId="895"/>
    <cellStyle name="level1a 2 2 2 2 2" xfId="896"/>
    <cellStyle name="level1a 2 2 2 2 2 2" xfId="897"/>
    <cellStyle name="level1a 2 2 2 2 2 2 2" xfId="898"/>
    <cellStyle name="level1a 2 2 2 2 2 2 2 2" xfId="899"/>
    <cellStyle name="level1a 2 2 2 2 2 2 2 2 2" xfId="25336"/>
    <cellStyle name="level1a 2 2 2 2 2 2 2 3" xfId="25337"/>
    <cellStyle name="level1a 2 2 2 2 2 2 3" xfId="900"/>
    <cellStyle name="level1a 2 2 2 2 2 2 3 2" xfId="25338"/>
    <cellStyle name="level1a 2 2 2 2 2 2 4" xfId="25339"/>
    <cellStyle name="level1a 2 2 2 2 2 3" xfId="901"/>
    <cellStyle name="level1a 2 2 2 2 2 3 2" xfId="902"/>
    <cellStyle name="level1a 2 2 2 2 2 3 2 2" xfId="903"/>
    <cellStyle name="level1a 2 2 2 2 2 3 2 2 2" xfId="25340"/>
    <cellStyle name="level1a 2 2 2 2 2 3 2 3" xfId="25341"/>
    <cellStyle name="level1a 2 2 2 2 2 3 3" xfId="904"/>
    <cellStyle name="level1a 2 2 2 2 2 3 3 2" xfId="25342"/>
    <cellStyle name="level1a 2 2 2 2 2 3 4" xfId="25343"/>
    <cellStyle name="level1a 2 2 2 2 2 4" xfId="905"/>
    <cellStyle name="level1a 2 2 2 2 2 4 2" xfId="25344"/>
    <cellStyle name="level1a 2 2 2 2 2 5" xfId="906"/>
    <cellStyle name="level1a 2 2 2 2 2 5 2" xfId="907"/>
    <cellStyle name="level1a 2 2 2 2 2 5 2 2" xfId="25345"/>
    <cellStyle name="level1a 2 2 2 2 2 5 3" xfId="25346"/>
    <cellStyle name="level1a 2 2 2 2 2 6" xfId="25347"/>
    <cellStyle name="level1a 2 2 2 2 3" xfId="908"/>
    <cellStyle name="level1a 2 2 2 2 3 2" xfId="909"/>
    <cellStyle name="level1a 2 2 2 2 3 2 2" xfId="910"/>
    <cellStyle name="level1a 2 2 2 2 3 2 2 2" xfId="911"/>
    <cellStyle name="level1a 2 2 2 2 3 2 2 2 2" xfId="25348"/>
    <cellStyle name="level1a 2 2 2 2 3 2 2 3" xfId="25349"/>
    <cellStyle name="level1a 2 2 2 2 3 2 3" xfId="912"/>
    <cellStyle name="level1a 2 2 2 2 3 2 3 2" xfId="25350"/>
    <cellStyle name="level1a 2 2 2 2 3 2 4" xfId="25351"/>
    <cellStyle name="level1a 2 2 2 2 3 3" xfId="913"/>
    <cellStyle name="level1a 2 2 2 2 3 3 2" xfId="914"/>
    <cellStyle name="level1a 2 2 2 2 3 3 2 2" xfId="915"/>
    <cellStyle name="level1a 2 2 2 2 3 3 2 2 2" xfId="25352"/>
    <cellStyle name="level1a 2 2 2 2 3 3 2 3" xfId="25353"/>
    <cellStyle name="level1a 2 2 2 2 3 3 3" xfId="916"/>
    <cellStyle name="level1a 2 2 2 2 3 3 3 2" xfId="25354"/>
    <cellStyle name="level1a 2 2 2 2 3 3 4" xfId="25355"/>
    <cellStyle name="level1a 2 2 2 2 3 4" xfId="917"/>
    <cellStyle name="level1a 2 2 2 2 3 4 2" xfId="25356"/>
    <cellStyle name="level1a 2 2 2 2 3 5" xfId="918"/>
    <cellStyle name="level1a 2 2 2 2 3 5 2" xfId="25357"/>
    <cellStyle name="level1a 2 2 2 2 3 6" xfId="25358"/>
    <cellStyle name="level1a 2 2 2 2 4" xfId="919"/>
    <cellStyle name="level1a 2 2 2 2 4 2" xfId="920"/>
    <cellStyle name="level1a 2 2 2 2 4 2 2" xfId="921"/>
    <cellStyle name="level1a 2 2 2 2 4 2 2 2" xfId="922"/>
    <cellStyle name="level1a 2 2 2 2 4 2 2 2 2" xfId="25359"/>
    <cellStyle name="level1a 2 2 2 2 4 2 2 3" xfId="25360"/>
    <cellStyle name="level1a 2 2 2 2 4 2 3" xfId="923"/>
    <cellStyle name="level1a 2 2 2 2 4 2 3 2" xfId="25361"/>
    <cellStyle name="level1a 2 2 2 2 4 2 4" xfId="25362"/>
    <cellStyle name="level1a 2 2 2 2 4 3" xfId="924"/>
    <cellStyle name="level1a 2 2 2 2 4 3 2" xfId="925"/>
    <cellStyle name="level1a 2 2 2 2 4 3 2 2" xfId="926"/>
    <cellStyle name="level1a 2 2 2 2 4 3 2 2 2" xfId="25363"/>
    <cellStyle name="level1a 2 2 2 2 4 3 2 3" xfId="25364"/>
    <cellStyle name="level1a 2 2 2 2 4 3 3" xfId="927"/>
    <cellStyle name="level1a 2 2 2 2 4 3 3 2" xfId="25365"/>
    <cellStyle name="level1a 2 2 2 2 4 3 4" xfId="25366"/>
    <cellStyle name="level1a 2 2 2 2 4 4" xfId="928"/>
    <cellStyle name="level1a 2 2 2 2 4 4 2" xfId="25367"/>
    <cellStyle name="level1a 2 2 2 2 4 5" xfId="929"/>
    <cellStyle name="level1a 2 2 2 2 4 5 2" xfId="930"/>
    <cellStyle name="level1a 2 2 2 2 4 5 2 2" xfId="25368"/>
    <cellStyle name="level1a 2 2 2 2 4 5 3" xfId="25369"/>
    <cellStyle name="level1a 2 2 2 2 4 6" xfId="931"/>
    <cellStyle name="level1a 2 2 2 2 4 6 2" xfId="25370"/>
    <cellStyle name="level1a 2 2 2 2 4 7" xfId="25371"/>
    <cellStyle name="level1a 2 2 2 2 5" xfId="932"/>
    <cellStyle name="level1a 2 2 2 2 5 2" xfId="933"/>
    <cellStyle name="level1a 2 2 2 2 5 2 2" xfId="934"/>
    <cellStyle name="level1a 2 2 2 2 5 2 2 2" xfId="935"/>
    <cellStyle name="level1a 2 2 2 2 5 2 2 2 2" xfId="25372"/>
    <cellStyle name="level1a 2 2 2 2 5 2 2 3" xfId="25373"/>
    <cellStyle name="level1a 2 2 2 2 5 2 3" xfId="936"/>
    <cellStyle name="level1a 2 2 2 2 5 2 3 2" xfId="25374"/>
    <cellStyle name="level1a 2 2 2 2 5 2 4" xfId="25375"/>
    <cellStyle name="level1a 2 2 2 2 5 3" xfId="937"/>
    <cellStyle name="level1a 2 2 2 2 5 3 2" xfId="938"/>
    <cellStyle name="level1a 2 2 2 2 5 3 2 2" xfId="939"/>
    <cellStyle name="level1a 2 2 2 2 5 3 2 2 2" xfId="25376"/>
    <cellStyle name="level1a 2 2 2 2 5 3 2 3" xfId="25377"/>
    <cellStyle name="level1a 2 2 2 2 5 3 3" xfId="940"/>
    <cellStyle name="level1a 2 2 2 2 5 3 3 2" xfId="25378"/>
    <cellStyle name="level1a 2 2 2 2 5 3 4" xfId="25379"/>
    <cellStyle name="level1a 2 2 2 2 5 4" xfId="941"/>
    <cellStyle name="level1a 2 2 2 2 5 4 2" xfId="942"/>
    <cellStyle name="level1a 2 2 2 2 5 4 2 2" xfId="25380"/>
    <cellStyle name="level1a 2 2 2 2 5 4 3" xfId="25381"/>
    <cellStyle name="level1a 2 2 2 2 5 5" xfId="943"/>
    <cellStyle name="level1a 2 2 2 2 5 5 2" xfId="25382"/>
    <cellStyle name="level1a 2 2 2 2 5 6" xfId="25383"/>
    <cellStyle name="level1a 2 2 2 2 6" xfId="944"/>
    <cellStyle name="level1a 2 2 2 2 6 2" xfId="945"/>
    <cellStyle name="level1a 2 2 2 2 6 2 2" xfId="946"/>
    <cellStyle name="level1a 2 2 2 2 6 2 2 2" xfId="947"/>
    <cellStyle name="level1a 2 2 2 2 6 2 2 2 2" xfId="25384"/>
    <cellStyle name="level1a 2 2 2 2 6 2 2 3" xfId="25385"/>
    <cellStyle name="level1a 2 2 2 2 6 2 3" xfId="948"/>
    <cellStyle name="level1a 2 2 2 2 6 2 3 2" xfId="25386"/>
    <cellStyle name="level1a 2 2 2 2 6 2 4" xfId="25387"/>
    <cellStyle name="level1a 2 2 2 2 6 3" xfId="949"/>
    <cellStyle name="level1a 2 2 2 2 6 3 2" xfId="950"/>
    <cellStyle name="level1a 2 2 2 2 6 3 2 2" xfId="951"/>
    <cellStyle name="level1a 2 2 2 2 6 3 2 2 2" xfId="25388"/>
    <cellStyle name="level1a 2 2 2 2 6 3 2 3" xfId="25389"/>
    <cellStyle name="level1a 2 2 2 2 6 3 3" xfId="952"/>
    <cellStyle name="level1a 2 2 2 2 6 3 3 2" xfId="25390"/>
    <cellStyle name="level1a 2 2 2 2 6 3 4" xfId="25391"/>
    <cellStyle name="level1a 2 2 2 2 6 4" xfId="953"/>
    <cellStyle name="level1a 2 2 2 2 6 4 2" xfId="954"/>
    <cellStyle name="level1a 2 2 2 2 6 4 2 2" xfId="25392"/>
    <cellStyle name="level1a 2 2 2 2 6 4 3" xfId="25393"/>
    <cellStyle name="level1a 2 2 2 2 6 5" xfId="955"/>
    <cellStyle name="level1a 2 2 2 2 6 5 2" xfId="25394"/>
    <cellStyle name="level1a 2 2 2 2 6 6" xfId="25395"/>
    <cellStyle name="level1a 2 2 2 2 7" xfId="956"/>
    <cellStyle name="level1a 2 2 2 2 7 2" xfId="957"/>
    <cellStyle name="level1a 2 2 2 2 7 2 2" xfId="958"/>
    <cellStyle name="level1a 2 2 2 2 7 2 2 2" xfId="25396"/>
    <cellStyle name="level1a 2 2 2 2 7 2 3" xfId="25397"/>
    <cellStyle name="level1a 2 2 2 2 7 3" xfId="959"/>
    <cellStyle name="level1a 2 2 2 2 7 3 2" xfId="25398"/>
    <cellStyle name="level1a 2 2 2 2 7 4" xfId="25399"/>
    <cellStyle name="level1a 2 2 2 2 8" xfId="25400"/>
    <cellStyle name="level1a 2 2 2 2_STUD aligned by INSTIT" xfId="960"/>
    <cellStyle name="level1a 2 2 2 3" xfId="961"/>
    <cellStyle name="level1a 2 2 2 3 2" xfId="962"/>
    <cellStyle name="level1a 2 2 2 3 2 2" xfId="963"/>
    <cellStyle name="level1a 2 2 2 3 2 2 2" xfId="964"/>
    <cellStyle name="level1a 2 2 2 3 2 2 2 2" xfId="965"/>
    <cellStyle name="level1a 2 2 2 3 2 2 2 2 2" xfId="25401"/>
    <cellStyle name="level1a 2 2 2 3 2 2 2 3" xfId="25402"/>
    <cellStyle name="level1a 2 2 2 3 2 2 3" xfId="966"/>
    <cellStyle name="level1a 2 2 2 3 2 2 3 2" xfId="25403"/>
    <cellStyle name="level1a 2 2 2 3 2 2 4" xfId="25404"/>
    <cellStyle name="level1a 2 2 2 3 2 3" xfId="967"/>
    <cellStyle name="level1a 2 2 2 3 2 3 2" xfId="968"/>
    <cellStyle name="level1a 2 2 2 3 2 3 2 2" xfId="969"/>
    <cellStyle name="level1a 2 2 2 3 2 3 2 2 2" xfId="25405"/>
    <cellStyle name="level1a 2 2 2 3 2 3 2 3" xfId="25406"/>
    <cellStyle name="level1a 2 2 2 3 2 3 3" xfId="970"/>
    <cellStyle name="level1a 2 2 2 3 2 3 3 2" xfId="25407"/>
    <cellStyle name="level1a 2 2 2 3 2 3 4" xfId="25408"/>
    <cellStyle name="level1a 2 2 2 3 2 4" xfId="971"/>
    <cellStyle name="level1a 2 2 2 3 2 4 2" xfId="25409"/>
    <cellStyle name="level1a 2 2 2 3 2 5" xfId="972"/>
    <cellStyle name="level1a 2 2 2 3 2 5 2" xfId="25410"/>
    <cellStyle name="level1a 2 2 2 3 2 6" xfId="25411"/>
    <cellStyle name="level1a 2 2 2 3 3" xfId="973"/>
    <cellStyle name="level1a 2 2 2 3 3 2" xfId="974"/>
    <cellStyle name="level1a 2 2 2 3 3 2 2" xfId="975"/>
    <cellStyle name="level1a 2 2 2 3 3 2 2 2" xfId="976"/>
    <cellStyle name="level1a 2 2 2 3 3 2 2 2 2" xfId="25412"/>
    <cellStyle name="level1a 2 2 2 3 3 2 2 3" xfId="25413"/>
    <cellStyle name="level1a 2 2 2 3 3 2 3" xfId="977"/>
    <cellStyle name="level1a 2 2 2 3 3 2 3 2" xfId="25414"/>
    <cellStyle name="level1a 2 2 2 3 3 2 4" xfId="25415"/>
    <cellStyle name="level1a 2 2 2 3 3 3" xfId="978"/>
    <cellStyle name="level1a 2 2 2 3 3 3 2" xfId="979"/>
    <cellStyle name="level1a 2 2 2 3 3 3 2 2" xfId="980"/>
    <cellStyle name="level1a 2 2 2 3 3 3 2 2 2" xfId="25416"/>
    <cellStyle name="level1a 2 2 2 3 3 3 2 3" xfId="25417"/>
    <cellStyle name="level1a 2 2 2 3 3 3 3" xfId="981"/>
    <cellStyle name="level1a 2 2 2 3 3 3 3 2" xfId="25418"/>
    <cellStyle name="level1a 2 2 2 3 3 3 4" xfId="25419"/>
    <cellStyle name="level1a 2 2 2 3 3 4" xfId="982"/>
    <cellStyle name="level1a 2 2 2 3 3 4 2" xfId="983"/>
    <cellStyle name="level1a 2 2 2 3 3 4 2 2" xfId="25420"/>
    <cellStyle name="level1a 2 2 2 3 3 4 3" xfId="25421"/>
    <cellStyle name="level1a 2 2 2 3 3 5" xfId="25422"/>
    <cellStyle name="level1a 2 2 2 3 4" xfId="984"/>
    <cellStyle name="level1a 2 2 2 3 4 2" xfId="985"/>
    <cellStyle name="level1a 2 2 2 3 4 2 2" xfId="986"/>
    <cellStyle name="level1a 2 2 2 3 4 2 2 2" xfId="987"/>
    <cellStyle name="level1a 2 2 2 3 4 2 2 2 2" xfId="25423"/>
    <cellStyle name="level1a 2 2 2 3 4 2 2 3" xfId="25424"/>
    <cellStyle name="level1a 2 2 2 3 4 2 3" xfId="988"/>
    <cellStyle name="level1a 2 2 2 3 4 2 3 2" xfId="25425"/>
    <cellStyle name="level1a 2 2 2 3 4 2 4" xfId="25426"/>
    <cellStyle name="level1a 2 2 2 3 4 3" xfId="989"/>
    <cellStyle name="level1a 2 2 2 3 4 3 2" xfId="990"/>
    <cellStyle name="level1a 2 2 2 3 4 3 2 2" xfId="991"/>
    <cellStyle name="level1a 2 2 2 3 4 3 2 2 2" xfId="25427"/>
    <cellStyle name="level1a 2 2 2 3 4 3 2 3" xfId="25428"/>
    <cellStyle name="level1a 2 2 2 3 4 3 3" xfId="992"/>
    <cellStyle name="level1a 2 2 2 3 4 3 3 2" xfId="25429"/>
    <cellStyle name="level1a 2 2 2 3 4 3 4" xfId="25430"/>
    <cellStyle name="level1a 2 2 2 3 4 4" xfId="993"/>
    <cellStyle name="level1a 2 2 2 3 4 4 2" xfId="994"/>
    <cellStyle name="level1a 2 2 2 3 4 4 2 2" xfId="25431"/>
    <cellStyle name="level1a 2 2 2 3 4 4 3" xfId="25432"/>
    <cellStyle name="level1a 2 2 2 3 4 5" xfId="995"/>
    <cellStyle name="level1a 2 2 2 3 4 5 2" xfId="25433"/>
    <cellStyle name="level1a 2 2 2 3 4 6" xfId="25434"/>
    <cellStyle name="level1a 2 2 2 3 5" xfId="996"/>
    <cellStyle name="level1a 2 2 2 3 5 2" xfId="997"/>
    <cellStyle name="level1a 2 2 2 3 5 2 2" xfId="998"/>
    <cellStyle name="level1a 2 2 2 3 5 2 2 2" xfId="999"/>
    <cellStyle name="level1a 2 2 2 3 5 2 2 2 2" xfId="25435"/>
    <cellStyle name="level1a 2 2 2 3 5 2 2 3" xfId="25436"/>
    <cellStyle name="level1a 2 2 2 3 5 2 3" xfId="1000"/>
    <cellStyle name="level1a 2 2 2 3 5 2 3 2" xfId="25437"/>
    <cellStyle name="level1a 2 2 2 3 5 2 4" xfId="25438"/>
    <cellStyle name="level1a 2 2 2 3 5 3" xfId="1001"/>
    <cellStyle name="level1a 2 2 2 3 5 3 2" xfId="1002"/>
    <cellStyle name="level1a 2 2 2 3 5 3 2 2" xfId="1003"/>
    <cellStyle name="level1a 2 2 2 3 5 3 2 2 2" xfId="25439"/>
    <cellStyle name="level1a 2 2 2 3 5 3 2 3" xfId="25440"/>
    <cellStyle name="level1a 2 2 2 3 5 3 3" xfId="1004"/>
    <cellStyle name="level1a 2 2 2 3 5 3 3 2" xfId="25441"/>
    <cellStyle name="level1a 2 2 2 3 5 3 4" xfId="25442"/>
    <cellStyle name="level1a 2 2 2 3 5 4" xfId="1005"/>
    <cellStyle name="level1a 2 2 2 3 5 4 2" xfId="1006"/>
    <cellStyle name="level1a 2 2 2 3 5 4 2 2" xfId="25443"/>
    <cellStyle name="level1a 2 2 2 3 5 4 3" xfId="25444"/>
    <cellStyle name="level1a 2 2 2 3 5 5" xfId="1007"/>
    <cellStyle name="level1a 2 2 2 3 5 5 2" xfId="25445"/>
    <cellStyle name="level1a 2 2 2 3 5 6" xfId="25446"/>
    <cellStyle name="level1a 2 2 2 3 6" xfId="1008"/>
    <cellStyle name="level1a 2 2 2 3 6 2" xfId="1009"/>
    <cellStyle name="level1a 2 2 2 3 6 2 2" xfId="1010"/>
    <cellStyle name="level1a 2 2 2 3 6 2 2 2" xfId="1011"/>
    <cellStyle name="level1a 2 2 2 3 6 2 2 2 2" xfId="25447"/>
    <cellStyle name="level1a 2 2 2 3 6 2 2 3" xfId="25448"/>
    <cellStyle name="level1a 2 2 2 3 6 2 3" xfId="1012"/>
    <cellStyle name="level1a 2 2 2 3 6 2 3 2" xfId="25449"/>
    <cellStyle name="level1a 2 2 2 3 6 2 4" xfId="25450"/>
    <cellStyle name="level1a 2 2 2 3 6 3" xfId="1013"/>
    <cellStyle name="level1a 2 2 2 3 6 3 2" xfId="1014"/>
    <cellStyle name="level1a 2 2 2 3 6 3 2 2" xfId="1015"/>
    <cellStyle name="level1a 2 2 2 3 6 3 2 2 2" xfId="25451"/>
    <cellStyle name="level1a 2 2 2 3 6 3 2 3" xfId="25452"/>
    <cellStyle name="level1a 2 2 2 3 6 3 3" xfId="1016"/>
    <cellStyle name="level1a 2 2 2 3 6 3 3 2" xfId="25453"/>
    <cellStyle name="level1a 2 2 2 3 6 3 4" xfId="25454"/>
    <cellStyle name="level1a 2 2 2 3 6 4" xfId="1017"/>
    <cellStyle name="level1a 2 2 2 3 6 4 2" xfId="1018"/>
    <cellStyle name="level1a 2 2 2 3 6 4 2 2" xfId="25455"/>
    <cellStyle name="level1a 2 2 2 3 6 4 3" xfId="25456"/>
    <cellStyle name="level1a 2 2 2 3 6 5" xfId="1019"/>
    <cellStyle name="level1a 2 2 2 3 6 5 2" xfId="25457"/>
    <cellStyle name="level1a 2 2 2 3 6 6" xfId="25458"/>
    <cellStyle name="level1a 2 2 2 3 7" xfId="1020"/>
    <cellStyle name="level1a 2 2 2 3 7 2" xfId="1021"/>
    <cellStyle name="level1a 2 2 2 3 7 2 2" xfId="1022"/>
    <cellStyle name="level1a 2 2 2 3 7 2 2 2" xfId="25459"/>
    <cellStyle name="level1a 2 2 2 3 7 2 3" xfId="25460"/>
    <cellStyle name="level1a 2 2 2 3 7 3" xfId="1023"/>
    <cellStyle name="level1a 2 2 2 3 7 3 2" xfId="25461"/>
    <cellStyle name="level1a 2 2 2 3 7 4" xfId="25462"/>
    <cellStyle name="level1a 2 2 2 3 8" xfId="1024"/>
    <cellStyle name="level1a 2 2 2 3 8 2" xfId="1025"/>
    <cellStyle name="level1a 2 2 2 3 8 2 2" xfId="1026"/>
    <cellStyle name="level1a 2 2 2 3 8 2 2 2" xfId="25463"/>
    <cellStyle name="level1a 2 2 2 3 8 2 3" xfId="25464"/>
    <cellStyle name="level1a 2 2 2 3 8 3" xfId="1027"/>
    <cellStyle name="level1a 2 2 2 3 8 3 2" xfId="25465"/>
    <cellStyle name="level1a 2 2 2 3 8 4" xfId="25466"/>
    <cellStyle name="level1a 2 2 2 3 9" xfId="25467"/>
    <cellStyle name="level1a 2 2 2 3_STUD aligned by INSTIT" xfId="1028"/>
    <cellStyle name="level1a 2 2 2 4" xfId="1029"/>
    <cellStyle name="level1a 2 2 2 4 2" xfId="1030"/>
    <cellStyle name="level1a 2 2 2 4 2 2" xfId="1031"/>
    <cellStyle name="level1a 2 2 2 4 2 2 2" xfId="1032"/>
    <cellStyle name="level1a 2 2 2 4 2 2 2 2" xfId="25468"/>
    <cellStyle name="level1a 2 2 2 4 2 2 3" xfId="25469"/>
    <cellStyle name="level1a 2 2 2 4 2 3" xfId="1033"/>
    <cellStyle name="level1a 2 2 2 4 2 3 2" xfId="25470"/>
    <cellStyle name="level1a 2 2 2 4 2 4" xfId="25471"/>
    <cellStyle name="level1a 2 2 2 4 3" xfId="1034"/>
    <cellStyle name="level1a 2 2 2 4 3 2" xfId="1035"/>
    <cellStyle name="level1a 2 2 2 4 3 2 2" xfId="1036"/>
    <cellStyle name="level1a 2 2 2 4 3 2 2 2" xfId="25472"/>
    <cellStyle name="level1a 2 2 2 4 3 2 3" xfId="25473"/>
    <cellStyle name="level1a 2 2 2 4 3 3" xfId="1037"/>
    <cellStyle name="level1a 2 2 2 4 3 3 2" xfId="25474"/>
    <cellStyle name="level1a 2 2 2 4 3 4" xfId="25475"/>
    <cellStyle name="level1a 2 2 2 4 4" xfId="1038"/>
    <cellStyle name="level1a 2 2 2 4 4 2" xfId="25476"/>
    <cellStyle name="level1a 2 2 2 4 5" xfId="1039"/>
    <cellStyle name="level1a 2 2 2 4 5 2" xfId="1040"/>
    <cellStyle name="level1a 2 2 2 4 5 2 2" xfId="25477"/>
    <cellStyle name="level1a 2 2 2 4 5 3" xfId="25478"/>
    <cellStyle name="level1a 2 2 2 4 6" xfId="25479"/>
    <cellStyle name="level1a 2 2 2 5" xfId="1041"/>
    <cellStyle name="level1a 2 2 2 5 2" xfId="1042"/>
    <cellStyle name="level1a 2 2 2 5 2 2" xfId="1043"/>
    <cellStyle name="level1a 2 2 2 5 2 2 2" xfId="1044"/>
    <cellStyle name="level1a 2 2 2 5 2 2 2 2" xfId="25480"/>
    <cellStyle name="level1a 2 2 2 5 2 2 3" xfId="25481"/>
    <cellStyle name="level1a 2 2 2 5 2 3" xfId="1045"/>
    <cellStyle name="level1a 2 2 2 5 2 3 2" xfId="25482"/>
    <cellStyle name="level1a 2 2 2 5 2 4" xfId="25483"/>
    <cellStyle name="level1a 2 2 2 5 3" xfId="1046"/>
    <cellStyle name="level1a 2 2 2 5 3 2" xfId="1047"/>
    <cellStyle name="level1a 2 2 2 5 3 2 2" xfId="1048"/>
    <cellStyle name="level1a 2 2 2 5 3 2 2 2" xfId="25484"/>
    <cellStyle name="level1a 2 2 2 5 3 2 3" xfId="25485"/>
    <cellStyle name="level1a 2 2 2 5 3 3" xfId="1049"/>
    <cellStyle name="level1a 2 2 2 5 3 3 2" xfId="25486"/>
    <cellStyle name="level1a 2 2 2 5 3 4" xfId="25487"/>
    <cellStyle name="level1a 2 2 2 5 4" xfId="1050"/>
    <cellStyle name="level1a 2 2 2 5 4 2" xfId="25488"/>
    <cellStyle name="level1a 2 2 2 5 5" xfId="1051"/>
    <cellStyle name="level1a 2 2 2 5 5 2" xfId="1052"/>
    <cellStyle name="level1a 2 2 2 5 5 2 2" xfId="25489"/>
    <cellStyle name="level1a 2 2 2 5 5 3" xfId="25490"/>
    <cellStyle name="level1a 2 2 2 5 6" xfId="1053"/>
    <cellStyle name="level1a 2 2 2 5 6 2" xfId="25491"/>
    <cellStyle name="level1a 2 2 2 5 7" xfId="25492"/>
    <cellStyle name="level1a 2 2 2 6" xfId="1054"/>
    <cellStyle name="level1a 2 2 2 6 2" xfId="1055"/>
    <cellStyle name="level1a 2 2 2 6 2 2" xfId="1056"/>
    <cellStyle name="level1a 2 2 2 6 2 2 2" xfId="1057"/>
    <cellStyle name="level1a 2 2 2 6 2 2 2 2" xfId="25493"/>
    <cellStyle name="level1a 2 2 2 6 2 2 3" xfId="25494"/>
    <cellStyle name="level1a 2 2 2 6 2 3" xfId="1058"/>
    <cellStyle name="level1a 2 2 2 6 2 3 2" xfId="25495"/>
    <cellStyle name="level1a 2 2 2 6 2 4" xfId="25496"/>
    <cellStyle name="level1a 2 2 2 6 3" xfId="1059"/>
    <cellStyle name="level1a 2 2 2 6 3 2" xfId="1060"/>
    <cellStyle name="level1a 2 2 2 6 3 2 2" xfId="1061"/>
    <cellStyle name="level1a 2 2 2 6 3 2 2 2" xfId="25497"/>
    <cellStyle name="level1a 2 2 2 6 3 2 3" xfId="25498"/>
    <cellStyle name="level1a 2 2 2 6 3 3" xfId="1062"/>
    <cellStyle name="level1a 2 2 2 6 3 3 2" xfId="25499"/>
    <cellStyle name="level1a 2 2 2 6 3 4" xfId="25500"/>
    <cellStyle name="level1a 2 2 2 6 4" xfId="1063"/>
    <cellStyle name="level1a 2 2 2 6 4 2" xfId="25501"/>
    <cellStyle name="level1a 2 2 2 6 5" xfId="1064"/>
    <cellStyle name="level1a 2 2 2 6 5 2" xfId="25502"/>
    <cellStyle name="level1a 2 2 2 6 6" xfId="25503"/>
    <cellStyle name="level1a 2 2 2 7" xfId="1065"/>
    <cellStyle name="level1a 2 2 2 7 2" xfId="1066"/>
    <cellStyle name="level1a 2 2 2 7 2 2" xfId="1067"/>
    <cellStyle name="level1a 2 2 2 7 2 2 2" xfId="1068"/>
    <cellStyle name="level1a 2 2 2 7 2 2 2 2" xfId="25504"/>
    <cellStyle name="level1a 2 2 2 7 2 2 3" xfId="25505"/>
    <cellStyle name="level1a 2 2 2 7 2 3" xfId="1069"/>
    <cellStyle name="level1a 2 2 2 7 2 3 2" xfId="25506"/>
    <cellStyle name="level1a 2 2 2 7 2 4" xfId="25507"/>
    <cellStyle name="level1a 2 2 2 7 3" xfId="1070"/>
    <cellStyle name="level1a 2 2 2 7 3 2" xfId="1071"/>
    <cellStyle name="level1a 2 2 2 7 3 2 2" xfId="1072"/>
    <cellStyle name="level1a 2 2 2 7 3 2 2 2" xfId="25508"/>
    <cellStyle name="level1a 2 2 2 7 3 2 3" xfId="25509"/>
    <cellStyle name="level1a 2 2 2 7 3 3" xfId="1073"/>
    <cellStyle name="level1a 2 2 2 7 3 3 2" xfId="25510"/>
    <cellStyle name="level1a 2 2 2 7 3 4" xfId="25511"/>
    <cellStyle name="level1a 2 2 2 7 4" xfId="1074"/>
    <cellStyle name="level1a 2 2 2 7 4 2" xfId="25512"/>
    <cellStyle name="level1a 2 2 2 7 5" xfId="1075"/>
    <cellStyle name="level1a 2 2 2 7 5 2" xfId="1076"/>
    <cellStyle name="level1a 2 2 2 7 5 2 2" xfId="25513"/>
    <cellStyle name="level1a 2 2 2 7 5 3" xfId="25514"/>
    <cellStyle name="level1a 2 2 2 7 6" xfId="1077"/>
    <cellStyle name="level1a 2 2 2 7 6 2" xfId="25515"/>
    <cellStyle name="level1a 2 2 2 7 7" xfId="25516"/>
    <cellStyle name="level1a 2 2 2 8" xfId="1078"/>
    <cellStyle name="level1a 2 2 2 8 2" xfId="1079"/>
    <cellStyle name="level1a 2 2 2 8 2 2" xfId="1080"/>
    <cellStyle name="level1a 2 2 2 8 2 2 2" xfId="1081"/>
    <cellStyle name="level1a 2 2 2 8 2 2 2 2" xfId="25517"/>
    <cellStyle name="level1a 2 2 2 8 2 2 3" xfId="25518"/>
    <cellStyle name="level1a 2 2 2 8 2 3" xfId="1082"/>
    <cellStyle name="level1a 2 2 2 8 2 3 2" xfId="25519"/>
    <cellStyle name="level1a 2 2 2 8 2 4" xfId="25520"/>
    <cellStyle name="level1a 2 2 2 8 3" xfId="1083"/>
    <cellStyle name="level1a 2 2 2 8 3 2" xfId="1084"/>
    <cellStyle name="level1a 2 2 2 8 3 2 2" xfId="1085"/>
    <cellStyle name="level1a 2 2 2 8 3 2 2 2" xfId="25521"/>
    <cellStyle name="level1a 2 2 2 8 3 2 3" xfId="25522"/>
    <cellStyle name="level1a 2 2 2 8 3 3" xfId="1086"/>
    <cellStyle name="level1a 2 2 2 8 3 3 2" xfId="25523"/>
    <cellStyle name="level1a 2 2 2 8 3 4" xfId="25524"/>
    <cellStyle name="level1a 2 2 2 8 4" xfId="1087"/>
    <cellStyle name="level1a 2 2 2 8 4 2" xfId="1088"/>
    <cellStyle name="level1a 2 2 2 8 4 2 2" xfId="25525"/>
    <cellStyle name="level1a 2 2 2 8 4 3" xfId="25526"/>
    <cellStyle name="level1a 2 2 2 8 5" xfId="1089"/>
    <cellStyle name="level1a 2 2 2 8 5 2" xfId="25527"/>
    <cellStyle name="level1a 2 2 2 8 6" xfId="25528"/>
    <cellStyle name="level1a 2 2 2 9" xfId="1090"/>
    <cellStyle name="level1a 2 2 2 9 2" xfId="1091"/>
    <cellStyle name="level1a 2 2 2 9 2 2" xfId="1092"/>
    <cellStyle name="level1a 2 2 2 9 2 2 2" xfId="25529"/>
    <cellStyle name="level1a 2 2 2 9 2 3" xfId="25530"/>
    <cellStyle name="level1a 2 2 2 9 3" xfId="1093"/>
    <cellStyle name="level1a 2 2 2 9 3 2" xfId="25531"/>
    <cellStyle name="level1a 2 2 2 9 4" xfId="25532"/>
    <cellStyle name="level1a 2 2 2_STUD aligned by INSTIT" xfId="1094"/>
    <cellStyle name="level1a 2 2 3" xfId="1095"/>
    <cellStyle name="level1a 2 2 3 10" xfId="1096"/>
    <cellStyle name="level1a 2 2 3 10 2" xfId="25533"/>
    <cellStyle name="level1a 2 2 3 11" xfId="25534"/>
    <cellStyle name="level1a 2 2 3 2" xfId="1097"/>
    <cellStyle name="level1a 2 2 3 2 2" xfId="1098"/>
    <cellStyle name="level1a 2 2 3 2 2 2" xfId="1099"/>
    <cellStyle name="level1a 2 2 3 2 2 2 2" xfId="1100"/>
    <cellStyle name="level1a 2 2 3 2 2 2 2 2" xfId="1101"/>
    <cellStyle name="level1a 2 2 3 2 2 2 2 2 2" xfId="25535"/>
    <cellStyle name="level1a 2 2 3 2 2 2 2 3" xfId="25536"/>
    <cellStyle name="level1a 2 2 3 2 2 2 3" xfId="1102"/>
    <cellStyle name="level1a 2 2 3 2 2 2 3 2" xfId="25537"/>
    <cellStyle name="level1a 2 2 3 2 2 2 4" xfId="25538"/>
    <cellStyle name="level1a 2 2 3 2 2 3" xfId="1103"/>
    <cellStyle name="level1a 2 2 3 2 2 3 2" xfId="1104"/>
    <cellStyle name="level1a 2 2 3 2 2 3 2 2" xfId="1105"/>
    <cellStyle name="level1a 2 2 3 2 2 3 2 2 2" xfId="25539"/>
    <cellStyle name="level1a 2 2 3 2 2 3 2 3" xfId="25540"/>
    <cellStyle name="level1a 2 2 3 2 2 3 3" xfId="1106"/>
    <cellStyle name="level1a 2 2 3 2 2 3 3 2" xfId="25541"/>
    <cellStyle name="level1a 2 2 3 2 2 3 4" xfId="25542"/>
    <cellStyle name="level1a 2 2 3 2 2 4" xfId="1107"/>
    <cellStyle name="level1a 2 2 3 2 2 4 2" xfId="25543"/>
    <cellStyle name="level1a 2 2 3 2 2 5" xfId="1108"/>
    <cellStyle name="level1a 2 2 3 2 2 5 2" xfId="1109"/>
    <cellStyle name="level1a 2 2 3 2 2 5 2 2" xfId="25544"/>
    <cellStyle name="level1a 2 2 3 2 2 5 3" xfId="25545"/>
    <cellStyle name="level1a 2 2 3 2 2 6" xfId="25546"/>
    <cellStyle name="level1a 2 2 3 2 3" xfId="1110"/>
    <cellStyle name="level1a 2 2 3 2 3 2" xfId="1111"/>
    <cellStyle name="level1a 2 2 3 2 3 2 2" xfId="1112"/>
    <cellStyle name="level1a 2 2 3 2 3 2 2 2" xfId="1113"/>
    <cellStyle name="level1a 2 2 3 2 3 2 2 2 2" xfId="25547"/>
    <cellStyle name="level1a 2 2 3 2 3 2 2 3" xfId="25548"/>
    <cellStyle name="level1a 2 2 3 2 3 2 3" xfId="1114"/>
    <cellStyle name="level1a 2 2 3 2 3 2 3 2" xfId="25549"/>
    <cellStyle name="level1a 2 2 3 2 3 2 4" xfId="25550"/>
    <cellStyle name="level1a 2 2 3 2 3 3" xfId="1115"/>
    <cellStyle name="level1a 2 2 3 2 3 3 2" xfId="1116"/>
    <cellStyle name="level1a 2 2 3 2 3 3 2 2" xfId="1117"/>
    <cellStyle name="level1a 2 2 3 2 3 3 2 2 2" xfId="25551"/>
    <cellStyle name="level1a 2 2 3 2 3 3 2 3" xfId="25552"/>
    <cellStyle name="level1a 2 2 3 2 3 3 3" xfId="1118"/>
    <cellStyle name="level1a 2 2 3 2 3 3 3 2" xfId="25553"/>
    <cellStyle name="level1a 2 2 3 2 3 3 4" xfId="25554"/>
    <cellStyle name="level1a 2 2 3 2 3 4" xfId="1119"/>
    <cellStyle name="level1a 2 2 3 2 3 4 2" xfId="25555"/>
    <cellStyle name="level1a 2 2 3 2 3 5" xfId="1120"/>
    <cellStyle name="level1a 2 2 3 2 3 5 2" xfId="25556"/>
    <cellStyle name="level1a 2 2 3 2 3 6" xfId="25557"/>
    <cellStyle name="level1a 2 2 3 2 4" xfId="1121"/>
    <cellStyle name="level1a 2 2 3 2 4 2" xfId="1122"/>
    <cellStyle name="level1a 2 2 3 2 4 2 2" xfId="1123"/>
    <cellStyle name="level1a 2 2 3 2 4 2 2 2" xfId="1124"/>
    <cellStyle name="level1a 2 2 3 2 4 2 2 2 2" xfId="25558"/>
    <cellStyle name="level1a 2 2 3 2 4 2 2 3" xfId="25559"/>
    <cellStyle name="level1a 2 2 3 2 4 2 3" xfId="1125"/>
    <cellStyle name="level1a 2 2 3 2 4 2 3 2" xfId="25560"/>
    <cellStyle name="level1a 2 2 3 2 4 2 4" xfId="25561"/>
    <cellStyle name="level1a 2 2 3 2 4 3" xfId="1126"/>
    <cellStyle name="level1a 2 2 3 2 4 3 2" xfId="1127"/>
    <cellStyle name="level1a 2 2 3 2 4 3 2 2" xfId="1128"/>
    <cellStyle name="level1a 2 2 3 2 4 3 2 2 2" xfId="25562"/>
    <cellStyle name="level1a 2 2 3 2 4 3 2 3" xfId="25563"/>
    <cellStyle name="level1a 2 2 3 2 4 3 3" xfId="1129"/>
    <cellStyle name="level1a 2 2 3 2 4 3 3 2" xfId="25564"/>
    <cellStyle name="level1a 2 2 3 2 4 3 4" xfId="25565"/>
    <cellStyle name="level1a 2 2 3 2 4 4" xfId="1130"/>
    <cellStyle name="level1a 2 2 3 2 4 4 2" xfId="25566"/>
    <cellStyle name="level1a 2 2 3 2 4 5" xfId="1131"/>
    <cellStyle name="level1a 2 2 3 2 4 5 2" xfId="1132"/>
    <cellStyle name="level1a 2 2 3 2 4 5 2 2" xfId="25567"/>
    <cellStyle name="level1a 2 2 3 2 4 5 3" xfId="25568"/>
    <cellStyle name="level1a 2 2 3 2 4 6" xfId="1133"/>
    <cellStyle name="level1a 2 2 3 2 4 6 2" xfId="25569"/>
    <cellStyle name="level1a 2 2 3 2 4 7" xfId="25570"/>
    <cellStyle name="level1a 2 2 3 2 5" xfId="1134"/>
    <cellStyle name="level1a 2 2 3 2 5 2" xfId="1135"/>
    <cellStyle name="level1a 2 2 3 2 5 2 2" xfId="1136"/>
    <cellStyle name="level1a 2 2 3 2 5 2 2 2" xfId="1137"/>
    <cellStyle name="level1a 2 2 3 2 5 2 2 2 2" xfId="25571"/>
    <cellStyle name="level1a 2 2 3 2 5 2 2 3" xfId="25572"/>
    <cellStyle name="level1a 2 2 3 2 5 2 3" xfId="1138"/>
    <cellStyle name="level1a 2 2 3 2 5 2 3 2" xfId="25573"/>
    <cellStyle name="level1a 2 2 3 2 5 2 4" xfId="25574"/>
    <cellStyle name="level1a 2 2 3 2 5 3" xfId="1139"/>
    <cellStyle name="level1a 2 2 3 2 5 3 2" xfId="1140"/>
    <cellStyle name="level1a 2 2 3 2 5 3 2 2" xfId="1141"/>
    <cellStyle name="level1a 2 2 3 2 5 3 2 2 2" xfId="25575"/>
    <cellStyle name="level1a 2 2 3 2 5 3 2 3" xfId="25576"/>
    <cellStyle name="level1a 2 2 3 2 5 3 3" xfId="1142"/>
    <cellStyle name="level1a 2 2 3 2 5 3 3 2" xfId="25577"/>
    <cellStyle name="level1a 2 2 3 2 5 3 4" xfId="25578"/>
    <cellStyle name="level1a 2 2 3 2 5 4" xfId="1143"/>
    <cellStyle name="level1a 2 2 3 2 5 4 2" xfId="1144"/>
    <cellStyle name="level1a 2 2 3 2 5 4 2 2" xfId="25579"/>
    <cellStyle name="level1a 2 2 3 2 5 4 3" xfId="25580"/>
    <cellStyle name="level1a 2 2 3 2 5 5" xfId="1145"/>
    <cellStyle name="level1a 2 2 3 2 5 5 2" xfId="25581"/>
    <cellStyle name="level1a 2 2 3 2 5 6" xfId="25582"/>
    <cellStyle name="level1a 2 2 3 2 6" xfId="1146"/>
    <cellStyle name="level1a 2 2 3 2 6 2" xfId="1147"/>
    <cellStyle name="level1a 2 2 3 2 6 2 2" xfId="1148"/>
    <cellStyle name="level1a 2 2 3 2 6 2 2 2" xfId="1149"/>
    <cellStyle name="level1a 2 2 3 2 6 2 2 2 2" xfId="25583"/>
    <cellStyle name="level1a 2 2 3 2 6 2 2 3" xfId="25584"/>
    <cellStyle name="level1a 2 2 3 2 6 2 3" xfId="1150"/>
    <cellStyle name="level1a 2 2 3 2 6 2 3 2" xfId="25585"/>
    <cellStyle name="level1a 2 2 3 2 6 2 4" xfId="25586"/>
    <cellStyle name="level1a 2 2 3 2 6 3" xfId="1151"/>
    <cellStyle name="level1a 2 2 3 2 6 3 2" xfId="1152"/>
    <cellStyle name="level1a 2 2 3 2 6 3 2 2" xfId="1153"/>
    <cellStyle name="level1a 2 2 3 2 6 3 2 2 2" xfId="25587"/>
    <cellStyle name="level1a 2 2 3 2 6 3 2 3" xfId="25588"/>
    <cellStyle name="level1a 2 2 3 2 6 3 3" xfId="1154"/>
    <cellStyle name="level1a 2 2 3 2 6 3 3 2" xfId="25589"/>
    <cellStyle name="level1a 2 2 3 2 6 3 4" xfId="25590"/>
    <cellStyle name="level1a 2 2 3 2 6 4" xfId="1155"/>
    <cellStyle name="level1a 2 2 3 2 6 4 2" xfId="1156"/>
    <cellStyle name="level1a 2 2 3 2 6 4 2 2" xfId="25591"/>
    <cellStyle name="level1a 2 2 3 2 6 4 3" xfId="25592"/>
    <cellStyle name="level1a 2 2 3 2 6 5" xfId="1157"/>
    <cellStyle name="level1a 2 2 3 2 6 5 2" xfId="25593"/>
    <cellStyle name="level1a 2 2 3 2 6 6" xfId="25594"/>
    <cellStyle name="level1a 2 2 3 2 7" xfId="1158"/>
    <cellStyle name="level1a 2 2 3 2 7 2" xfId="1159"/>
    <cellStyle name="level1a 2 2 3 2 7 2 2" xfId="1160"/>
    <cellStyle name="level1a 2 2 3 2 7 2 2 2" xfId="25595"/>
    <cellStyle name="level1a 2 2 3 2 7 2 3" xfId="25596"/>
    <cellStyle name="level1a 2 2 3 2 7 3" xfId="1161"/>
    <cellStyle name="level1a 2 2 3 2 7 3 2" xfId="25597"/>
    <cellStyle name="level1a 2 2 3 2 7 4" xfId="25598"/>
    <cellStyle name="level1a 2 2 3 2 8" xfId="25599"/>
    <cellStyle name="level1a 2 2 3 2_STUD aligned by INSTIT" xfId="1162"/>
    <cellStyle name="level1a 2 2 3 3" xfId="1163"/>
    <cellStyle name="level1a 2 2 3 3 2" xfId="1164"/>
    <cellStyle name="level1a 2 2 3 3 2 2" xfId="1165"/>
    <cellStyle name="level1a 2 2 3 3 2 2 2" xfId="1166"/>
    <cellStyle name="level1a 2 2 3 3 2 2 2 2" xfId="1167"/>
    <cellStyle name="level1a 2 2 3 3 2 2 2 2 2" xfId="25600"/>
    <cellStyle name="level1a 2 2 3 3 2 2 2 3" xfId="25601"/>
    <cellStyle name="level1a 2 2 3 3 2 2 3" xfId="1168"/>
    <cellStyle name="level1a 2 2 3 3 2 2 3 2" xfId="25602"/>
    <cellStyle name="level1a 2 2 3 3 2 2 4" xfId="25603"/>
    <cellStyle name="level1a 2 2 3 3 2 3" xfId="1169"/>
    <cellStyle name="level1a 2 2 3 3 2 3 2" xfId="1170"/>
    <cellStyle name="level1a 2 2 3 3 2 3 2 2" xfId="1171"/>
    <cellStyle name="level1a 2 2 3 3 2 3 2 2 2" xfId="25604"/>
    <cellStyle name="level1a 2 2 3 3 2 3 2 3" xfId="25605"/>
    <cellStyle name="level1a 2 2 3 3 2 3 3" xfId="1172"/>
    <cellStyle name="level1a 2 2 3 3 2 3 3 2" xfId="25606"/>
    <cellStyle name="level1a 2 2 3 3 2 3 4" xfId="25607"/>
    <cellStyle name="level1a 2 2 3 3 2 4" xfId="1173"/>
    <cellStyle name="level1a 2 2 3 3 2 4 2" xfId="25608"/>
    <cellStyle name="level1a 2 2 3 3 2 5" xfId="1174"/>
    <cellStyle name="level1a 2 2 3 3 2 5 2" xfId="25609"/>
    <cellStyle name="level1a 2 2 3 3 2 6" xfId="25610"/>
    <cellStyle name="level1a 2 2 3 3 3" xfId="1175"/>
    <cellStyle name="level1a 2 2 3 3 3 2" xfId="1176"/>
    <cellStyle name="level1a 2 2 3 3 3 2 2" xfId="1177"/>
    <cellStyle name="level1a 2 2 3 3 3 2 2 2" xfId="1178"/>
    <cellStyle name="level1a 2 2 3 3 3 2 2 2 2" xfId="25611"/>
    <cellStyle name="level1a 2 2 3 3 3 2 2 3" xfId="25612"/>
    <cellStyle name="level1a 2 2 3 3 3 2 3" xfId="1179"/>
    <cellStyle name="level1a 2 2 3 3 3 2 3 2" xfId="25613"/>
    <cellStyle name="level1a 2 2 3 3 3 2 4" xfId="25614"/>
    <cellStyle name="level1a 2 2 3 3 3 3" xfId="1180"/>
    <cellStyle name="level1a 2 2 3 3 3 3 2" xfId="1181"/>
    <cellStyle name="level1a 2 2 3 3 3 3 2 2" xfId="1182"/>
    <cellStyle name="level1a 2 2 3 3 3 3 2 2 2" xfId="25615"/>
    <cellStyle name="level1a 2 2 3 3 3 3 2 3" xfId="25616"/>
    <cellStyle name="level1a 2 2 3 3 3 3 3" xfId="1183"/>
    <cellStyle name="level1a 2 2 3 3 3 3 3 2" xfId="25617"/>
    <cellStyle name="level1a 2 2 3 3 3 3 4" xfId="25618"/>
    <cellStyle name="level1a 2 2 3 3 3 4" xfId="1184"/>
    <cellStyle name="level1a 2 2 3 3 3 4 2" xfId="1185"/>
    <cellStyle name="level1a 2 2 3 3 3 4 2 2" xfId="25619"/>
    <cellStyle name="level1a 2 2 3 3 3 4 3" xfId="25620"/>
    <cellStyle name="level1a 2 2 3 3 3 5" xfId="25621"/>
    <cellStyle name="level1a 2 2 3 3 4" xfId="1186"/>
    <cellStyle name="level1a 2 2 3 3 4 2" xfId="1187"/>
    <cellStyle name="level1a 2 2 3 3 4 2 2" xfId="1188"/>
    <cellStyle name="level1a 2 2 3 3 4 2 2 2" xfId="1189"/>
    <cellStyle name="level1a 2 2 3 3 4 2 2 2 2" xfId="25622"/>
    <cellStyle name="level1a 2 2 3 3 4 2 2 3" xfId="25623"/>
    <cellStyle name="level1a 2 2 3 3 4 2 3" xfId="1190"/>
    <cellStyle name="level1a 2 2 3 3 4 2 3 2" xfId="25624"/>
    <cellStyle name="level1a 2 2 3 3 4 2 4" xfId="25625"/>
    <cellStyle name="level1a 2 2 3 3 4 3" xfId="1191"/>
    <cellStyle name="level1a 2 2 3 3 4 3 2" xfId="1192"/>
    <cellStyle name="level1a 2 2 3 3 4 3 2 2" xfId="1193"/>
    <cellStyle name="level1a 2 2 3 3 4 3 2 2 2" xfId="25626"/>
    <cellStyle name="level1a 2 2 3 3 4 3 2 3" xfId="25627"/>
    <cellStyle name="level1a 2 2 3 3 4 3 3" xfId="1194"/>
    <cellStyle name="level1a 2 2 3 3 4 3 3 2" xfId="25628"/>
    <cellStyle name="level1a 2 2 3 3 4 3 4" xfId="25629"/>
    <cellStyle name="level1a 2 2 3 3 4 4" xfId="1195"/>
    <cellStyle name="level1a 2 2 3 3 4 4 2" xfId="1196"/>
    <cellStyle name="level1a 2 2 3 3 4 4 2 2" xfId="25630"/>
    <cellStyle name="level1a 2 2 3 3 4 4 3" xfId="25631"/>
    <cellStyle name="level1a 2 2 3 3 4 5" xfId="1197"/>
    <cellStyle name="level1a 2 2 3 3 4 5 2" xfId="25632"/>
    <cellStyle name="level1a 2 2 3 3 4 6" xfId="25633"/>
    <cellStyle name="level1a 2 2 3 3 5" xfId="1198"/>
    <cellStyle name="level1a 2 2 3 3 5 2" xfId="1199"/>
    <cellStyle name="level1a 2 2 3 3 5 2 2" xfId="1200"/>
    <cellStyle name="level1a 2 2 3 3 5 2 2 2" xfId="1201"/>
    <cellStyle name="level1a 2 2 3 3 5 2 2 2 2" xfId="25634"/>
    <cellStyle name="level1a 2 2 3 3 5 2 2 3" xfId="25635"/>
    <cellStyle name="level1a 2 2 3 3 5 2 3" xfId="1202"/>
    <cellStyle name="level1a 2 2 3 3 5 2 3 2" xfId="25636"/>
    <cellStyle name="level1a 2 2 3 3 5 2 4" xfId="25637"/>
    <cellStyle name="level1a 2 2 3 3 5 3" xfId="1203"/>
    <cellStyle name="level1a 2 2 3 3 5 3 2" xfId="1204"/>
    <cellStyle name="level1a 2 2 3 3 5 3 2 2" xfId="1205"/>
    <cellStyle name="level1a 2 2 3 3 5 3 2 2 2" xfId="25638"/>
    <cellStyle name="level1a 2 2 3 3 5 3 2 3" xfId="25639"/>
    <cellStyle name="level1a 2 2 3 3 5 3 3" xfId="1206"/>
    <cellStyle name="level1a 2 2 3 3 5 3 3 2" xfId="25640"/>
    <cellStyle name="level1a 2 2 3 3 5 3 4" xfId="25641"/>
    <cellStyle name="level1a 2 2 3 3 5 4" xfId="1207"/>
    <cellStyle name="level1a 2 2 3 3 5 4 2" xfId="1208"/>
    <cellStyle name="level1a 2 2 3 3 5 4 2 2" xfId="25642"/>
    <cellStyle name="level1a 2 2 3 3 5 4 3" xfId="25643"/>
    <cellStyle name="level1a 2 2 3 3 5 5" xfId="1209"/>
    <cellStyle name="level1a 2 2 3 3 5 5 2" xfId="25644"/>
    <cellStyle name="level1a 2 2 3 3 5 6" xfId="25645"/>
    <cellStyle name="level1a 2 2 3 3 6" xfId="1210"/>
    <cellStyle name="level1a 2 2 3 3 6 2" xfId="1211"/>
    <cellStyle name="level1a 2 2 3 3 6 2 2" xfId="1212"/>
    <cellStyle name="level1a 2 2 3 3 6 2 2 2" xfId="1213"/>
    <cellStyle name="level1a 2 2 3 3 6 2 2 2 2" xfId="25646"/>
    <cellStyle name="level1a 2 2 3 3 6 2 2 3" xfId="25647"/>
    <cellStyle name="level1a 2 2 3 3 6 2 3" xfId="1214"/>
    <cellStyle name="level1a 2 2 3 3 6 2 3 2" xfId="25648"/>
    <cellStyle name="level1a 2 2 3 3 6 2 4" xfId="25649"/>
    <cellStyle name="level1a 2 2 3 3 6 3" xfId="1215"/>
    <cellStyle name="level1a 2 2 3 3 6 3 2" xfId="1216"/>
    <cellStyle name="level1a 2 2 3 3 6 3 2 2" xfId="1217"/>
    <cellStyle name="level1a 2 2 3 3 6 3 2 2 2" xfId="25650"/>
    <cellStyle name="level1a 2 2 3 3 6 3 2 3" xfId="25651"/>
    <cellStyle name="level1a 2 2 3 3 6 3 3" xfId="1218"/>
    <cellStyle name="level1a 2 2 3 3 6 3 3 2" xfId="25652"/>
    <cellStyle name="level1a 2 2 3 3 6 3 4" xfId="25653"/>
    <cellStyle name="level1a 2 2 3 3 6 4" xfId="1219"/>
    <cellStyle name="level1a 2 2 3 3 6 4 2" xfId="1220"/>
    <cellStyle name="level1a 2 2 3 3 6 4 2 2" xfId="25654"/>
    <cellStyle name="level1a 2 2 3 3 6 4 3" xfId="25655"/>
    <cellStyle name="level1a 2 2 3 3 6 5" xfId="1221"/>
    <cellStyle name="level1a 2 2 3 3 6 5 2" xfId="25656"/>
    <cellStyle name="level1a 2 2 3 3 6 6" xfId="25657"/>
    <cellStyle name="level1a 2 2 3 3 7" xfId="1222"/>
    <cellStyle name="level1a 2 2 3 3 7 2" xfId="1223"/>
    <cellStyle name="level1a 2 2 3 3 7 2 2" xfId="1224"/>
    <cellStyle name="level1a 2 2 3 3 7 2 2 2" xfId="25658"/>
    <cellStyle name="level1a 2 2 3 3 7 2 3" xfId="25659"/>
    <cellStyle name="level1a 2 2 3 3 7 3" xfId="1225"/>
    <cellStyle name="level1a 2 2 3 3 7 3 2" xfId="25660"/>
    <cellStyle name="level1a 2 2 3 3 7 4" xfId="25661"/>
    <cellStyle name="level1a 2 2 3 3 8" xfId="1226"/>
    <cellStyle name="level1a 2 2 3 3 8 2" xfId="1227"/>
    <cellStyle name="level1a 2 2 3 3 8 2 2" xfId="1228"/>
    <cellStyle name="level1a 2 2 3 3 8 2 2 2" xfId="25662"/>
    <cellStyle name="level1a 2 2 3 3 8 2 3" xfId="25663"/>
    <cellStyle name="level1a 2 2 3 3 8 3" xfId="1229"/>
    <cellStyle name="level1a 2 2 3 3 8 3 2" xfId="25664"/>
    <cellStyle name="level1a 2 2 3 3 8 4" xfId="25665"/>
    <cellStyle name="level1a 2 2 3 3 9" xfId="25666"/>
    <cellStyle name="level1a 2 2 3 3_STUD aligned by INSTIT" xfId="1230"/>
    <cellStyle name="level1a 2 2 3 4" xfId="1231"/>
    <cellStyle name="level1a 2 2 3 4 2" xfId="1232"/>
    <cellStyle name="level1a 2 2 3 4 2 2" xfId="1233"/>
    <cellStyle name="level1a 2 2 3 4 2 2 2" xfId="1234"/>
    <cellStyle name="level1a 2 2 3 4 2 2 2 2" xfId="25667"/>
    <cellStyle name="level1a 2 2 3 4 2 2 3" xfId="25668"/>
    <cellStyle name="level1a 2 2 3 4 2 3" xfId="1235"/>
    <cellStyle name="level1a 2 2 3 4 2 3 2" xfId="25669"/>
    <cellStyle name="level1a 2 2 3 4 2 4" xfId="25670"/>
    <cellStyle name="level1a 2 2 3 4 3" xfId="1236"/>
    <cellStyle name="level1a 2 2 3 4 3 2" xfId="1237"/>
    <cellStyle name="level1a 2 2 3 4 3 2 2" xfId="1238"/>
    <cellStyle name="level1a 2 2 3 4 3 2 2 2" xfId="25671"/>
    <cellStyle name="level1a 2 2 3 4 3 2 3" xfId="25672"/>
    <cellStyle name="level1a 2 2 3 4 3 3" xfId="1239"/>
    <cellStyle name="level1a 2 2 3 4 3 3 2" xfId="25673"/>
    <cellStyle name="level1a 2 2 3 4 3 4" xfId="25674"/>
    <cellStyle name="level1a 2 2 3 4 4" xfId="1240"/>
    <cellStyle name="level1a 2 2 3 4 4 2" xfId="25675"/>
    <cellStyle name="level1a 2 2 3 4 5" xfId="1241"/>
    <cellStyle name="level1a 2 2 3 4 5 2" xfId="1242"/>
    <cellStyle name="level1a 2 2 3 4 5 2 2" xfId="25676"/>
    <cellStyle name="level1a 2 2 3 4 5 3" xfId="25677"/>
    <cellStyle name="level1a 2 2 3 4 6" xfId="25678"/>
    <cellStyle name="level1a 2 2 3 5" xfId="1243"/>
    <cellStyle name="level1a 2 2 3 5 2" xfId="1244"/>
    <cellStyle name="level1a 2 2 3 5 2 2" xfId="1245"/>
    <cellStyle name="level1a 2 2 3 5 2 2 2" xfId="1246"/>
    <cellStyle name="level1a 2 2 3 5 2 2 2 2" xfId="25679"/>
    <cellStyle name="level1a 2 2 3 5 2 2 3" xfId="25680"/>
    <cellStyle name="level1a 2 2 3 5 2 3" xfId="1247"/>
    <cellStyle name="level1a 2 2 3 5 2 3 2" xfId="25681"/>
    <cellStyle name="level1a 2 2 3 5 2 4" xfId="25682"/>
    <cellStyle name="level1a 2 2 3 5 3" xfId="1248"/>
    <cellStyle name="level1a 2 2 3 5 3 2" xfId="1249"/>
    <cellStyle name="level1a 2 2 3 5 3 2 2" xfId="1250"/>
    <cellStyle name="level1a 2 2 3 5 3 2 2 2" xfId="25683"/>
    <cellStyle name="level1a 2 2 3 5 3 2 3" xfId="25684"/>
    <cellStyle name="level1a 2 2 3 5 3 3" xfId="1251"/>
    <cellStyle name="level1a 2 2 3 5 3 3 2" xfId="25685"/>
    <cellStyle name="level1a 2 2 3 5 3 4" xfId="25686"/>
    <cellStyle name="level1a 2 2 3 5 4" xfId="1252"/>
    <cellStyle name="level1a 2 2 3 5 4 2" xfId="25687"/>
    <cellStyle name="level1a 2 2 3 5 5" xfId="1253"/>
    <cellStyle name="level1a 2 2 3 5 5 2" xfId="1254"/>
    <cellStyle name="level1a 2 2 3 5 5 2 2" xfId="25688"/>
    <cellStyle name="level1a 2 2 3 5 5 3" xfId="25689"/>
    <cellStyle name="level1a 2 2 3 5 6" xfId="1255"/>
    <cellStyle name="level1a 2 2 3 5 6 2" xfId="25690"/>
    <cellStyle name="level1a 2 2 3 5 7" xfId="25691"/>
    <cellStyle name="level1a 2 2 3 6" xfId="1256"/>
    <cellStyle name="level1a 2 2 3 6 2" xfId="1257"/>
    <cellStyle name="level1a 2 2 3 6 2 2" xfId="1258"/>
    <cellStyle name="level1a 2 2 3 6 2 2 2" xfId="1259"/>
    <cellStyle name="level1a 2 2 3 6 2 2 2 2" xfId="25692"/>
    <cellStyle name="level1a 2 2 3 6 2 2 3" xfId="25693"/>
    <cellStyle name="level1a 2 2 3 6 2 3" xfId="1260"/>
    <cellStyle name="level1a 2 2 3 6 2 3 2" xfId="25694"/>
    <cellStyle name="level1a 2 2 3 6 2 4" xfId="25695"/>
    <cellStyle name="level1a 2 2 3 6 3" xfId="1261"/>
    <cellStyle name="level1a 2 2 3 6 3 2" xfId="1262"/>
    <cellStyle name="level1a 2 2 3 6 3 2 2" xfId="1263"/>
    <cellStyle name="level1a 2 2 3 6 3 2 2 2" xfId="25696"/>
    <cellStyle name="level1a 2 2 3 6 3 2 3" xfId="25697"/>
    <cellStyle name="level1a 2 2 3 6 3 3" xfId="1264"/>
    <cellStyle name="level1a 2 2 3 6 3 3 2" xfId="25698"/>
    <cellStyle name="level1a 2 2 3 6 3 4" xfId="25699"/>
    <cellStyle name="level1a 2 2 3 6 4" xfId="1265"/>
    <cellStyle name="level1a 2 2 3 6 4 2" xfId="25700"/>
    <cellStyle name="level1a 2 2 3 6 5" xfId="1266"/>
    <cellStyle name="level1a 2 2 3 6 5 2" xfId="25701"/>
    <cellStyle name="level1a 2 2 3 6 6" xfId="25702"/>
    <cellStyle name="level1a 2 2 3 7" xfId="1267"/>
    <cellStyle name="level1a 2 2 3 7 2" xfId="1268"/>
    <cellStyle name="level1a 2 2 3 7 2 2" xfId="1269"/>
    <cellStyle name="level1a 2 2 3 7 2 2 2" xfId="1270"/>
    <cellStyle name="level1a 2 2 3 7 2 2 2 2" xfId="25703"/>
    <cellStyle name="level1a 2 2 3 7 2 2 3" xfId="25704"/>
    <cellStyle name="level1a 2 2 3 7 2 3" xfId="1271"/>
    <cellStyle name="level1a 2 2 3 7 2 3 2" xfId="25705"/>
    <cellStyle name="level1a 2 2 3 7 2 4" xfId="25706"/>
    <cellStyle name="level1a 2 2 3 7 3" xfId="1272"/>
    <cellStyle name="level1a 2 2 3 7 3 2" xfId="1273"/>
    <cellStyle name="level1a 2 2 3 7 3 2 2" xfId="1274"/>
    <cellStyle name="level1a 2 2 3 7 3 2 2 2" xfId="25707"/>
    <cellStyle name="level1a 2 2 3 7 3 2 3" xfId="25708"/>
    <cellStyle name="level1a 2 2 3 7 3 3" xfId="1275"/>
    <cellStyle name="level1a 2 2 3 7 3 3 2" xfId="25709"/>
    <cellStyle name="level1a 2 2 3 7 3 4" xfId="25710"/>
    <cellStyle name="level1a 2 2 3 7 4" xfId="1276"/>
    <cellStyle name="level1a 2 2 3 7 4 2" xfId="25711"/>
    <cellStyle name="level1a 2 2 3 7 5" xfId="1277"/>
    <cellStyle name="level1a 2 2 3 7 5 2" xfId="1278"/>
    <cellStyle name="level1a 2 2 3 7 5 2 2" xfId="25712"/>
    <cellStyle name="level1a 2 2 3 7 5 3" xfId="25713"/>
    <cellStyle name="level1a 2 2 3 7 6" xfId="1279"/>
    <cellStyle name="level1a 2 2 3 7 6 2" xfId="25714"/>
    <cellStyle name="level1a 2 2 3 7 7" xfId="25715"/>
    <cellStyle name="level1a 2 2 3 8" xfId="1280"/>
    <cellStyle name="level1a 2 2 3 8 2" xfId="1281"/>
    <cellStyle name="level1a 2 2 3 8 2 2" xfId="1282"/>
    <cellStyle name="level1a 2 2 3 8 2 2 2" xfId="1283"/>
    <cellStyle name="level1a 2 2 3 8 2 2 2 2" xfId="25716"/>
    <cellStyle name="level1a 2 2 3 8 2 2 3" xfId="25717"/>
    <cellStyle name="level1a 2 2 3 8 2 3" xfId="1284"/>
    <cellStyle name="level1a 2 2 3 8 2 3 2" xfId="25718"/>
    <cellStyle name="level1a 2 2 3 8 2 4" xfId="25719"/>
    <cellStyle name="level1a 2 2 3 8 3" xfId="1285"/>
    <cellStyle name="level1a 2 2 3 8 3 2" xfId="1286"/>
    <cellStyle name="level1a 2 2 3 8 3 2 2" xfId="1287"/>
    <cellStyle name="level1a 2 2 3 8 3 2 2 2" xfId="25720"/>
    <cellStyle name="level1a 2 2 3 8 3 2 3" xfId="25721"/>
    <cellStyle name="level1a 2 2 3 8 3 3" xfId="1288"/>
    <cellStyle name="level1a 2 2 3 8 3 3 2" xfId="25722"/>
    <cellStyle name="level1a 2 2 3 8 3 4" xfId="25723"/>
    <cellStyle name="level1a 2 2 3 8 4" xfId="1289"/>
    <cellStyle name="level1a 2 2 3 8 4 2" xfId="1290"/>
    <cellStyle name="level1a 2 2 3 8 4 2 2" xfId="25724"/>
    <cellStyle name="level1a 2 2 3 8 4 3" xfId="25725"/>
    <cellStyle name="level1a 2 2 3 8 5" xfId="1291"/>
    <cellStyle name="level1a 2 2 3 8 5 2" xfId="25726"/>
    <cellStyle name="level1a 2 2 3 8 6" xfId="25727"/>
    <cellStyle name="level1a 2 2 3 9" xfId="1292"/>
    <cellStyle name="level1a 2 2 3 9 2" xfId="1293"/>
    <cellStyle name="level1a 2 2 3 9 2 2" xfId="1294"/>
    <cellStyle name="level1a 2 2 3 9 2 2 2" xfId="25728"/>
    <cellStyle name="level1a 2 2 3 9 2 3" xfId="25729"/>
    <cellStyle name="level1a 2 2 3 9 3" xfId="1295"/>
    <cellStyle name="level1a 2 2 3 9 3 2" xfId="25730"/>
    <cellStyle name="level1a 2 2 3 9 4" xfId="25731"/>
    <cellStyle name="level1a 2 2 3_STUD aligned by INSTIT" xfId="1296"/>
    <cellStyle name="level1a 2 2 4" xfId="1297"/>
    <cellStyle name="level1a 2 2 4 2" xfId="1298"/>
    <cellStyle name="level1a 2 2 4 2 2" xfId="1299"/>
    <cellStyle name="level1a 2 2 4 2 2 2" xfId="1300"/>
    <cellStyle name="level1a 2 2 4 2 2 2 2" xfId="1301"/>
    <cellStyle name="level1a 2 2 4 2 2 2 2 2" xfId="25732"/>
    <cellStyle name="level1a 2 2 4 2 2 2 3" xfId="25733"/>
    <cellStyle name="level1a 2 2 4 2 2 3" xfId="1302"/>
    <cellStyle name="level1a 2 2 4 2 2 3 2" xfId="25734"/>
    <cellStyle name="level1a 2 2 4 2 2 4" xfId="25735"/>
    <cellStyle name="level1a 2 2 4 2 3" xfId="1303"/>
    <cellStyle name="level1a 2 2 4 2 3 2" xfId="1304"/>
    <cellStyle name="level1a 2 2 4 2 3 2 2" xfId="1305"/>
    <cellStyle name="level1a 2 2 4 2 3 2 2 2" xfId="25736"/>
    <cellStyle name="level1a 2 2 4 2 3 2 3" xfId="25737"/>
    <cellStyle name="level1a 2 2 4 2 3 3" xfId="1306"/>
    <cellStyle name="level1a 2 2 4 2 3 3 2" xfId="25738"/>
    <cellStyle name="level1a 2 2 4 2 3 4" xfId="25739"/>
    <cellStyle name="level1a 2 2 4 2 4" xfId="1307"/>
    <cellStyle name="level1a 2 2 4 2 4 2" xfId="25740"/>
    <cellStyle name="level1a 2 2 4 2 5" xfId="1308"/>
    <cellStyle name="level1a 2 2 4 2 5 2" xfId="1309"/>
    <cellStyle name="level1a 2 2 4 2 5 2 2" xfId="25741"/>
    <cellStyle name="level1a 2 2 4 2 5 3" xfId="25742"/>
    <cellStyle name="level1a 2 2 4 2 6" xfId="25743"/>
    <cellStyle name="level1a 2 2 4 3" xfId="1310"/>
    <cellStyle name="level1a 2 2 4 3 2" xfId="1311"/>
    <cellStyle name="level1a 2 2 4 3 2 2" xfId="1312"/>
    <cellStyle name="level1a 2 2 4 3 2 2 2" xfId="1313"/>
    <cellStyle name="level1a 2 2 4 3 2 2 2 2" xfId="25744"/>
    <cellStyle name="level1a 2 2 4 3 2 2 3" xfId="25745"/>
    <cellStyle name="level1a 2 2 4 3 2 3" xfId="1314"/>
    <cellStyle name="level1a 2 2 4 3 2 3 2" xfId="25746"/>
    <cellStyle name="level1a 2 2 4 3 2 4" xfId="25747"/>
    <cellStyle name="level1a 2 2 4 3 3" xfId="1315"/>
    <cellStyle name="level1a 2 2 4 3 3 2" xfId="1316"/>
    <cellStyle name="level1a 2 2 4 3 3 2 2" xfId="1317"/>
    <cellStyle name="level1a 2 2 4 3 3 2 2 2" xfId="25748"/>
    <cellStyle name="level1a 2 2 4 3 3 2 3" xfId="25749"/>
    <cellStyle name="level1a 2 2 4 3 3 3" xfId="1318"/>
    <cellStyle name="level1a 2 2 4 3 3 3 2" xfId="25750"/>
    <cellStyle name="level1a 2 2 4 3 3 4" xfId="25751"/>
    <cellStyle name="level1a 2 2 4 3 4" xfId="1319"/>
    <cellStyle name="level1a 2 2 4 3 4 2" xfId="25752"/>
    <cellStyle name="level1a 2 2 4 3 5" xfId="1320"/>
    <cellStyle name="level1a 2 2 4 3 5 2" xfId="25753"/>
    <cellStyle name="level1a 2 2 4 3 6" xfId="25754"/>
    <cellStyle name="level1a 2 2 4 4" xfId="1321"/>
    <cellStyle name="level1a 2 2 4 4 2" xfId="1322"/>
    <cellStyle name="level1a 2 2 4 4 2 2" xfId="1323"/>
    <cellStyle name="level1a 2 2 4 4 2 2 2" xfId="1324"/>
    <cellStyle name="level1a 2 2 4 4 2 2 2 2" xfId="25755"/>
    <cellStyle name="level1a 2 2 4 4 2 2 3" xfId="25756"/>
    <cellStyle name="level1a 2 2 4 4 2 3" xfId="1325"/>
    <cellStyle name="level1a 2 2 4 4 2 3 2" xfId="25757"/>
    <cellStyle name="level1a 2 2 4 4 2 4" xfId="25758"/>
    <cellStyle name="level1a 2 2 4 4 3" xfId="1326"/>
    <cellStyle name="level1a 2 2 4 4 3 2" xfId="1327"/>
    <cellStyle name="level1a 2 2 4 4 3 2 2" xfId="1328"/>
    <cellStyle name="level1a 2 2 4 4 3 2 2 2" xfId="25759"/>
    <cellStyle name="level1a 2 2 4 4 3 2 3" xfId="25760"/>
    <cellStyle name="level1a 2 2 4 4 3 3" xfId="1329"/>
    <cellStyle name="level1a 2 2 4 4 3 3 2" xfId="25761"/>
    <cellStyle name="level1a 2 2 4 4 3 4" xfId="25762"/>
    <cellStyle name="level1a 2 2 4 4 4" xfId="1330"/>
    <cellStyle name="level1a 2 2 4 4 4 2" xfId="25763"/>
    <cellStyle name="level1a 2 2 4 4 5" xfId="1331"/>
    <cellStyle name="level1a 2 2 4 4 5 2" xfId="1332"/>
    <cellStyle name="level1a 2 2 4 4 5 2 2" xfId="25764"/>
    <cellStyle name="level1a 2 2 4 4 5 3" xfId="25765"/>
    <cellStyle name="level1a 2 2 4 4 6" xfId="1333"/>
    <cellStyle name="level1a 2 2 4 4 6 2" xfId="25766"/>
    <cellStyle name="level1a 2 2 4 4 7" xfId="25767"/>
    <cellStyle name="level1a 2 2 4 5" xfId="1334"/>
    <cellStyle name="level1a 2 2 4 5 2" xfId="1335"/>
    <cellStyle name="level1a 2 2 4 5 2 2" xfId="1336"/>
    <cellStyle name="level1a 2 2 4 5 2 2 2" xfId="1337"/>
    <cellStyle name="level1a 2 2 4 5 2 2 2 2" xfId="25768"/>
    <cellStyle name="level1a 2 2 4 5 2 2 3" xfId="25769"/>
    <cellStyle name="level1a 2 2 4 5 2 3" xfId="1338"/>
    <cellStyle name="level1a 2 2 4 5 2 3 2" xfId="25770"/>
    <cellStyle name="level1a 2 2 4 5 2 4" xfId="25771"/>
    <cellStyle name="level1a 2 2 4 5 3" xfId="1339"/>
    <cellStyle name="level1a 2 2 4 5 3 2" xfId="1340"/>
    <cellStyle name="level1a 2 2 4 5 3 2 2" xfId="1341"/>
    <cellStyle name="level1a 2 2 4 5 3 2 2 2" xfId="25772"/>
    <cellStyle name="level1a 2 2 4 5 3 2 3" xfId="25773"/>
    <cellStyle name="level1a 2 2 4 5 3 3" xfId="1342"/>
    <cellStyle name="level1a 2 2 4 5 3 3 2" xfId="25774"/>
    <cellStyle name="level1a 2 2 4 5 3 4" xfId="25775"/>
    <cellStyle name="level1a 2 2 4 5 4" xfId="1343"/>
    <cellStyle name="level1a 2 2 4 5 4 2" xfId="1344"/>
    <cellStyle name="level1a 2 2 4 5 4 2 2" xfId="25776"/>
    <cellStyle name="level1a 2 2 4 5 4 3" xfId="25777"/>
    <cellStyle name="level1a 2 2 4 5 5" xfId="1345"/>
    <cellStyle name="level1a 2 2 4 5 5 2" xfId="25778"/>
    <cellStyle name="level1a 2 2 4 5 6" xfId="25779"/>
    <cellStyle name="level1a 2 2 4 6" xfId="1346"/>
    <cellStyle name="level1a 2 2 4 6 2" xfId="1347"/>
    <cellStyle name="level1a 2 2 4 6 2 2" xfId="1348"/>
    <cellStyle name="level1a 2 2 4 6 2 2 2" xfId="1349"/>
    <cellStyle name="level1a 2 2 4 6 2 2 2 2" xfId="25780"/>
    <cellStyle name="level1a 2 2 4 6 2 2 3" xfId="25781"/>
    <cellStyle name="level1a 2 2 4 6 2 3" xfId="1350"/>
    <cellStyle name="level1a 2 2 4 6 2 3 2" xfId="25782"/>
    <cellStyle name="level1a 2 2 4 6 2 4" xfId="25783"/>
    <cellStyle name="level1a 2 2 4 6 3" xfId="1351"/>
    <cellStyle name="level1a 2 2 4 6 3 2" xfId="1352"/>
    <cellStyle name="level1a 2 2 4 6 3 2 2" xfId="1353"/>
    <cellStyle name="level1a 2 2 4 6 3 2 2 2" xfId="25784"/>
    <cellStyle name="level1a 2 2 4 6 3 2 3" xfId="25785"/>
    <cellStyle name="level1a 2 2 4 6 3 3" xfId="1354"/>
    <cellStyle name="level1a 2 2 4 6 3 3 2" xfId="25786"/>
    <cellStyle name="level1a 2 2 4 6 3 4" xfId="25787"/>
    <cellStyle name="level1a 2 2 4 6 4" xfId="1355"/>
    <cellStyle name="level1a 2 2 4 6 4 2" xfId="1356"/>
    <cellStyle name="level1a 2 2 4 6 4 2 2" xfId="25788"/>
    <cellStyle name="level1a 2 2 4 6 4 3" xfId="25789"/>
    <cellStyle name="level1a 2 2 4 6 5" xfId="1357"/>
    <cellStyle name="level1a 2 2 4 6 5 2" xfId="25790"/>
    <cellStyle name="level1a 2 2 4 6 6" xfId="25791"/>
    <cellStyle name="level1a 2 2 4 7" xfId="1358"/>
    <cellStyle name="level1a 2 2 4 7 2" xfId="1359"/>
    <cellStyle name="level1a 2 2 4 7 2 2" xfId="1360"/>
    <cellStyle name="level1a 2 2 4 7 2 2 2" xfId="25792"/>
    <cellStyle name="level1a 2 2 4 7 2 3" xfId="25793"/>
    <cellStyle name="level1a 2 2 4 7 3" xfId="1361"/>
    <cellStyle name="level1a 2 2 4 7 3 2" xfId="25794"/>
    <cellStyle name="level1a 2 2 4 7 4" xfId="25795"/>
    <cellStyle name="level1a 2 2 4 8" xfId="25796"/>
    <cellStyle name="level1a 2 2 4_STUD aligned by INSTIT" xfId="1362"/>
    <cellStyle name="level1a 2 2 5" xfId="1363"/>
    <cellStyle name="level1a 2 2 5 2" xfId="1364"/>
    <cellStyle name="level1a 2 2 5 2 2" xfId="1365"/>
    <cellStyle name="level1a 2 2 5 2 2 2" xfId="1366"/>
    <cellStyle name="level1a 2 2 5 2 2 2 2" xfId="1367"/>
    <cellStyle name="level1a 2 2 5 2 2 2 2 2" xfId="25797"/>
    <cellStyle name="level1a 2 2 5 2 2 2 3" xfId="25798"/>
    <cellStyle name="level1a 2 2 5 2 2 3" xfId="1368"/>
    <cellStyle name="level1a 2 2 5 2 2 3 2" xfId="25799"/>
    <cellStyle name="level1a 2 2 5 2 2 4" xfId="25800"/>
    <cellStyle name="level1a 2 2 5 2 3" xfId="1369"/>
    <cellStyle name="level1a 2 2 5 2 3 2" xfId="1370"/>
    <cellStyle name="level1a 2 2 5 2 3 2 2" xfId="1371"/>
    <cellStyle name="level1a 2 2 5 2 3 2 2 2" xfId="25801"/>
    <cellStyle name="level1a 2 2 5 2 3 2 3" xfId="25802"/>
    <cellStyle name="level1a 2 2 5 2 3 3" xfId="1372"/>
    <cellStyle name="level1a 2 2 5 2 3 3 2" xfId="25803"/>
    <cellStyle name="level1a 2 2 5 2 3 4" xfId="25804"/>
    <cellStyle name="level1a 2 2 5 2 4" xfId="1373"/>
    <cellStyle name="level1a 2 2 5 2 4 2" xfId="25805"/>
    <cellStyle name="level1a 2 2 5 2 5" xfId="1374"/>
    <cellStyle name="level1a 2 2 5 2 5 2" xfId="1375"/>
    <cellStyle name="level1a 2 2 5 2 5 2 2" xfId="25806"/>
    <cellStyle name="level1a 2 2 5 2 5 3" xfId="25807"/>
    <cellStyle name="level1a 2 2 5 2 6" xfId="1376"/>
    <cellStyle name="level1a 2 2 5 2 6 2" xfId="25808"/>
    <cellStyle name="level1a 2 2 5 2 7" xfId="25809"/>
    <cellStyle name="level1a 2 2 5 3" xfId="1377"/>
    <cellStyle name="level1a 2 2 5 3 2" xfId="1378"/>
    <cellStyle name="level1a 2 2 5 3 2 2" xfId="1379"/>
    <cellStyle name="level1a 2 2 5 3 2 2 2" xfId="1380"/>
    <cellStyle name="level1a 2 2 5 3 2 2 2 2" xfId="25810"/>
    <cellStyle name="level1a 2 2 5 3 2 2 3" xfId="25811"/>
    <cellStyle name="level1a 2 2 5 3 2 3" xfId="1381"/>
    <cellStyle name="level1a 2 2 5 3 2 3 2" xfId="25812"/>
    <cellStyle name="level1a 2 2 5 3 2 4" xfId="25813"/>
    <cellStyle name="level1a 2 2 5 3 3" xfId="1382"/>
    <cellStyle name="level1a 2 2 5 3 3 2" xfId="1383"/>
    <cellStyle name="level1a 2 2 5 3 3 2 2" xfId="1384"/>
    <cellStyle name="level1a 2 2 5 3 3 2 2 2" xfId="25814"/>
    <cellStyle name="level1a 2 2 5 3 3 2 3" xfId="25815"/>
    <cellStyle name="level1a 2 2 5 3 3 3" xfId="1385"/>
    <cellStyle name="level1a 2 2 5 3 3 3 2" xfId="25816"/>
    <cellStyle name="level1a 2 2 5 3 3 4" xfId="25817"/>
    <cellStyle name="level1a 2 2 5 3 4" xfId="1386"/>
    <cellStyle name="level1a 2 2 5 3 4 2" xfId="25818"/>
    <cellStyle name="level1a 2 2 5 3 5" xfId="25819"/>
    <cellStyle name="level1a 2 2 5 4" xfId="1387"/>
    <cellStyle name="level1a 2 2 5 4 2" xfId="1388"/>
    <cellStyle name="level1a 2 2 5 4 2 2" xfId="1389"/>
    <cellStyle name="level1a 2 2 5 4 2 2 2" xfId="1390"/>
    <cellStyle name="level1a 2 2 5 4 2 2 2 2" xfId="25820"/>
    <cellStyle name="level1a 2 2 5 4 2 2 3" xfId="25821"/>
    <cellStyle name="level1a 2 2 5 4 2 3" xfId="1391"/>
    <cellStyle name="level1a 2 2 5 4 2 3 2" xfId="25822"/>
    <cellStyle name="level1a 2 2 5 4 2 4" xfId="25823"/>
    <cellStyle name="level1a 2 2 5 4 3" xfId="1392"/>
    <cellStyle name="level1a 2 2 5 4 3 2" xfId="1393"/>
    <cellStyle name="level1a 2 2 5 4 3 2 2" xfId="1394"/>
    <cellStyle name="level1a 2 2 5 4 3 2 2 2" xfId="25824"/>
    <cellStyle name="level1a 2 2 5 4 3 2 3" xfId="25825"/>
    <cellStyle name="level1a 2 2 5 4 3 3" xfId="1395"/>
    <cellStyle name="level1a 2 2 5 4 3 3 2" xfId="25826"/>
    <cellStyle name="level1a 2 2 5 4 3 4" xfId="25827"/>
    <cellStyle name="level1a 2 2 5 4 4" xfId="1396"/>
    <cellStyle name="level1a 2 2 5 4 4 2" xfId="1397"/>
    <cellStyle name="level1a 2 2 5 4 4 2 2" xfId="25828"/>
    <cellStyle name="level1a 2 2 5 4 4 3" xfId="25829"/>
    <cellStyle name="level1a 2 2 5 4 5" xfId="1398"/>
    <cellStyle name="level1a 2 2 5 4 5 2" xfId="25830"/>
    <cellStyle name="level1a 2 2 5 4 6" xfId="25831"/>
    <cellStyle name="level1a 2 2 5 5" xfId="1399"/>
    <cellStyle name="level1a 2 2 5 5 2" xfId="1400"/>
    <cellStyle name="level1a 2 2 5 5 2 2" xfId="1401"/>
    <cellStyle name="level1a 2 2 5 5 2 2 2" xfId="1402"/>
    <cellStyle name="level1a 2 2 5 5 2 2 2 2" xfId="25832"/>
    <cellStyle name="level1a 2 2 5 5 2 2 3" xfId="25833"/>
    <cellStyle name="level1a 2 2 5 5 2 3" xfId="1403"/>
    <cellStyle name="level1a 2 2 5 5 2 3 2" xfId="25834"/>
    <cellStyle name="level1a 2 2 5 5 2 4" xfId="25835"/>
    <cellStyle name="level1a 2 2 5 5 3" xfId="1404"/>
    <cellStyle name="level1a 2 2 5 5 3 2" xfId="1405"/>
    <cellStyle name="level1a 2 2 5 5 3 2 2" xfId="1406"/>
    <cellStyle name="level1a 2 2 5 5 3 2 2 2" xfId="25836"/>
    <cellStyle name="level1a 2 2 5 5 3 2 3" xfId="25837"/>
    <cellStyle name="level1a 2 2 5 5 3 3" xfId="1407"/>
    <cellStyle name="level1a 2 2 5 5 3 3 2" xfId="25838"/>
    <cellStyle name="level1a 2 2 5 5 3 4" xfId="25839"/>
    <cellStyle name="level1a 2 2 5 5 4" xfId="1408"/>
    <cellStyle name="level1a 2 2 5 5 4 2" xfId="1409"/>
    <cellStyle name="level1a 2 2 5 5 4 2 2" xfId="25840"/>
    <cellStyle name="level1a 2 2 5 5 4 3" xfId="25841"/>
    <cellStyle name="level1a 2 2 5 5 5" xfId="1410"/>
    <cellStyle name="level1a 2 2 5 5 5 2" xfId="25842"/>
    <cellStyle name="level1a 2 2 5 5 6" xfId="25843"/>
    <cellStyle name="level1a 2 2 5 6" xfId="1411"/>
    <cellStyle name="level1a 2 2 5 6 2" xfId="1412"/>
    <cellStyle name="level1a 2 2 5 6 2 2" xfId="1413"/>
    <cellStyle name="level1a 2 2 5 6 2 2 2" xfId="1414"/>
    <cellStyle name="level1a 2 2 5 6 2 2 2 2" xfId="25844"/>
    <cellStyle name="level1a 2 2 5 6 2 2 3" xfId="25845"/>
    <cellStyle name="level1a 2 2 5 6 2 3" xfId="1415"/>
    <cellStyle name="level1a 2 2 5 6 2 3 2" xfId="25846"/>
    <cellStyle name="level1a 2 2 5 6 2 4" xfId="25847"/>
    <cellStyle name="level1a 2 2 5 6 3" xfId="1416"/>
    <cellStyle name="level1a 2 2 5 6 3 2" xfId="1417"/>
    <cellStyle name="level1a 2 2 5 6 3 2 2" xfId="1418"/>
    <cellStyle name="level1a 2 2 5 6 3 2 2 2" xfId="25848"/>
    <cellStyle name="level1a 2 2 5 6 3 2 3" xfId="25849"/>
    <cellStyle name="level1a 2 2 5 6 3 3" xfId="1419"/>
    <cellStyle name="level1a 2 2 5 6 3 3 2" xfId="25850"/>
    <cellStyle name="level1a 2 2 5 6 3 4" xfId="25851"/>
    <cellStyle name="level1a 2 2 5 6 4" xfId="1420"/>
    <cellStyle name="level1a 2 2 5 6 4 2" xfId="1421"/>
    <cellStyle name="level1a 2 2 5 6 4 2 2" xfId="25852"/>
    <cellStyle name="level1a 2 2 5 6 4 3" xfId="25853"/>
    <cellStyle name="level1a 2 2 5 6 5" xfId="1422"/>
    <cellStyle name="level1a 2 2 5 6 5 2" xfId="25854"/>
    <cellStyle name="level1a 2 2 5 6 6" xfId="25855"/>
    <cellStyle name="level1a 2 2 5 7" xfId="1423"/>
    <cellStyle name="level1a 2 2 5 7 2" xfId="1424"/>
    <cellStyle name="level1a 2 2 5 7 2 2" xfId="1425"/>
    <cellStyle name="level1a 2 2 5 7 2 2 2" xfId="25856"/>
    <cellStyle name="level1a 2 2 5 7 2 3" xfId="25857"/>
    <cellStyle name="level1a 2 2 5 7 3" xfId="1426"/>
    <cellStyle name="level1a 2 2 5 7 3 2" xfId="25858"/>
    <cellStyle name="level1a 2 2 5 7 4" xfId="25859"/>
    <cellStyle name="level1a 2 2 5 8" xfId="1427"/>
    <cellStyle name="level1a 2 2 5 8 2" xfId="1428"/>
    <cellStyle name="level1a 2 2 5 8 2 2" xfId="1429"/>
    <cellStyle name="level1a 2 2 5 8 2 2 2" xfId="25860"/>
    <cellStyle name="level1a 2 2 5 8 2 3" xfId="25861"/>
    <cellStyle name="level1a 2 2 5 8 3" xfId="1430"/>
    <cellStyle name="level1a 2 2 5 8 3 2" xfId="25862"/>
    <cellStyle name="level1a 2 2 5 8 4" xfId="25863"/>
    <cellStyle name="level1a 2 2 5 9" xfId="25864"/>
    <cellStyle name="level1a 2 2 5_STUD aligned by INSTIT" xfId="1431"/>
    <cellStyle name="level1a 2 2 6" xfId="1432"/>
    <cellStyle name="level1a 2 2 6 2" xfId="1433"/>
    <cellStyle name="level1a 2 2 6 2 2" xfId="1434"/>
    <cellStyle name="level1a 2 2 6 2 2 2" xfId="1435"/>
    <cellStyle name="level1a 2 2 6 2 2 2 2" xfId="25865"/>
    <cellStyle name="level1a 2 2 6 2 2 3" xfId="25866"/>
    <cellStyle name="level1a 2 2 6 2 3" xfId="1436"/>
    <cellStyle name="level1a 2 2 6 2 3 2" xfId="25867"/>
    <cellStyle name="level1a 2 2 6 2 4" xfId="25868"/>
    <cellStyle name="level1a 2 2 6 3" xfId="1437"/>
    <cellStyle name="level1a 2 2 6 3 2" xfId="1438"/>
    <cellStyle name="level1a 2 2 6 3 2 2" xfId="1439"/>
    <cellStyle name="level1a 2 2 6 3 2 2 2" xfId="25869"/>
    <cellStyle name="level1a 2 2 6 3 2 3" xfId="25870"/>
    <cellStyle name="level1a 2 2 6 3 3" xfId="1440"/>
    <cellStyle name="level1a 2 2 6 3 3 2" xfId="25871"/>
    <cellStyle name="level1a 2 2 6 3 4" xfId="25872"/>
    <cellStyle name="level1a 2 2 6 4" xfId="1441"/>
    <cellStyle name="level1a 2 2 6 4 2" xfId="25873"/>
    <cellStyle name="level1a 2 2 6 5" xfId="1442"/>
    <cellStyle name="level1a 2 2 6 5 2" xfId="1443"/>
    <cellStyle name="level1a 2 2 6 5 2 2" xfId="25874"/>
    <cellStyle name="level1a 2 2 6 5 3" xfId="25875"/>
    <cellStyle name="level1a 2 2 6 6" xfId="25876"/>
    <cellStyle name="level1a 2 2 7" xfId="1444"/>
    <cellStyle name="level1a 2 2 7 2" xfId="1445"/>
    <cellStyle name="level1a 2 2 7 2 2" xfId="1446"/>
    <cellStyle name="level1a 2 2 7 2 2 2" xfId="1447"/>
    <cellStyle name="level1a 2 2 7 2 2 2 2" xfId="25877"/>
    <cellStyle name="level1a 2 2 7 2 2 3" xfId="25878"/>
    <cellStyle name="level1a 2 2 7 2 3" xfId="1448"/>
    <cellStyle name="level1a 2 2 7 2 3 2" xfId="25879"/>
    <cellStyle name="level1a 2 2 7 2 4" xfId="25880"/>
    <cellStyle name="level1a 2 2 7 3" xfId="1449"/>
    <cellStyle name="level1a 2 2 7 3 2" xfId="1450"/>
    <cellStyle name="level1a 2 2 7 3 2 2" xfId="1451"/>
    <cellStyle name="level1a 2 2 7 3 2 2 2" xfId="25881"/>
    <cellStyle name="level1a 2 2 7 3 2 3" xfId="25882"/>
    <cellStyle name="level1a 2 2 7 3 3" xfId="1452"/>
    <cellStyle name="level1a 2 2 7 3 3 2" xfId="25883"/>
    <cellStyle name="level1a 2 2 7 3 4" xfId="25884"/>
    <cellStyle name="level1a 2 2 7 4" xfId="1453"/>
    <cellStyle name="level1a 2 2 7 4 2" xfId="25885"/>
    <cellStyle name="level1a 2 2 7 5" xfId="1454"/>
    <cellStyle name="level1a 2 2 7 5 2" xfId="1455"/>
    <cellStyle name="level1a 2 2 7 5 2 2" xfId="25886"/>
    <cellStyle name="level1a 2 2 7 5 3" xfId="25887"/>
    <cellStyle name="level1a 2 2 7 6" xfId="1456"/>
    <cellStyle name="level1a 2 2 7 6 2" xfId="25888"/>
    <cellStyle name="level1a 2 2 7 7" xfId="25889"/>
    <cellStyle name="level1a 2 2 8" xfId="1457"/>
    <cellStyle name="level1a 2 2 8 2" xfId="1458"/>
    <cellStyle name="level1a 2 2 8 2 2" xfId="1459"/>
    <cellStyle name="level1a 2 2 8 2 2 2" xfId="1460"/>
    <cellStyle name="level1a 2 2 8 2 2 2 2" xfId="25890"/>
    <cellStyle name="level1a 2 2 8 2 2 3" xfId="25891"/>
    <cellStyle name="level1a 2 2 8 2 3" xfId="1461"/>
    <cellStyle name="level1a 2 2 8 2 3 2" xfId="25892"/>
    <cellStyle name="level1a 2 2 8 2 4" xfId="25893"/>
    <cellStyle name="level1a 2 2 8 3" xfId="1462"/>
    <cellStyle name="level1a 2 2 8 3 2" xfId="1463"/>
    <cellStyle name="level1a 2 2 8 3 2 2" xfId="1464"/>
    <cellStyle name="level1a 2 2 8 3 2 2 2" xfId="25894"/>
    <cellStyle name="level1a 2 2 8 3 2 3" xfId="25895"/>
    <cellStyle name="level1a 2 2 8 3 3" xfId="1465"/>
    <cellStyle name="level1a 2 2 8 3 3 2" xfId="25896"/>
    <cellStyle name="level1a 2 2 8 3 4" xfId="25897"/>
    <cellStyle name="level1a 2 2 8 4" xfId="1466"/>
    <cellStyle name="level1a 2 2 8 4 2" xfId="25898"/>
    <cellStyle name="level1a 2 2 8 5" xfId="1467"/>
    <cellStyle name="level1a 2 2 8 5 2" xfId="25899"/>
    <cellStyle name="level1a 2 2 8 6" xfId="25900"/>
    <cellStyle name="level1a 2 2 9" xfId="1468"/>
    <cellStyle name="level1a 2 2 9 2" xfId="1469"/>
    <cellStyle name="level1a 2 2 9 2 2" xfId="1470"/>
    <cellStyle name="level1a 2 2 9 2 2 2" xfId="1471"/>
    <cellStyle name="level1a 2 2 9 2 2 2 2" xfId="25901"/>
    <cellStyle name="level1a 2 2 9 2 2 3" xfId="25902"/>
    <cellStyle name="level1a 2 2 9 2 3" xfId="1472"/>
    <cellStyle name="level1a 2 2 9 2 3 2" xfId="25903"/>
    <cellStyle name="level1a 2 2 9 2 4" xfId="25904"/>
    <cellStyle name="level1a 2 2 9 3" xfId="1473"/>
    <cellStyle name="level1a 2 2 9 3 2" xfId="1474"/>
    <cellStyle name="level1a 2 2 9 3 2 2" xfId="1475"/>
    <cellStyle name="level1a 2 2 9 3 2 2 2" xfId="25905"/>
    <cellStyle name="level1a 2 2 9 3 2 3" xfId="25906"/>
    <cellStyle name="level1a 2 2 9 3 3" xfId="1476"/>
    <cellStyle name="level1a 2 2 9 3 3 2" xfId="25907"/>
    <cellStyle name="level1a 2 2 9 3 4" xfId="25908"/>
    <cellStyle name="level1a 2 2 9 4" xfId="1477"/>
    <cellStyle name="level1a 2 2 9 4 2" xfId="25909"/>
    <cellStyle name="level1a 2 2 9 5" xfId="1478"/>
    <cellStyle name="level1a 2 2 9 5 2" xfId="1479"/>
    <cellStyle name="level1a 2 2 9 5 2 2" xfId="25910"/>
    <cellStyle name="level1a 2 2 9 5 3" xfId="25911"/>
    <cellStyle name="level1a 2 2 9 6" xfId="1480"/>
    <cellStyle name="level1a 2 2 9 6 2" xfId="25912"/>
    <cellStyle name="level1a 2 2 9 7" xfId="25913"/>
    <cellStyle name="level1a 2 2_STUD aligned by INSTIT" xfId="1481"/>
    <cellStyle name="level1a 2 3" xfId="1482"/>
    <cellStyle name="level1a 2 3 10" xfId="1483"/>
    <cellStyle name="level1a 2 3 10 2" xfId="1484"/>
    <cellStyle name="level1a 2 3 10 2 2" xfId="1485"/>
    <cellStyle name="level1a 2 3 10 2 2 2" xfId="25914"/>
    <cellStyle name="level1a 2 3 10 2 3" xfId="25915"/>
    <cellStyle name="level1a 2 3 10 3" xfId="1486"/>
    <cellStyle name="level1a 2 3 10 3 2" xfId="25916"/>
    <cellStyle name="level1a 2 3 10 4" xfId="25917"/>
    <cellStyle name="level1a 2 3 11" xfId="1487"/>
    <cellStyle name="level1a 2 3 11 2" xfId="25918"/>
    <cellStyle name="level1a 2 3 12" xfId="25919"/>
    <cellStyle name="level1a 2 3 2" xfId="1488"/>
    <cellStyle name="level1a 2 3 2 10" xfId="1489"/>
    <cellStyle name="level1a 2 3 2 10 2" xfId="25920"/>
    <cellStyle name="level1a 2 3 2 11" xfId="25921"/>
    <cellStyle name="level1a 2 3 2 2" xfId="1490"/>
    <cellStyle name="level1a 2 3 2 2 2" xfId="1491"/>
    <cellStyle name="level1a 2 3 2 2 2 2" xfId="1492"/>
    <cellStyle name="level1a 2 3 2 2 2 2 2" xfId="1493"/>
    <cellStyle name="level1a 2 3 2 2 2 2 2 2" xfId="1494"/>
    <cellStyle name="level1a 2 3 2 2 2 2 2 2 2" xfId="25922"/>
    <cellStyle name="level1a 2 3 2 2 2 2 2 3" xfId="25923"/>
    <cellStyle name="level1a 2 3 2 2 2 2 3" xfId="1495"/>
    <cellStyle name="level1a 2 3 2 2 2 2 3 2" xfId="25924"/>
    <cellStyle name="level1a 2 3 2 2 2 2 4" xfId="25925"/>
    <cellStyle name="level1a 2 3 2 2 2 3" xfId="1496"/>
    <cellStyle name="level1a 2 3 2 2 2 3 2" xfId="1497"/>
    <cellStyle name="level1a 2 3 2 2 2 3 2 2" xfId="1498"/>
    <cellStyle name="level1a 2 3 2 2 2 3 2 2 2" xfId="25926"/>
    <cellStyle name="level1a 2 3 2 2 2 3 2 3" xfId="25927"/>
    <cellStyle name="level1a 2 3 2 2 2 3 3" xfId="1499"/>
    <cellStyle name="level1a 2 3 2 2 2 3 3 2" xfId="25928"/>
    <cellStyle name="level1a 2 3 2 2 2 3 4" xfId="25929"/>
    <cellStyle name="level1a 2 3 2 2 2 4" xfId="1500"/>
    <cellStyle name="level1a 2 3 2 2 2 4 2" xfId="25930"/>
    <cellStyle name="level1a 2 3 2 2 2 5" xfId="1501"/>
    <cellStyle name="level1a 2 3 2 2 2 5 2" xfId="1502"/>
    <cellStyle name="level1a 2 3 2 2 2 5 2 2" xfId="25931"/>
    <cellStyle name="level1a 2 3 2 2 2 5 3" xfId="25932"/>
    <cellStyle name="level1a 2 3 2 2 2 6" xfId="25933"/>
    <cellStyle name="level1a 2 3 2 2 3" xfId="1503"/>
    <cellStyle name="level1a 2 3 2 2 3 2" xfId="1504"/>
    <cellStyle name="level1a 2 3 2 2 3 2 2" xfId="1505"/>
    <cellStyle name="level1a 2 3 2 2 3 2 2 2" xfId="1506"/>
    <cellStyle name="level1a 2 3 2 2 3 2 2 2 2" xfId="25934"/>
    <cellStyle name="level1a 2 3 2 2 3 2 2 3" xfId="25935"/>
    <cellStyle name="level1a 2 3 2 2 3 2 3" xfId="1507"/>
    <cellStyle name="level1a 2 3 2 2 3 2 3 2" xfId="25936"/>
    <cellStyle name="level1a 2 3 2 2 3 2 4" xfId="25937"/>
    <cellStyle name="level1a 2 3 2 2 3 3" xfId="1508"/>
    <cellStyle name="level1a 2 3 2 2 3 3 2" xfId="1509"/>
    <cellStyle name="level1a 2 3 2 2 3 3 2 2" xfId="1510"/>
    <cellStyle name="level1a 2 3 2 2 3 3 2 2 2" xfId="25938"/>
    <cellStyle name="level1a 2 3 2 2 3 3 2 3" xfId="25939"/>
    <cellStyle name="level1a 2 3 2 2 3 3 3" xfId="1511"/>
    <cellStyle name="level1a 2 3 2 2 3 3 3 2" xfId="25940"/>
    <cellStyle name="level1a 2 3 2 2 3 3 4" xfId="25941"/>
    <cellStyle name="level1a 2 3 2 2 3 4" xfId="1512"/>
    <cellStyle name="level1a 2 3 2 2 3 4 2" xfId="25942"/>
    <cellStyle name="level1a 2 3 2 2 3 5" xfId="1513"/>
    <cellStyle name="level1a 2 3 2 2 3 5 2" xfId="25943"/>
    <cellStyle name="level1a 2 3 2 2 3 6" xfId="25944"/>
    <cellStyle name="level1a 2 3 2 2 4" xfId="1514"/>
    <cellStyle name="level1a 2 3 2 2 4 2" xfId="1515"/>
    <cellStyle name="level1a 2 3 2 2 4 2 2" xfId="1516"/>
    <cellStyle name="level1a 2 3 2 2 4 2 2 2" xfId="1517"/>
    <cellStyle name="level1a 2 3 2 2 4 2 2 2 2" xfId="25945"/>
    <cellStyle name="level1a 2 3 2 2 4 2 2 3" xfId="25946"/>
    <cellStyle name="level1a 2 3 2 2 4 2 3" xfId="1518"/>
    <cellStyle name="level1a 2 3 2 2 4 2 3 2" xfId="25947"/>
    <cellStyle name="level1a 2 3 2 2 4 2 4" xfId="25948"/>
    <cellStyle name="level1a 2 3 2 2 4 3" xfId="1519"/>
    <cellStyle name="level1a 2 3 2 2 4 3 2" xfId="1520"/>
    <cellStyle name="level1a 2 3 2 2 4 3 2 2" xfId="1521"/>
    <cellStyle name="level1a 2 3 2 2 4 3 2 2 2" xfId="25949"/>
    <cellStyle name="level1a 2 3 2 2 4 3 2 3" xfId="25950"/>
    <cellStyle name="level1a 2 3 2 2 4 3 3" xfId="1522"/>
    <cellStyle name="level1a 2 3 2 2 4 3 3 2" xfId="25951"/>
    <cellStyle name="level1a 2 3 2 2 4 3 4" xfId="25952"/>
    <cellStyle name="level1a 2 3 2 2 4 4" xfId="1523"/>
    <cellStyle name="level1a 2 3 2 2 4 4 2" xfId="25953"/>
    <cellStyle name="level1a 2 3 2 2 4 5" xfId="1524"/>
    <cellStyle name="level1a 2 3 2 2 4 5 2" xfId="1525"/>
    <cellStyle name="level1a 2 3 2 2 4 5 2 2" xfId="25954"/>
    <cellStyle name="level1a 2 3 2 2 4 5 3" xfId="25955"/>
    <cellStyle name="level1a 2 3 2 2 4 6" xfId="1526"/>
    <cellStyle name="level1a 2 3 2 2 4 6 2" xfId="25956"/>
    <cellStyle name="level1a 2 3 2 2 4 7" xfId="25957"/>
    <cellStyle name="level1a 2 3 2 2 5" xfId="1527"/>
    <cellStyle name="level1a 2 3 2 2 5 2" xfId="1528"/>
    <cellStyle name="level1a 2 3 2 2 5 2 2" xfId="1529"/>
    <cellStyle name="level1a 2 3 2 2 5 2 2 2" xfId="1530"/>
    <cellStyle name="level1a 2 3 2 2 5 2 2 2 2" xfId="25958"/>
    <cellStyle name="level1a 2 3 2 2 5 2 2 3" xfId="25959"/>
    <cellStyle name="level1a 2 3 2 2 5 2 3" xfId="1531"/>
    <cellStyle name="level1a 2 3 2 2 5 2 3 2" xfId="25960"/>
    <cellStyle name="level1a 2 3 2 2 5 2 4" xfId="25961"/>
    <cellStyle name="level1a 2 3 2 2 5 3" xfId="1532"/>
    <cellStyle name="level1a 2 3 2 2 5 3 2" xfId="1533"/>
    <cellStyle name="level1a 2 3 2 2 5 3 2 2" xfId="1534"/>
    <cellStyle name="level1a 2 3 2 2 5 3 2 2 2" xfId="25962"/>
    <cellStyle name="level1a 2 3 2 2 5 3 2 3" xfId="25963"/>
    <cellStyle name="level1a 2 3 2 2 5 3 3" xfId="1535"/>
    <cellStyle name="level1a 2 3 2 2 5 3 3 2" xfId="25964"/>
    <cellStyle name="level1a 2 3 2 2 5 3 4" xfId="25965"/>
    <cellStyle name="level1a 2 3 2 2 5 4" xfId="1536"/>
    <cellStyle name="level1a 2 3 2 2 5 4 2" xfId="1537"/>
    <cellStyle name="level1a 2 3 2 2 5 4 2 2" xfId="25966"/>
    <cellStyle name="level1a 2 3 2 2 5 4 3" xfId="25967"/>
    <cellStyle name="level1a 2 3 2 2 5 5" xfId="1538"/>
    <cellStyle name="level1a 2 3 2 2 5 5 2" xfId="25968"/>
    <cellStyle name="level1a 2 3 2 2 5 6" xfId="25969"/>
    <cellStyle name="level1a 2 3 2 2 6" xfId="1539"/>
    <cellStyle name="level1a 2 3 2 2 6 2" xfId="1540"/>
    <cellStyle name="level1a 2 3 2 2 6 2 2" xfId="1541"/>
    <cellStyle name="level1a 2 3 2 2 6 2 2 2" xfId="1542"/>
    <cellStyle name="level1a 2 3 2 2 6 2 2 2 2" xfId="25970"/>
    <cellStyle name="level1a 2 3 2 2 6 2 2 3" xfId="25971"/>
    <cellStyle name="level1a 2 3 2 2 6 2 3" xfId="1543"/>
    <cellStyle name="level1a 2 3 2 2 6 2 3 2" xfId="25972"/>
    <cellStyle name="level1a 2 3 2 2 6 2 4" xfId="25973"/>
    <cellStyle name="level1a 2 3 2 2 6 3" xfId="1544"/>
    <cellStyle name="level1a 2 3 2 2 6 3 2" xfId="1545"/>
    <cellStyle name="level1a 2 3 2 2 6 3 2 2" xfId="1546"/>
    <cellStyle name="level1a 2 3 2 2 6 3 2 2 2" xfId="25974"/>
    <cellStyle name="level1a 2 3 2 2 6 3 2 3" xfId="25975"/>
    <cellStyle name="level1a 2 3 2 2 6 3 3" xfId="1547"/>
    <cellStyle name="level1a 2 3 2 2 6 3 3 2" xfId="25976"/>
    <cellStyle name="level1a 2 3 2 2 6 3 4" xfId="25977"/>
    <cellStyle name="level1a 2 3 2 2 6 4" xfId="1548"/>
    <cellStyle name="level1a 2 3 2 2 6 4 2" xfId="1549"/>
    <cellStyle name="level1a 2 3 2 2 6 4 2 2" xfId="25978"/>
    <cellStyle name="level1a 2 3 2 2 6 4 3" xfId="25979"/>
    <cellStyle name="level1a 2 3 2 2 6 5" xfId="1550"/>
    <cellStyle name="level1a 2 3 2 2 6 5 2" xfId="25980"/>
    <cellStyle name="level1a 2 3 2 2 6 6" xfId="25981"/>
    <cellStyle name="level1a 2 3 2 2 7" xfId="1551"/>
    <cellStyle name="level1a 2 3 2 2 7 2" xfId="1552"/>
    <cellStyle name="level1a 2 3 2 2 7 2 2" xfId="1553"/>
    <cellStyle name="level1a 2 3 2 2 7 2 2 2" xfId="25982"/>
    <cellStyle name="level1a 2 3 2 2 7 2 3" xfId="25983"/>
    <cellStyle name="level1a 2 3 2 2 7 3" xfId="1554"/>
    <cellStyle name="level1a 2 3 2 2 7 3 2" xfId="25984"/>
    <cellStyle name="level1a 2 3 2 2 7 4" xfId="25985"/>
    <cellStyle name="level1a 2 3 2 2 8" xfId="25986"/>
    <cellStyle name="level1a 2 3 2 2_STUD aligned by INSTIT" xfId="1555"/>
    <cellStyle name="level1a 2 3 2 3" xfId="1556"/>
    <cellStyle name="level1a 2 3 2 3 2" xfId="1557"/>
    <cellStyle name="level1a 2 3 2 3 2 2" xfId="1558"/>
    <cellStyle name="level1a 2 3 2 3 2 2 2" xfId="1559"/>
    <cellStyle name="level1a 2 3 2 3 2 2 2 2" xfId="1560"/>
    <cellStyle name="level1a 2 3 2 3 2 2 2 2 2" xfId="25987"/>
    <cellStyle name="level1a 2 3 2 3 2 2 2 3" xfId="25988"/>
    <cellStyle name="level1a 2 3 2 3 2 2 3" xfId="1561"/>
    <cellStyle name="level1a 2 3 2 3 2 2 3 2" xfId="25989"/>
    <cellStyle name="level1a 2 3 2 3 2 2 4" xfId="25990"/>
    <cellStyle name="level1a 2 3 2 3 2 3" xfId="1562"/>
    <cellStyle name="level1a 2 3 2 3 2 3 2" xfId="1563"/>
    <cellStyle name="level1a 2 3 2 3 2 3 2 2" xfId="1564"/>
    <cellStyle name="level1a 2 3 2 3 2 3 2 2 2" xfId="25991"/>
    <cellStyle name="level1a 2 3 2 3 2 3 2 3" xfId="25992"/>
    <cellStyle name="level1a 2 3 2 3 2 3 3" xfId="1565"/>
    <cellStyle name="level1a 2 3 2 3 2 3 3 2" xfId="25993"/>
    <cellStyle name="level1a 2 3 2 3 2 3 4" xfId="25994"/>
    <cellStyle name="level1a 2 3 2 3 2 4" xfId="1566"/>
    <cellStyle name="level1a 2 3 2 3 2 4 2" xfId="25995"/>
    <cellStyle name="level1a 2 3 2 3 2 5" xfId="1567"/>
    <cellStyle name="level1a 2 3 2 3 2 5 2" xfId="25996"/>
    <cellStyle name="level1a 2 3 2 3 2 6" xfId="25997"/>
    <cellStyle name="level1a 2 3 2 3 3" xfId="1568"/>
    <cellStyle name="level1a 2 3 2 3 3 2" xfId="1569"/>
    <cellStyle name="level1a 2 3 2 3 3 2 2" xfId="1570"/>
    <cellStyle name="level1a 2 3 2 3 3 2 2 2" xfId="1571"/>
    <cellStyle name="level1a 2 3 2 3 3 2 2 2 2" xfId="25998"/>
    <cellStyle name="level1a 2 3 2 3 3 2 2 3" xfId="25999"/>
    <cellStyle name="level1a 2 3 2 3 3 2 3" xfId="1572"/>
    <cellStyle name="level1a 2 3 2 3 3 2 3 2" xfId="26000"/>
    <cellStyle name="level1a 2 3 2 3 3 2 4" xfId="26001"/>
    <cellStyle name="level1a 2 3 2 3 3 3" xfId="1573"/>
    <cellStyle name="level1a 2 3 2 3 3 3 2" xfId="1574"/>
    <cellStyle name="level1a 2 3 2 3 3 3 2 2" xfId="1575"/>
    <cellStyle name="level1a 2 3 2 3 3 3 2 2 2" xfId="26002"/>
    <cellStyle name="level1a 2 3 2 3 3 3 2 3" xfId="26003"/>
    <cellStyle name="level1a 2 3 2 3 3 3 3" xfId="1576"/>
    <cellStyle name="level1a 2 3 2 3 3 3 3 2" xfId="26004"/>
    <cellStyle name="level1a 2 3 2 3 3 3 4" xfId="26005"/>
    <cellStyle name="level1a 2 3 2 3 3 4" xfId="1577"/>
    <cellStyle name="level1a 2 3 2 3 3 4 2" xfId="1578"/>
    <cellStyle name="level1a 2 3 2 3 3 4 2 2" xfId="26006"/>
    <cellStyle name="level1a 2 3 2 3 3 4 3" xfId="26007"/>
    <cellStyle name="level1a 2 3 2 3 3 5" xfId="26008"/>
    <cellStyle name="level1a 2 3 2 3 4" xfId="1579"/>
    <cellStyle name="level1a 2 3 2 3 4 2" xfId="1580"/>
    <cellStyle name="level1a 2 3 2 3 4 2 2" xfId="1581"/>
    <cellStyle name="level1a 2 3 2 3 4 2 2 2" xfId="1582"/>
    <cellStyle name="level1a 2 3 2 3 4 2 2 2 2" xfId="26009"/>
    <cellStyle name="level1a 2 3 2 3 4 2 2 3" xfId="26010"/>
    <cellStyle name="level1a 2 3 2 3 4 2 3" xfId="1583"/>
    <cellStyle name="level1a 2 3 2 3 4 2 3 2" xfId="26011"/>
    <cellStyle name="level1a 2 3 2 3 4 2 4" xfId="26012"/>
    <cellStyle name="level1a 2 3 2 3 4 3" xfId="1584"/>
    <cellStyle name="level1a 2 3 2 3 4 3 2" xfId="1585"/>
    <cellStyle name="level1a 2 3 2 3 4 3 2 2" xfId="1586"/>
    <cellStyle name="level1a 2 3 2 3 4 3 2 2 2" xfId="26013"/>
    <cellStyle name="level1a 2 3 2 3 4 3 2 3" xfId="26014"/>
    <cellStyle name="level1a 2 3 2 3 4 3 3" xfId="1587"/>
    <cellStyle name="level1a 2 3 2 3 4 3 3 2" xfId="26015"/>
    <cellStyle name="level1a 2 3 2 3 4 3 4" xfId="26016"/>
    <cellStyle name="level1a 2 3 2 3 4 4" xfId="1588"/>
    <cellStyle name="level1a 2 3 2 3 4 4 2" xfId="1589"/>
    <cellStyle name="level1a 2 3 2 3 4 4 2 2" xfId="26017"/>
    <cellStyle name="level1a 2 3 2 3 4 4 3" xfId="26018"/>
    <cellStyle name="level1a 2 3 2 3 4 5" xfId="1590"/>
    <cellStyle name="level1a 2 3 2 3 4 5 2" xfId="26019"/>
    <cellStyle name="level1a 2 3 2 3 4 6" xfId="26020"/>
    <cellStyle name="level1a 2 3 2 3 5" xfId="1591"/>
    <cellStyle name="level1a 2 3 2 3 5 2" xfId="1592"/>
    <cellStyle name="level1a 2 3 2 3 5 2 2" xfId="1593"/>
    <cellStyle name="level1a 2 3 2 3 5 2 2 2" xfId="1594"/>
    <cellStyle name="level1a 2 3 2 3 5 2 2 2 2" xfId="26021"/>
    <cellStyle name="level1a 2 3 2 3 5 2 2 3" xfId="26022"/>
    <cellStyle name="level1a 2 3 2 3 5 2 3" xfId="1595"/>
    <cellStyle name="level1a 2 3 2 3 5 2 3 2" xfId="26023"/>
    <cellStyle name="level1a 2 3 2 3 5 2 4" xfId="26024"/>
    <cellStyle name="level1a 2 3 2 3 5 3" xfId="1596"/>
    <cellStyle name="level1a 2 3 2 3 5 3 2" xfId="1597"/>
    <cellStyle name="level1a 2 3 2 3 5 3 2 2" xfId="1598"/>
    <cellStyle name="level1a 2 3 2 3 5 3 2 2 2" xfId="26025"/>
    <cellStyle name="level1a 2 3 2 3 5 3 2 3" xfId="26026"/>
    <cellStyle name="level1a 2 3 2 3 5 3 3" xfId="1599"/>
    <cellStyle name="level1a 2 3 2 3 5 3 3 2" xfId="26027"/>
    <cellStyle name="level1a 2 3 2 3 5 3 4" xfId="26028"/>
    <cellStyle name="level1a 2 3 2 3 5 4" xfId="1600"/>
    <cellStyle name="level1a 2 3 2 3 5 4 2" xfId="1601"/>
    <cellStyle name="level1a 2 3 2 3 5 4 2 2" xfId="26029"/>
    <cellStyle name="level1a 2 3 2 3 5 4 3" xfId="26030"/>
    <cellStyle name="level1a 2 3 2 3 5 5" xfId="1602"/>
    <cellStyle name="level1a 2 3 2 3 5 5 2" xfId="26031"/>
    <cellStyle name="level1a 2 3 2 3 5 6" xfId="26032"/>
    <cellStyle name="level1a 2 3 2 3 6" xfId="1603"/>
    <cellStyle name="level1a 2 3 2 3 6 2" xfId="1604"/>
    <cellStyle name="level1a 2 3 2 3 6 2 2" xfId="1605"/>
    <cellStyle name="level1a 2 3 2 3 6 2 2 2" xfId="1606"/>
    <cellStyle name="level1a 2 3 2 3 6 2 2 2 2" xfId="26033"/>
    <cellStyle name="level1a 2 3 2 3 6 2 2 3" xfId="26034"/>
    <cellStyle name="level1a 2 3 2 3 6 2 3" xfId="1607"/>
    <cellStyle name="level1a 2 3 2 3 6 2 3 2" xfId="26035"/>
    <cellStyle name="level1a 2 3 2 3 6 2 4" xfId="26036"/>
    <cellStyle name="level1a 2 3 2 3 6 3" xfId="1608"/>
    <cellStyle name="level1a 2 3 2 3 6 3 2" xfId="1609"/>
    <cellStyle name="level1a 2 3 2 3 6 3 2 2" xfId="1610"/>
    <cellStyle name="level1a 2 3 2 3 6 3 2 2 2" xfId="26037"/>
    <cellStyle name="level1a 2 3 2 3 6 3 2 3" xfId="26038"/>
    <cellStyle name="level1a 2 3 2 3 6 3 3" xfId="1611"/>
    <cellStyle name="level1a 2 3 2 3 6 3 3 2" xfId="26039"/>
    <cellStyle name="level1a 2 3 2 3 6 3 4" xfId="26040"/>
    <cellStyle name="level1a 2 3 2 3 6 4" xfId="1612"/>
    <cellStyle name="level1a 2 3 2 3 6 4 2" xfId="1613"/>
    <cellStyle name="level1a 2 3 2 3 6 4 2 2" xfId="26041"/>
    <cellStyle name="level1a 2 3 2 3 6 4 3" xfId="26042"/>
    <cellStyle name="level1a 2 3 2 3 6 5" xfId="1614"/>
    <cellStyle name="level1a 2 3 2 3 6 5 2" xfId="26043"/>
    <cellStyle name="level1a 2 3 2 3 6 6" xfId="26044"/>
    <cellStyle name="level1a 2 3 2 3 7" xfId="1615"/>
    <cellStyle name="level1a 2 3 2 3 7 2" xfId="1616"/>
    <cellStyle name="level1a 2 3 2 3 7 2 2" xfId="1617"/>
    <cellStyle name="level1a 2 3 2 3 7 2 2 2" xfId="26045"/>
    <cellStyle name="level1a 2 3 2 3 7 2 3" xfId="26046"/>
    <cellStyle name="level1a 2 3 2 3 7 3" xfId="1618"/>
    <cellStyle name="level1a 2 3 2 3 7 3 2" xfId="26047"/>
    <cellStyle name="level1a 2 3 2 3 7 4" xfId="26048"/>
    <cellStyle name="level1a 2 3 2 3 8" xfId="1619"/>
    <cellStyle name="level1a 2 3 2 3 8 2" xfId="1620"/>
    <cellStyle name="level1a 2 3 2 3 8 2 2" xfId="1621"/>
    <cellStyle name="level1a 2 3 2 3 8 2 2 2" xfId="26049"/>
    <cellStyle name="level1a 2 3 2 3 8 2 3" xfId="26050"/>
    <cellStyle name="level1a 2 3 2 3 8 3" xfId="1622"/>
    <cellStyle name="level1a 2 3 2 3 8 3 2" xfId="26051"/>
    <cellStyle name="level1a 2 3 2 3 8 4" xfId="26052"/>
    <cellStyle name="level1a 2 3 2 3 9" xfId="26053"/>
    <cellStyle name="level1a 2 3 2 3_STUD aligned by INSTIT" xfId="1623"/>
    <cellStyle name="level1a 2 3 2 4" xfId="1624"/>
    <cellStyle name="level1a 2 3 2 4 2" xfId="1625"/>
    <cellStyle name="level1a 2 3 2 4 2 2" xfId="1626"/>
    <cellStyle name="level1a 2 3 2 4 2 2 2" xfId="1627"/>
    <cellStyle name="level1a 2 3 2 4 2 2 2 2" xfId="26054"/>
    <cellStyle name="level1a 2 3 2 4 2 2 3" xfId="26055"/>
    <cellStyle name="level1a 2 3 2 4 2 3" xfId="1628"/>
    <cellStyle name="level1a 2 3 2 4 2 3 2" xfId="26056"/>
    <cellStyle name="level1a 2 3 2 4 2 4" xfId="26057"/>
    <cellStyle name="level1a 2 3 2 4 3" xfId="1629"/>
    <cellStyle name="level1a 2 3 2 4 3 2" xfId="1630"/>
    <cellStyle name="level1a 2 3 2 4 3 2 2" xfId="1631"/>
    <cellStyle name="level1a 2 3 2 4 3 2 2 2" xfId="26058"/>
    <cellStyle name="level1a 2 3 2 4 3 2 3" xfId="26059"/>
    <cellStyle name="level1a 2 3 2 4 3 3" xfId="1632"/>
    <cellStyle name="level1a 2 3 2 4 3 3 2" xfId="26060"/>
    <cellStyle name="level1a 2 3 2 4 3 4" xfId="26061"/>
    <cellStyle name="level1a 2 3 2 4 4" xfId="1633"/>
    <cellStyle name="level1a 2 3 2 4 4 2" xfId="26062"/>
    <cellStyle name="level1a 2 3 2 4 5" xfId="1634"/>
    <cellStyle name="level1a 2 3 2 4 5 2" xfId="1635"/>
    <cellStyle name="level1a 2 3 2 4 5 2 2" xfId="26063"/>
    <cellStyle name="level1a 2 3 2 4 5 3" xfId="26064"/>
    <cellStyle name="level1a 2 3 2 4 6" xfId="26065"/>
    <cellStyle name="level1a 2 3 2 5" xfId="1636"/>
    <cellStyle name="level1a 2 3 2 5 2" xfId="1637"/>
    <cellStyle name="level1a 2 3 2 5 2 2" xfId="1638"/>
    <cellStyle name="level1a 2 3 2 5 2 2 2" xfId="1639"/>
    <cellStyle name="level1a 2 3 2 5 2 2 2 2" xfId="26066"/>
    <cellStyle name="level1a 2 3 2 5 2 2 3" xfId="26067"/>
    <cellStyle name="level1a 2 3 2 5 2 3" xfId="1640"/>
    <cellStyle name="level1a 2 3 2 5 2 3 2" xfId="26068"/>
    <cellStyle name="level1a 2 3 2 5 2 4" xfId="26069"/>
    <cellStyle name="level1a 2 3 2 5 3" xfId="1641"/>
    <cellStyle name="level1a 2 3 2 5 3 2" xfId="1642"/>
    <cellStyle name="level1a 2 3 2 5 3 2 2" xfId="1643"/>
    <cellStyle name="level1a 2 3 2 5 3 2 2 2" xfId="26070"/>
    <cellStyle name="level1a 2 3 2 5 3 2 3" xfId="26071"/>
    <cellStyle name="level1a 2 3 2 5 3 3" xfId="1644"/>
    <cellStyle name="level1a 2 3 2 5 3 3 2" xfId="26072"/>
    <cellStyle name="level1a 2 3 2 5 3 4" xfId="26073"/>
    <cellStyle name="level1a 2 3 2 5 4" xfId="1645"/>
    <cellStyle name="level1a 2 3 2 5 4 2" xfId="26074"/>
    <cellStyle name="level1a 2 3 2 5 5" xfId="1646"/>
    <cellStyle name="level1a 2 3 2 5 5 2" xfId="1647"/>
    <cellStyle name="level1a 2 3 2 5 5 2 2" xfId="26075"/>
    <cellStyle name="level1a 2 3 2 5 5 3" xfId="26076"/>
    <cellStyle name="level1a 2 3 2 5 6" xfId="1648"/>
    <cellStyle name="level1a 2 3 2 5 6 2" xfId="26077"/>
    <cellStyle name="level1a 2 3 2 5 7" xfId="26078"/>
    <cellStyle name="level1a 2 3 2 6" xfId="1649"/>
    <cellStyle name="level1a 2 3 2 6 2" xfId="1650"/>
    <cellStyle name="level1a 2 3 2 6 2 2" xfId="1651"/>
    <cellStyle name="level1a 2 3 2 6 2 2 2" xfId="1652"/>
    <cellStyle name="level1a 2 3 2 6 2 2 2 2" xfId="26079"/>
    <cellStyle name="level1a 2 3 2 6 2 2 3" xfId="26080"/>
    <cellStyle name="level1a 2 3 2 6 2 3" xfId="1653"/>
    <cellStyle name="level1a 2 3 2 6 2 3 2" xfId="26081"/>
    <cellStyle name="level1a 2 3 2 6 2 4" xfId="26082"/>
    <cellStyle name="level1a 2 3 2 6 3" xfId="1654"/>
    <cellStyle name="level1a 2 3 2 6 3 2" xfId="1655"/>
    <cellStyle name="level1a 2 3 2 6 3 2 2" xfId="1656"/>
    <cellStyle name="level1a 2 3 2 6 3 2 2 2" xfId="26083"/>
    <cellStyle name="level1a 2 3 2 6 3 2 3" xfId="26084"/>
    <cellStyle name="level1a 2 3 2 6 3 3" xfId="1657"/>
    <cellStyle name="level1a 2 3 2 6 3 3 2" xfId="26085"/>
    <cellStyle name="level1a 2 3 2 6 3 4" xfId="26086"/>
    <cellStyle name="level1a 2 3 2 6 4" xfId="1658"/>
    <cellStyle name="level1a 2 3 2 6 4 2" xfId="26087"/>
    <cellStyle name="level1a 2 3 2 6 5" xfId="1659"/>
    <cellStyle name="level1a 2 3 2 6 5 2" xfId="26088"/>
    <cellStyle name="level1a 2 3 2 6 6" xfId="26089"/>
    <cellStyle name="level1a 2 3 2 7" xfId="1660"/>
    <cellStyle name="level1a 2 3 2 7 2" xfId="1661"/>
    <cellStyle name="level1a 2 3 2 7 2 2" xfId="1662"/>
    <cellStyle name="level1a 2 3 2 7 2 2 2" xfId="1663"/>
    <cellStyle name="level1a 2 3 2 7 2 2 2 2" xfId="26090"/>
    <cellStyle name="level1a 2 3 2 7 2 2 3" xfId="26091"/>
    <cellStyle name="level1a 2 3 2 7 2 3" xfId="1664"/>
    <cellStyle name="level1a 2 3 2 7 2 3 2" xfId="26092"/>
    <cellStyle name="level1a 2 3 2 7 2 4" xfId="26093"/>
    <cellStyle name="level1a 2 3 2 7 3" xfId="1665"/>
    <cellStyle name="level1a 2 3 2 7 3 2" xfId="1666"/>
    <cellStyle name="level1a 2 3 2 7 3 2 2" xfId="1667"/>
    <cellStyle name="level1a 2 3 2 7 3 2 2 2" xfId="26094"/>
    <cellStyle name="level1a 2 3 2 7 3 2 3" xfId="26095"/>
    <cellStyle name="level1a 2 3 2 7 3 3" xfId="1668"/>
    <cellStyle name="level1a 2 3 2 7 3 3 2" xfId="26096"/>
    <cellStyle name="level1a 2 3 2 7 3 4" xfId="26097"/>
    <cellStyle name="level1a 2 3 2 7 4" xfId="1669"/>
    <cellStyle name="level1a 2 3 2 7 4 2" xfId="26098"/>
    <cellStyle name="level1a 2 3 2 7 5" xfId="1670"/>
    <cellStyle name="level1a 2 3 2 7 5 2" xfId="1671"/>
    <cellStyle name="level1a 2 3 2 7 5 2 2" xfId="26099"/>
    <cellStyle name="level1a 2 3 2 7 5 3" xfId="26100"/>
    <cellStyle name="level1a 2 3 2 7 6" xfId="1672"/>
    <cellStyle name="level1a 2 3 2 7 6 2" xfId="26101"/>
    <cellStyle name="level1a 2 3 2 7 7" xfId="26102"/>
    <cellStyle name="level1a 2 3 2 8" xfId="1673"/>
    <cellStyle name="level1a 2 3 2 8 2" xfId="1674"/>
    <cellStyle name="level1a 2 3 2 8 2 2" xfId="1675"/>
    <cellStyle name="level1a 2 3 2 8 2 2 2" xfId="1676"/>
    <cellStyle name="level1a 2 3 2 8 2 2 2 2" xfId="26103"/>
    <cellStyle name="level1a 2 3 2 8 2 2 3" xfId="26104"/>
    <cellStyle name="level1a 2 3 2 8 2 3" xfId="1677"/>
    <cellStyle name="level1a 2 3 2 8 2 3 2" xfId="26105"/>
    <cellStyle name="level1a 2 3 2 8 2 4" xfId="26106"/>
    <cellStyle name="level1a 2 3 2 8 3" xfId="1678"/>
    <cellStyle name="level1a 2 3 2 8 3 2" xfId="1679"/>
    <cellStyle name="level1a 2 3 2 8 3 2 2" xfId="1680"/>
    <cellStyle name="level1a 2 3 2 8 3 2 2 2" xfId="26107"/>
    <cellStyle name="level1a 2 3 2 8 3 2 3" xfId="26108"/>
    <cellStyle name="level1a 2 3 2 8 3 3" xfId="1681"/>
    <cellStyle name="level1a 2 3 2 8 3 3 2" xfId="26109"/>
    <cellStyle name="level1a 2 3 2 8 3 4" xfId="26110"/>
    <cellStyle name="level1a 2 3 2 8 4" xfId="1682"/>
    <cellStyle name="level1a 2 3 2 8 4 2" xfId="1683"/>
    <cellStyle name="level1a 2 3 2 8 4 2 2" xfId="26111"/>
    <cellStyle name="level1a 2 3 2 8 4 3" xfId="26112"/>
    <cellStyle name="level1a 2 3 2 8 5" xfId="1684"/>
    <cellStyle name="level1a 2 3 2 8 5 2" xfId="26113"/>
    <cellStyle name="level1a 2 3 2 8 6" xfId="26114"/>
    <cellStyle name="level1a 2 3 2 9" xfId="1685"/>
    <cellStyle name="level1a 2 3 2 9 2" xfId="1686"/>
    <cellStyle name="level1a 2 3 2 9 2 2" xfId="1687"/>
    <cellStyle name="level1a 2 3 2 9 2 2 2" xfId="26115"/>
    <cellStyle name="level1a 2 3 2 9 2 3" xfId="26116"/>
    <cellStyle name="level1a 2 3 2 9 3" xfId="1688"/>
    <cellStyle name="level1a 2 3 2 9 3 2" xfId="26117"/>
    <cellStyle name="level1a 2 3 2 9 4" xfId="26118"/>
    <cellStyle name="level1a 2 3 2_STUD aligned by INSTIT" xfId="1689"/>
    <cellStyle name="level1a 2 3 3" xfId="1690"/>
    <cellStyle name="level1a 2 3 3 2" xfId="1691"/>
    <cellStyle name="level1a 2 3 3 2 2" xfId="1692"/>
    <cellStyle name="level1a 2 3 3 2 2 2" xfId="1693"/>
    <cellStyle name="level1a 2 3 3 2 2 2 2" xfId="1694"/>
    <cellStyle name="level1a 2 3 3 2 2 2 2 2" xfId="26119"/>
    <cellStyle name="level1a 2 3 3 2 2 2 3" xfId="26120"/>
    <cellStyle name="level1a 2 3 3 2 2 3" xfId="1695"/>
    <cellStyle name="level1a 2 3 3 2 2 3 2" xfId="26121"/>
    <cellStyle name="level1a 2 3 3 2 2 4" xfId="26122"/>
    <cellStyle name="level1a 2 3 3 2 3" xfId="1696"/>
    <cellStyle name="level1a 2 3 3 2 3 2" xfId="1697"/>
    <cellStyle name="level1a 2 3 3 2 3 2 2" xfId="1698"/>
    <cellStyle name="level1a 2 3 3 2 3 2 2 2" xfId="26123"/>
    <cellStyle name="level1a 2 3 3 2 3 2 3" xfId="26124"/>
    <cellStyle name="level1a 2 3 3 2 3 3" xfId="1699"/>
    <cellStyle name="level1a 2 3 3 2 3 3 2" xfId="26125"/>
    <cellStyle name="level1a 2 3 3 2 3 4" xfId="26126"/>
    <cellStyle name="level1a 2 3 3 2 4" xfId="1700"/>
    <cellStyle name="level1a 2 3 3 2 4 2" xfId="26127"/>
    <cellStyle name="level1a 2 3 3 2 5" xfId="1701"/>
    <cellStyle name="level1a 2 3 3 2 5 2" xfId="1702"/>
    <cellStyle name="level1a 2 3 3 2 5 2 2" xfId="26128"/>
    <cellStyle name="level1a 2 3 3 2 5 3" xfId="26129"/>
    <cellStyle name="level1a 2 3 3 2 6" xfId="26130"/>
    <cellStyle name="level1a 2 3 3 3" xfId="1703"/>
    <cellStyle name="level1a 2 3 3 3 2" xfId="1704"/>
    <cellStyle name="level1a 2 3 3 3 2 2" xfId="1705"/>
    <cellStyle name="level1a 2 3 3 3 2 2 2" xfId="1706"/>
    <cellStyle name="level1a 2 3 3 3 2 2 2 2" xfId="26131"/>
    <cellStyle name="level1a 2 3 3 3 2 2 3" xfId="26132"/>
    <cellStyle name="level1a 2 3 3 3 2 3" xfId="1707"/>
    <cellStyle name="level1a 2 3 3 3 2 3 2" xfId="26133"/>
    <cellStyle name="level1a 2 3 3 3 2 4" xfId="26134"/>
    <cellStyle name="level1a 2 3 3 3 3" xfId="1708"/>
    <cellStyle name="level1a 2 3 3 3 3 2" xfId="1709"/>
    <cellStyle name="level1a 2 3 3 3 3 2 2" xfId="1710"/>
    <cellStyle name="level1a 2 3 3 3 3 2 2 2" xfId="26135"/>
    <cellStyle name="level1a 2 3 3 3 3 2 3" xfId="26136"/>
    <cellStyle name="level1a 2 3 3 3 3 3" xfId="1711"/>
    <cellStyle name="level1a 2 3 3 3 3 3 2" xfId="26137"/>
    <cellStyle name="level1a 2 3 3 3 3 4" xfId="26138"/>
    <cellStyle name="level1a 2 3 3 3 4" xfId="1712"/>
    <cellStyle name="level1a 2 3 3 3 4 2" xfId="26139"/>
    <cellStyle name="level1a 2 3 3 3 5" xfId="1713"/>
    <cellStyle name="level1a 2 3 3 3 5 2" xfId="26140"/>
    <cellStyle name="level1a 2 3 3 3 6" xfId="26141"/>
    <cellStyle name="level1a 2 3 3 4" xfId="1714"/>
    <cellStyle name="level1a 2 3 3 4 2" xfId="1715"/>
    <cellStyle name="level1a 2 3 3 4 2 2" xfId="1716"/>
    <cellStyle name="level1a 2 3 3 4 2 2 2" xfId="1717"/>
    <cellStyle name="level1a 2 3 3 4 2 2 2 2" xfId="26142"/>
    <cellStyle name="level1a 2 3 3 4 2 2 3" xfId="26143"/>
    <cellStyle name="level1a 2 3 3 4 2 3" xfId="1718"/>
    <cellStyle name="level1a 2 3 3 4 2 3 2" xfId="26144"/>
    <cellStyle name="level1a 2 3 3 4 2 4" xfId="26145"/>
    <cellStyle name="level1a 2 3 3 4 3" xfId="1719"/>
    <cellStyle name="level1a 2 3 3 4 3 2" xfId="1720"/>
    <cellStyle name="level1a 2 3 3 4 3 2 2" xfId="1721"/>
    <cellStyle name="level1a 2 3 3 4 3 2 2 2" xfId="26146"/>
    <cellStyle name="level1a 2 3 3 4 3 2 3" xfId="26147"/>
    <cellStyle name="level1a 2 3 3 4 3 3" xfId="1722"/>
    <cellStyle name="level1a 2 3 3 4 3 3 2" xfId="26148"/>
    <cellStyle name="level1a 2 3 3 4 3 4" xfId="26149"/>
    <cellStyle name="level1a 2 3 3 4 4" xfId="1723"/>
    <cellStyle name="level1a 2 3 3 4 4 2" xfId="26150"/>
    <cellStyle name="level1a 2 3 3 4 5" xfId="1724"/>
    <cellStyle name="level1a 2 3 3 4 5 2" xfId="1725"/>
    <cellStyle name="level1a 2 3 3 4 5 2 2" xfId="26151"/>
    <cellStyle name="level1a 2 3 3 4 5 3" xfId="26152"/>
    <cellStyle name="level1a 2 3 3 4 6" xfId="1726"/>
    <cellStyle name="level1a 2 3 3 4 6 2" xfId="26153"/>
    <cellStyle name="level1a 2 3 3 4 7" xfId="26154"/>
    <cellStyle name="level1a 2 3 3 5" xfId="1727"/>
    <cellStyle name="level1a 2 3 3 5 2" xfId="1728"/>
    <cellStyle name="level1a 2 3 3 5 2 2" xfId="1729"/>
    <cellStyle name="level1a 2 3 3 5 2 2 2" xfId="1730"/>
    <cellStyle name="level1a 2 3 3 5 2 2 2 2" xfId="26155"/>
    <cellStyle name="level1a 2 3 3 5 2 2 3" xfId="26156"/>
    <cellStyle name="level1a 2 3 3 5 2 3" xfId="1731"/>
    <cellStyle name="level1a 2 3 3 5 2 3 2" xfId="26157"/>
    <cellStyle name="level1a 2 3 3 5 2 4" xfId="26158"/>
    <cellStyle name="level1a 2 3 3 5 3" xfId="1732"/>
    <cellStyle name="level1a 2 3 3 5 3 2" xfId="1733"/>
    <cellStyle name="level1a 2 3 3 5 3 2 2" xfId="1734"/>
    <cellStyle name="level1a 2 3 3 5 3 2 2 2" xfId="26159"/>
    <cellStyle name="level1a 2 3 3 5 3 2 3" xfId="26160"/>
    <cellStyle name="level1a 2 3 3 5 3 3" xfId="1735"/>
    <cellStyle name="level1a 2 3 3 5 3 3 2" xfId="26161"/>
    <cellStyle name="level1a 2 3 3 5 3 4" xfId="26162"/>
    <cellStyle name="level1a 2 3 3 5 4" xfId="1736"/>
    <cellStyle name="level1a 2 3 3 5 4 2" xfId="1737"/>
    <cellStyle name="level1a 2 3 3 5 4 2 2" xfId="26163"/>
    <cellStyle name="level1a 2 3 3 5 4 3" xfId="26164"/>
    <cellStyle name="level1a 2 3 3 5 5" xfId="1738"/>
    <cellStyle name="level1a 2 3 3 5 5 2" xfId="26165"/>
    <cellStyle name="level1a 2 3 3 5 6" xfId="26166"/>
    <cellStyle name="level1a 2 3 3 6" xfId="1739"/>
    <cellStyle name="level1a 2 3 3 6 2" xfId="1740"/>
    <cellStyle name="level1a 2 3 3 6 2 2" xfId="1741"/>
    <cellStyle name="level1a 2 3 3 6 2 2 2" xfId="1742"/>
    <cellStyle name="level1a 2 3 3 6 2 2 2 2" xfId="26167"/>
    <cellStyle name="level1a 2 3 3 6 2 2 3" xfId="26168"/>
    <cellStyle name="level1a 2 3 3 6 2 3" xfId="1743"/>
    <cellStyle name="level1a 2 3 3 6 2 3 2" xfId="26169"/>
    <cellStyle name="level1a 2 3 3 6 2 4" xfId="26170"/>
    <cellStyle name="level1a 2 3 3 6 3" xfId="1744"/>
    <cellStyle name="level1a 2 3 3 6 3 2" xfId="1745"/>
    <cellStyle name="level1a 2 3 3 6 3 2 2" xfId="1746"/>
    <cellStyle name="level1a 2 3 3 6 3 2 2 2" xfId="26171"/>
    <cellStyle name="level1a 2 3 3 6 3 2 3" xfId="26172"/>
    <cellStyle name="level1a 2 3 3 6 3 3" xfId="1747"/>
    <cellStyle name="level1a 2 3 3 6 3 3 2" xfId="26173"/>
    <cellStyle name="level1a 2 3 3 6 3 4" xfId="26174"/>
    <cellStyle name="level1a 2 3 3 6 4" xfId="1748"/>
    <cellStyle name="level1a 2 3 3 6 4 2" xfId="1749"/>
    <cellStyle name="level1a 2 3 3 6 4 2 2" xfId="26175"/>
    <cellStyle name="level1a 2 3 3 6 4 3" xfId="26176"/>
    <cellStyle name="level1a 2 3 3 6 5" xfId="1750"/>
    <cellStyle name="level1a 2 3 3 6 5 2" xfId="26177"/>
    <cellStyle name="level1a 2 3 3 6 6" xfId="26178"/>
    <cellStyle name="level1a 2 3 3 7" xfId="1751"/>
    <cellStyle name="level1a 2 3 3 7 2" xfId="1752"/>
    <cellStyle name="level1a 2 3 3 7 2 2" xfId="1753"/>
    <cellStyle name="level1a 2 3 3 7 2 2 2" xfId="26179"/>
    <cellStyle name="level1a 2 3 3 7 2 3" xfId="26180"/>
    <cellStyle name="level1a 2 3 3 7 3" xfId="1754"/>
    <cellStyle name="level1a 2 3 3 7 3 2" xfId="26181"/>
    <cellStyle name="level1a 2 3 3 7 4" xfId="26182"/>
    <cellStyle name="level1a 2 3 3 8" xfId="26183"/>
    <cellStyle name="level1a 2 3 3_STUD aligned by INSTIT" xfId="1755"/>
    <cellStyle name="level1a 2 3 4" xfId="1756"/>
    <cellStyle name="level1a 2 3 4 2" xfId="1757"/>
    <cellStyle name="level1a 2 3 4 2 2" xfId="1758"/>
    <cellStyle name="level1a 2 3 4 2 2 2" xfId="1759"/>
    <cellStyle name="level1a 2 3 4 2 2 2 2" xfId="1760"/>
    <cellStyle name="level1a 2 3 4 2 2 2 2 2" xfId="26184"/>
    <cellStyle name="level1a 2 3 4 2 2 2 3" xfId="26185"/>
    <cellStyle name="level1a 2 3 4 2 2 3" xfId="1761"/>
    <cellStyle name="level1a 2 3 4 2 2 3 2" xfId="26186"/>
    <cellStyle name="level1a 2 3 4 2 2 4" xfId="26187"/>
    <cellStyle name="level1a 2 3 4 2 3" xfId="1762"/>
    <cellStyle name="level1a 2 3 4 2 3 2" xfId="1763"/>
    <cellStyle name="level1a 2 3 4 2 3 2 2" xfId="1764"/>
    <cellStyle name="level1a 2 3 4 2 3 2 2 2" xfId="26188"/>
    <cellStyle name="level1a 2 3 4 2 3 2 3" xfId="26189"/>
    <cellStyle name="level1a 2 3 4 2 3 3" xfId="1765"/>
    <cellStyle name="level1a 2 3 4 2 3 3 2" xfId="26190"/>
    <cellStyle name="level1a 2 3 4 2 3 4" xfId="26191"/>
    <cellStyle name="level1a 2 3 4 2 4" xfId="1766"/>
    <cellStyle name="level1a 2 3 4 2 4 2" xfId="26192"/>
    <cellStyle name="level1a 2 3 4 2 5" xfId="1767"/>
    <cellStyle name="level1a 2 3 4 2 5 2" xfId="1768"/>
    <cellStyle name="level1a 2 3 4 2 5 2 2" xfId="26193"/>
    <cellStyle name="level1a 2 3 4 2 5 3" xfId="26194"/>
    <cellStyle name="level1a 2 3 4 2 6" xfId="1769"/>
    <cellStyle name="level1a 2 3 4 2 6 2" xfId="26195"/>
    <cellStyle name="level1a 2 3 4 2 7" xfId="26196"/>
    <cellStyle name="level1a 2 3 4 3" xfId="1770"/>
    <cellStyle name="level1a 2 3 4 3 2" xfId="1771"/>
    <cellStyle name="level1a 2 3 4 3 2 2" xfId="1772"/>
    <cellStyle name="level1a 2 3 4 3 2 2 2" xfId="1773"/>
    <cellStyle name="level1a 2 3 4 3 2 2 2 2" xfId="26197"/>
    <cellStyle name="level1a 2 3 4 3 2 2 3" xfId="26198"/>
    <cellStyle name="level1a 2 3 4 3 2 3" xfId="1774"/>
    <cellStyle name="level1a 2 3 4 3 2 3 2" xfId="26199"/>
    <cellStyle name="level1a 2 3 4 3 2 4" xfId="26200"/>
    <cellStyle name="level1a 2 3 4 3 3" xfId="1775"/>
    <cellStyle name="level1a 2 3 4 3 3 2" xfId="1776"/>
    <cellStyle name="level1a 2 3 4 3 3 2 2" xfId="1777"/>
    <cellStyle name="level1a 2 3 4 3 3 2 2 2" xfId="26201"/>
    <cellStyle name="level1a 2 3 4 3 3 2 3" xfId="26202"/>
    <cellStyle name="level1a 2 3 4 3 3 3" xfId="1778"/>
    <cellStyle name="level1a 2 3 4 3 3 3 2" xfId="26203"/>
    <cellStyle name="level1a 2 3 4 3 3 4" xfId="26204"/>
    <cellStyle name="level1a 2 3 4 3 4" xfId="1779"/>
    <cellStyle name="level1a 2 3 4 3 4 2" xfId="26205"/>
    <cellStyle name="level1a 2 3 4 3 5" xfId="26206"/>
    <cellStyle name="level1a 2 3 4 4" xfId="1780"/>
    <cellStyle name="level1a 2 3 4 4 2" xfId="1781"/>
    <cellStyle name="level1a 2 3 4 4 2 2" xfId="1782"/>
    <cellStyle name="level1a 2 3 4 4 2 2 2" xfId="1783"/>
    <cellStyle name="level1a 2 3 4 4 2 2 2 2" xfId="26207"/>
    <cellStyle name="level1a 2 3 4 4 2 2 3" xfId="26208"/>
    <cellStyle name="level1a 2 3 4 4 2 3" xfId="1784"/>
    <cellStyle name="level1a 2 3 4 4 2 3 2" xfId="26209"/>
    <cellStyle name="level1a 2 3 4 4 2 4" xfId="26210"/>
    <cellStyle name="level1a 2 3 4 4 3" xfId="1785"/>
    <cellStyle name="level1a 2 3 4 4 3 2" xfId="1786"/>
    <cellStyle name="level1a 2 3 4 4 3 2 2" xfId="1787"/>
    <cellStyle name="level1a 2 3 4 4 3 2 2 2" xfId="26211"/>
    <cellStyle name="level1a 2 3 4 4 3 2 3" xfId="26212"/>
    <cellStyle name="level1a 2 3 4 4 3 3" xfId="1788"/>
    <cellStyle name="level1a 2 3 4 4 3 3 2" xfId="26213"/>
    <cellStyle name="level1a 2 3 4 4 3 4" xfId="26214"/>
    <cellStyle name="level1a 2 3 4 4 4" xfId="1789"/>
    <cellStyle name="level1a 2 3 4 4 4 2" xfId="1790"/>
    <cellStyle name="level1a 2 3 4 4 4 2 2" xfId="26215"/>
    <cellStyle name="level1a 2 3 4 4 4 3" xfId="26216"/>
    <cellStyle name="level1a 2 3 4 4 5" xfId="1791"/>
    <cellStyle name="level1a 2 3 4 4 5 2" xfId="26217"/>
    <cellStyle name="level1a 2 3 4 4 6" xfId="26218"/>
    <cellStyle name="level1a 2 3 4 5" xfId="1792"/>
    <cellStyle name="level1a 2 3 4 5 2" xfId="1793"/>
    <cellStyle name="level1a 2 3 4 5 2 2" xfId="1794"/>
    <cellStyle name="level1a 2 3 4 5 2 2 2" xfId="1795"/>
    <cellStyle name="level1a 2 3 4 5 2 2 2 2" xfId="26219"/>
    <cellStyle name="level1a 2 3 4 5 2 2 3" xfId="26220"/>
    <cellStyle name="level1a 2 3 4 5 2 3" xfId="1796"/>
    <cellStyle name="level1a 2 3 4 5 2 3 2" xfId="26221"/>
    <cellStyle name="level1a 2 3 4 5 2 4" xfId="26222"/>
    <cellStyle name="level1a 2 3 4 5 3" xfId="1797"/>
    <cellStyle name="level1a 2 3 4 5 3 2" xfId="1798"/>
    <cellStyle name="level1a 2 3 4 5 3 2 2" xfId="1799"/>
    <cellStyle name="level1a 2 3 4 5 3 2 2 2" xfId="26223"/>
    <cellStyle name="level1a 2 3 4 5 3 2 3" xfId="26224"/>
    <cellStyle name="level1a 2 3 4 5 3 3" xfId="1800"/>
    <cellStyle name="level1a 2 3 4 5 3 3 2" xfId="26225"/>
    <cellStyle name="level1a 2 3 4 5 3 4" xfId="26226"/>
    <cellStyle name="level1a 2 3 4 5 4" xfId="1801"/>
    <cellStyle name="level1a 2 3 4 5 4 2" xfId="1802"/>
    <cellStyle name="level1a 2 3 4 5 4 2 2" xfId="26227"/>
    <cellStyle name="level1a 2 3 4 5 4 3" xfId="26228"/>
    <cellStyle name="level1a 2 3 4 5 5" xfId="1803"/>
    <cellStyle name="level1a 2 3 4 5 5 2" xfId="26229"/>
    <cellStyle name="level1a 2 3 4 5 6" xfId="26230"/>
    <cellStyle name="level1a 2 3 4 6" xfId="1804"/>
    <cellStyle name="level1a 2 3 4 6 2" xfId="1805"/>
    <cellStyle name="level1a 2 3 4 6 2 2" xfId="1806"/>
    <cellStyle name="level1a 2 3 4 6 2 2 2" xfId="1807"/>
    <cellStyle name="level1a 2 3 4 6 2 2 2 2" xfId="26231"/>
    <cellStyle name="level1a 2 3 4 6 2 2 3" xfId="26232"/>
    <cellStyle name="level1a 2 3 4 6 2 3" xfId="1808"/>
    <cellStyle name="level1a 2 3 4 6 2 3 2" xfId="26233"/>
    <cellStyle name="level1a 2 3 4 6 2 4" xfId="26234"/>
    <cellStyle name="level1a 2 3 4 6 3" xfId="1809"/>
    <cellStyle name="level1a 2 3 4 6 3 2" xfId="1810"/>
    <cellStyle name="level1a 2 3 4 6 3 2 2" xfId="1811"/>
    <cellStyle name="level1a 2 3 4 6 3 2 2 2" xfId="26235"/>
    <cellStyle name="level1a 2 3 4 6 3 2 3" xfId="26236"/>
    <cellStyle name="level1a 2 3 4 6 3 3" xfId="1812"/>
    <cellStyle name="level1a 2 3 4 6 3 3 2" xfId="26237"/>
    <cellStyle name="level1a 2 3 4 6 3 4" xfId="26238"/>
    <cellStyle name="level1a 2 3 4 6 4" xfId="1813"/>
    <cellStyle name="level1a 2 3 4 6 4 2" xfId="1814"/>
    <cellStyle name="level1a 2 3 4 6 4 2 2" xfId="26239"/>
    <cellStyle name="level1a 2 3 4 6 4 3" xfId="26240"/>
    <cellStyle name="level1a 2 3 4 6 5" xfId="1815"/>
    <cellStyle name="level1a 2 3 4 6 5 2" xfId="26241"/>
    <cellStyle name="level1a 2 3 4 6 6" xfId="26242"/>
    <cellStyle name="level1a 2 3 4 7" xfId="1816"/>
    <cellStyle name="level1a 2 3 4 7 2" xfId="1817"/>
    <cellStyle name="level1a 2 3 4 7 2 2" xfId="1818"/>
    <cellStyle name="level1a 2 3 4 7 2 2 2" xfId="26243"/>
    <cellStyle name="level1a 2 3 4 7 2 3" xfId="26244"/>
    <cellStyle name="level1a 2 3 4 7 3" xfId="1819"/>
    <cellStyle name="level1a 2 3 4 7 3 2" xfId="26245"/>
    <cellStyle name="level1a 2 3 4 7 4" xfId="26246"/>
    <cellStyle name="level1a 2 3 4 8" xfId="1820"/>
    <cellStyle name="level1a 2 3 4 8 2" xfId="1821"/>
    <cellStyle name="level1a 2 3 4 8 2 2" xfId="1822"/>
    <cellStyle name="level1a 2 3 4 8 2 2 2" xfId="26247"/>
    <cellStyle name="level1a 2 3 4 8 2 3" xfId="26248"/>
    <cellStyle name="level1a 2 3 4 8 3" xfId="1823"/>
    <cellStyle name="level1a 2 3 4 8 3 2" xfId="26249"/>
    <cellStyle name="level1a 2 3 4 8 4" xfId="26250"/>
    <cellStyle name="level1a 2 3 4 9" xfId="26251"/>
    <cellStyle name="level1a 2 3 4_STUD aligned by INSTIT" xfId="1824"/>
    <cellStyle name="level1a 2 3 5" xfId="1825"/>
    <cellStyle name="level1a 2 3 5 2" xfId="1826"/>
    <cellStyle name="level1a 2 3 5 2 2" xfId="1827"/>
    <cellStyle name="level1a 2 3 5 2 2 2" xfId="1828"/>
    <cellStyle name="level1a 2 3 5 2 2 2 2" xfId="26252"/>
    <cellStyle name="level1a 2 3 5 2 2 3" xfId="26253"/>
    <cellStyle name="level1a 2 3 5 2 3" xfId="1829"/>
    <cellStyle name="level1a 2 3 5 2 3 2" xfId="26254"/>
    <cellStyle name="level1a 2 3 5 2 4" xfId="26255"/>
    <cellStyle name="level1a 2 3 5 3" xfId="1830"/>
    <cellStyle name="level1a 2 3 5 3 2" xfId="1831"/>
    <cellStyle name="level1a 2 3 5 3 2 2" xfId="1832"/>
    <cellStyle name="level1a 2 3 5 3 2 2 2" xfId="26256"/>
    <cellStyle name="level1a 2 3 5 3 2 3" xfId="26257"/>
    <cellStyle name="level1a 2 3 5 3 3" xfId="1833"/>
    <cellStyle name="level1a 2 3 5 3 3 2" xfId="26258"/>
    <cellStyle name="level1a 2 3 5 3 4" xfId="26259"/>
    <cellStyle name="level1a 2 3 5 4" xfId="1834"/>
    <cellStyle name="level1a 2 3 5 4 2" xfId="26260"/>
    <cellStyle name="level1a 2 3 5 5" xfId="1835"/>
    <cellStyle name="level1a 2 3 5 5 2" xfId="1836"/>
    <cellStyle name="level1a 2 3 5 5 2 2" xfId="26261"/>
    <cellStyle name="level1a 2 3 5 5 3" xfId="26262"/>
    <cellStyle name="level1a 2 3 5 6" xfId="26263"/>
    <cellStyle name="level1a 2 3 6" xfId="1837"/>
    <cellStyle name="level1a 2 3 6 2" xfId="1838"/>
    <cellStyle name="level1a 2 3 6 2 2" xfId="1839"/>
    <cellStyle name="level1a 2 3 6 2 2 2" xfId="1840"/>
    <cellStyle name="level1a 2 3 6 2 2 2 2" xfId="26264"/>
    <cellStyle name="level1a 2 3 6 2 2 3" xfId="26265"/>
    <cellStyle name="level1a 2 3 6 2 3" xfId="1841"/>
    <cellStyle name="level1a 2 3 6 2 3 2" xfId="26266"/>
    <cellStyle name="level1a 2 3 6 2 4" xfId="26267"/>
    <cellStyle name="level1a 2 3 6 3" xfId="1842"/>
    <cellStyle name="level1a 2 3 6 3 2" xfId="1843"/>
    <cellStyle name="level1a 2 3 6 3 2 2" xfId="1844"/>
    <cellStyle name="level1a 2 3 6 3 2 2 2" xfId="26268"/>
    <cellStyle name="level1a 2 3 6 3 2 3" xfId="26269"/>
    <cellStyle name="level1a 2 3 6 3 3" xfId="1845"/>
    <cellStyle name="level1a 2 3 6 3 3 2" xfId="26270"/>
    <cellStyle name="level1a 2 3 6 3 4" xfId="26271"/>
    <cellStyle name="level1a 2 3 6 4" xfId="1846"/>
    <cellStyle name="level1a 2 3 6 4 2" xfId="26272"/>
    <cellStyle name="level1a 2 3 6 5" xfId="1847"/>
    <cellStyle name="level1a 2 3 6 5 2" xfId="1848"/>
    <cellStyle name="level1a 2 3 6 5 2 2" xfId="26273"/>
    <cellStyle name="level1a 2 3 6 5 3" xfId="26274"/>
    <cellStyle name="level1a 2 3 6 6" xfId="1849"/>
    <cellStyle name="level1a 2 3 6 6 2" xfId="26275"/>
    <cellStyle name="level1a 2 3 6 7" xfId="26276"/>
    <cellStyle name="level1a 2 3 7" xfId="1850"/>
    <cellStyle name="level1a 2 3 7 2" xfId="1851"/>
    <cellStyle name="level1a 2 3 7 2 2" xfId="1852"/>
    <cellStyle name="level1a 2 3 7 2 2 2" xfId="1853"/>
    <cellStyle name="level1a 2 3 7 2 2 2 2" xfId="26277"/>
    <cellStyle name="level1a 2 3 7 2 2 3" xfId="26278"/>
    <cellStyle name="level1a 2 3 7 2 3" xfId="1854"/>
    <cellStyle name="level1a 2 3 7 2 3 2" xfId="26279"/>
    <cellStyle name="level1a 2 3 7 2 4" xfId="26280"/>
    <cellStyle name="level1a 2 3 7 3" xfId="1855"/>
    <cellStyle name="level1a 2 3 7 3 2" xfId="1856"/>
    <cellStyle name="level1a 2 3 7 3 2 2" xfId="1857"/>
    <cellStyle name="level1a 2 3 7 3 2 2 2" xfId="26281"/>
    <cellStyle name="level1a 2 3 7 3 2 3" xfId="26282"/>
    <cellStyle name="level1a 2 3 7 3 3" xfId="1858"/>
    <cellStyle name="level1a 2 3 7 3 3 2" xfId="26283"/>
    <cellStyle name="level1a 2 3 7 3 4" xfId="26284"/>
    <cellStyle name="level1a 2 3 7 4" xfId="1859"/>
    <cellStyle name="level1a 2 3 7 4 2" xfId="26285"/>
    <cellStyle name="level1a 2 3 7 5" xfId="1860"/>
    <cellStyle name="level1a 2 3 7 5 2" xfId="26286"/>
    <cellStyle name="level1a 2 3 7 6" xfId="26287"/>
    <cellStyle name="level1a 2 3 8" xfId="1861"/>
    <cellStyle name="level1a 2 3 8 2" xfId="1862"/>
    <cellStyle name="level1a 2 3 8 2 2" xfId="1863"/>
    <cellStyle name="level1a 2 3 8 2 2 2" xfId="1864"/>
    <cellStyle name="level1a 2 3 8 2 2 2 2" xfId="26288"/>
    <cellStyle name="level1a 2 3 8 2 2 3" xfId="26289"/>
    <cellStyle name="level1a 2 3 8 2 3" xfId="1865"/>
    <cellStyle name="level1a 2 3 8 2 3 2" xfId="26290"/>
    <cellStyle name="level1a 2 3 8 2 4" xfId="26291"/>
    <cellStyle name="level1a 2 3 8 3" xfId="1866"/>
    <cellStyle name="level1a 2 3 8 3 2" xfId="1867"/>
    <cellStyle name="level1a 2 3 8 3 2 2" xfId="1868"/>
    <cellStyle name="level1a 2 3 8 3 2 2 2" xfId="26292"/>
    <cellStyle name="level1a 2 3 8 3 2 3" xfId="26293"/>
    <cellStyle name="level1a 2 3 8 3 3" xfId="1869"/>
    <cellStyle name="level1a 2 3 8 3 3 2" xfId="26294"/>
    <cellStyle name="level1a 2 3 8 3 4" xfId="26295"/>
    <cellStyle name="level1a 2 3 8 4" xfId="1870"/>
    <cellStyle name="level1a 2 3 8 4 2" xfId="26296"/>
    <cellStyle name="level1a 2 3 8 5" xfId="1871"/>
    <cellStyle name="level1a 2 3 8 5 2" xfId="1872"/>
    <cellStyle name="level1a 2 3 8 5 2 2" xfId="26297"/>
    <cellStyle name="level1a 2 3 8 5 3" xfId="26298"/>
    <cellStyle name="level1a 2 3 8 6" xfId="1873"/>
    <cellStyle name="level1a 2 3 8 6 2" xfId="26299"/>
    <cellStyle name="level1a 2 3 8 7" xfId="26300"/>
    <cellStyle name="level1a 2 3 9" xfId="1874"/>
    <cellStyle name="level1a 2 3 9 2" xfId="1875"/>
    <cellStyle name="level1a 2 3 9 2 2" xfId="1876"/>
    <cellStyle name="level1a 2 3 9 2 2 2" xfId="1877"/>
    <cellStyle name="level1a 2 3 9 2 2 2 2" xfId="26301"/>
    <cellStyle name="level1a 2 3 9 2 2 3" xfId="26302"/>
    <cellStyle name="level1a 2 3 9 2 3" xfId="1878"/>
    <cellStyle name="level1a 2 3 9 2 3 2" xfId="26303"/>
    <cellStyle name="level1a 2 3 9 2 4" xfId="26304"/>
    <cellStyle name="level1a 2 3 9 3" xfId="1879"/>
    <cellStyle name="level1a 2 3 9 3 2" xfId="1880"/>
    <cellStyle name="level1a 2 3 9 3 2 2" xfId="1881"/>
    <cellStyle name="level1a 2 3 9 3 2 2 2" xfId="26305"/>
    <cellStyle name="level1a 2 3 9 3 2 3" xfId="26306"/>
    <cellStyle name="level1a 2 3 9 3 3" xfId="1882"/>
    <cellStyle name="level1a 2 3 9 3 3 2" xfId="26307"/>
    <cellStyle name="level1a 2 3 9 3 4" xfId="26308"/>
    <cellStyle name="level1a 2 3 9 4" xfId="1883"/>
    <cellStyle name="level1a 2 3 9 4 2" xfId="1884"/>
    <cellStyle name="level1a 2 3 9 4 2 2" xfId="26309"/>
    <cellStyle name="level1a 2 3 9 4 3" xfId="26310"/>
    <cellStyle name="level1a 2 3 9 5" xfId="1885"/>
    <cellStyle name="level1a 2 3 9 5 2" xfId="26311"/>
    <cellStyle name="level1a 2 3 9 6" xfId="26312"/>
    <cellStyle name="level1a 2 3_STUD aligned by INSTIT" xfId="1886"/>
    <cellStyle name="level1a 2 4" xfId="1887"/>
    <cellStyle name="level1a 2 4 10" xfId="1888"/>
    <cellStyle name="level1a 2 4 10 2" xfId="26313"/>
    <cellStyle name="level1a 2 4 11" xfId="26314"/>
    <cellStyle name="level1a 2 4 2" xfId="1889"/>
    <cellStyle name="level1a 2 4 2 2" xfId="1890"/>
    <cellStyle name="level1a 2 4 2 2 2" xfId="1891"/>
    <cellStyle name="level1a 2 4 2 2 2 2" xfId="1892"/>
    <cellStyle name="level1a 2 4 2 2 2 2 2" xfId="1893"/>
    <cellStyle name="level1a 2 4 2 2 2 2 2 2" xfId="26315"/>
    <cellStyle name="level1a 2 4 2 2 2 2 3" xfId="26316"/>
    <cellStyle name="level1a 2 4 2 2 2 3" xfId="1894"/>
    <cellStyle name="level1a 2 4 2 2 2 3 2" xfId="26317"/>
    <cellStyle name="level1a 2 4 2 2 2 4" xfId="26318"/>
    <cellStyle name="level1a 2 4 2 2 3" xfId="1895"/>
    <cellStyle name="level1a 2 4 2 2 3 2" xfId="1896"/>
    <cellStyle name="level1a 2 4 2 2 3 2 2" xfId="1897"/>
    <cellStyle name="level1a 2 4 2 2 3 2 2 2" xfId="26319"/>
    <cellStyle name="level1a 2 4 2 2 3 2 3" xfId="26320"/>
    <cellStyle name="level1a 2 4 2 2 3 3" xfId="1898"/>
    <cellStyle name="level1a 2 4 2 2 3 3 2" xfId="26321"/>
    <cellStyle name="level1a 2 4 2 2 3 4" xfId="26322"/>
    <cellStyle name="level1a 2 4 2 2 4" xfId="1899"/>
    <cellStyle name="level1a 2 4 2 2 4 2" xfId="26323"/>
    <cellStyle name="level1a 2 4 2 2 5" xfId="1900"/>
    <cellStyle name="level1a 2 4 2 2 5 2" xfId="1901"/>
    <cellStyle name="level1a 2 4 2 2 5 2 2" xfId="26324"/>
    <cellStyle name="level1a 2 4 2 2 5 3" xfId="26325"/>
    <cellStyle name="level1a 2 4 2 2 6" xfId="26326"/>
    <cellStyle name="level1a 2 4 2 3" xfId="1902"/>
    <cellStyle name="level1a 2 4 2 3 2" xfId="1903"/>
    <cellStyle name="level1a 2 4 2 3 2 2" xfId="1904"/>
    <cellStyle name="level1a 2 4 2 3 2 2 2" xfId="1905"/>
    <cellStyle name="level1a 2 4 2 3 2 2 2 2" xfId="26327"/>
    <cellStyle name="level1a 2 4 2 3 2 2 3" xfId="26328"/>
    <cellStyle name="level1a 2 4 2 3 2 3" xfId="1906"/>
    <cellStyle name="level1a 2 4 2 3 2 3 2" xfId="26329"/>
    <cellStyle name="level1a 2 4 2 3 2 4" xfId="26330"/>
    <cellStyle name="level1a 2 4 2 3 3" xfId="1907"/>
    <cellStyle name="level1a 2 4 2 3 3 2" xfId="1908"/>
    <cellStyle name="level1a 2 4 2 3 3 2 2" xfId="1909"/>
    <cellStyle name="level1a 2 4 2 3 3 2 2 2" xfId="26331"/>
    <cellStyle name="level1a 2 4 2 3 3 2 3" xfId="26332"/>
    <cellStyle name="level1a 2 4 2 3 3 3" xfId="1910"/>
    <cellStyle name="level1a 2 4 2 3 3 3 2" xfId="26333"/>
    <cellStyle name="level1a 2 4 2 3 3 4" xfId="26334"/>
    <cellStyle name="level1a 2 4 2 3 4" xfId="1911"/>
    <cellStyle name="level1a 2 4 2 3 4 2" xfId="26335"/>
    <cellStyle name="level1a 2 4 2 3 5" xfId="1912"/>
    <cellStyle name="level1a 2 4 2 3 5 2" xfId="26336"/>
    <cellStyle name="level1a 2 4 2 3 6" xfId="26337"/>
    <cellStyle name="level1a 2 4 2 4" xfId="1913"/>
    <cellStyle name="level1a 2 4 2 4 2" xfId="1914"/>
    <cellStyle name="level1a 2 4 2 4 2 2" xfId="1915"/>
    <cellStyle name="level1a 2 4 2 4 2 2 2" xfId="1916"/>
    <cellStyle name="level1a 2 4 2 4 2 2 2 2" xfId="26338"/>
    <cellStyle name="level1a 2 4 2 4 2 2 3" xfId="26339"/>
    <cellStyle name="level1a 2 4 2 4 2 3" xfId="1917"/>
    <cellStyle name="level1a 2 4 2 4 2 3 2" xfId="26340"/>
    <cellStyle name="level1a 2 4 2 4 2 4" xfId="26341"/>
    <cellStyle name="level1a 2 4 2 4 3" xfId="1918"/>
    <cellStyle name="level1a 2 4 2 4 3 2" xfId="1919"/>
    <cellStyle name="level1a 2 4 2 4 3 2 2" xfId="1920"/>
    <cellStyle name="level1a 2 4 2 4 3 2 2 2" xfId="26342"/>
    <cellStyle name="level1a 2 4 2 4 3 2 3" xfId="26343"/>
    <cellStyle name="level1a 2 4 2 4 3 3" xfId="1921"/>
    <cellStyle name="level1a 2 4 2 4 3 3 2" xfId="26344"/>
    <cellStyle name="level1a 2 4 2 4 3 4" xfId="26345"/>
    <cellStyle name="level1a 2 4 2 4 4" xfId="1922"/>
    <cellStyle name="level1a 2 4 2 4 4 2" xfId="26346"/>
    <cellStyle name="level1a 2 4 2 4 5" xfId="1923"/>
    <cellStyle name="level1a 2 4 2 4 5 2" xfId="1924"/>
    <cellStyle name="level1a 2 4 2 4 5 2 2" xfId="26347"/>
    <cellStyle name="level1a 2 4 2 4 5 3" xfId="26348"/>
    <cellStyle name="level1a 2 4 2 4 6" xfId="1925"/>
    <cellStyle name="level1a 2 4 2 4 6 2" xfId="26349"/>
    <cellStyle name="level1a 2 4 2 4 7" xfId="26350"/>
    <cellStyle name="level1a 2 4 2 5" xfId="1926"/>
    <cellStyle name="level1a 2 4 2 5 2" xfId="1927"/>
    <cellStyle name="level1a 2 4 2 5 2 2" xfId="1928"/>
    <cellStyle name="level1a 2 4 2 5 2 2 2" xfId="1929"/>
    <cellStyle name="level1a 2 4 2 5 2 2 2 2" xfId="26351"/>
    <cellStyle name="level1a 2 4 2 5 2 2 3" xfId="26352"/>
    <cellStyle name="level1a 2 4 2 5 2 3" xfId="1930"/>
    <cellStyle name="level1a 2 4 2 5 2 3 2" xfId="26353"/>
    <cellStyle name="level1a 2 4 2 5 2 4" xfId="26354"/>
    <cellStyle name="level1a 2 4 2 5 3" xfId="1931"/>
    <cellStyle name="level1a 2 4 2 5 3 2" xfId="1932"/>
    <cellStyle name="level1a 2 4 2 5 3 2 2" xfId="1933"/>
    <cellStyle name="level1a 2 4 2 5 3 2 2 2" xfId="26355"/>
    <cellStyle name="level1a 2 4 2 5 3 2 3" xfId="26356"/>
    <cellStyle name="level1a 2 4 2 5 3 3" xfId="1934"/>
    <cellStyle name="level1a 2 4 2 5 3 3 2" xfId="26357"/>
    <cellStyle name="level1a 2 4 2 5 3 4" xfId="26358"/>
    <cellStyle name="level1a 2 4 2 5 4" xfId="1935"/>
    <cellStyle name="level1a 2 4 2 5 4 2" xfId="1936"/>
    <cellStyle name="level1a 2 4 2 5 4 2 2" xfId="26359"/>
    <cellStyle name="level1a 2 4 2 5 4 3" xfId="26360"/>
    <cellStyle name="level1a 2 4 2 5 5" xfId="1937"/>
    <cellStyle name="level1a 2 4 2 5 5 2" xfId="26361"/>
    <cellStyle name="level1a 2 4 2 5 6" xfId="26362"/>
    <cellStyle name="level1a 2 4 2 6" xfId="1938"/>
    <cellStyle name="level1a 2 4 2 6 2" xfId="1939"/>
    <cellStyle name="level1a 2 4 2 6 2 2" xfId="1940"/>
    <cellStyle name="level1a 2 4 2 6 2 2 2" xfId="1941"/>
    <cellStyle name="level1a 2 4 2 6 2 2 2 2" xfId="26363"/>
    <cellStyle name="level1a 2 4 2 6 2 2 3" xfId="26364"/>
    <cellStyle name="level1a 2 4 2 6 2 3" xfId="1942"/>
    <cellStyle name="level1a 2 4 2 6 2 3 2" xfId="26365"/>
    <cellStyle name="level1a 2 4 2 6 2 4" xfId="26366"/>
    <cellStyle name="level1a 2 4 2 6 3" xfId="1943"/>
    <cellStyle name="level1a 2 4 2 6 3 2" xfId="1944"/>
    <cellStyle name="level1a 2 4 2 6 3 2 2" xfId="1945"/>
    <cellStyle name="level1a 2 4 2 6 3 2 2 2" xfId="26367"/>
    <cellStyle name="level1a 2 4 2 6 3 2 3" xfId="26368"/>
    <cellStyle name="level1a 2 4 2 6 3 3" xfId="1946"/>
    <cellStyle name="level1a 2 4 2 6 3 3 2" xfId="26369"/>
    <cellStyle name="level1a 2 4 2 6 3 4" xfId="26370"/>
    <cellStyle name="level1a 2 4 2 6 4" xfId="1947"/>
    <cellStyle name="level1a 2 4 2 6 4 2" xfId="1948"/>
    <cellStyle name="level1a 2 4 2 6 4 2 2" xfId="26371"/>
    <cellStyle name="level1a 2 4 2 6 4 3" xfId="26372"/>
    <cellStyle name="level1a 2 4 2 6 5" xfId="1949"/>
    <cellStyle name="level1a 2 4 2 6 5 2" xfId="26373"/>
    <cellStyle name="level1a 2 4 2 6 6" xfId="26374"/>
    <cellStyle name="level1a 2 4 2 7" xfId="1950"/>
    <cellStyle name="level1a 2 4 2 7 2" xfId="1951"/>
    <cellStyle name="level1a 2 4 2 7 2 2" xfId="1952"/>
    <cellStyle name="level1a 2 4 2 7 2 2 2" xfId="26375"/>
    <cellStyle name="level1a 2 4 2 7 2 3" xfId="26376"/>
    <cellStyle name="level1a 2 4 2 7 3" xfId="1953"/>
    <cellStyle name="level1a 2 4 2 7 3 2" xfId="26377"/>
    <cellStyle name="level1a 2 4 2 7 4" xfId="26378"/>
    <cellStyle name="level1a 2 4 2 8" xfId="26379"/>
    <cellStyle name="level1a 2 4 2_STUD aligned by INSTIT" xfId="1954"/>
    <cellStyle name="level1a 2 4 3" xfId="1955"/>
    <cellStyle name="level1a 2 4 3 2" xfId="1956"/>
    <cellStyle name="level1a 2 4 3 2 2" xfId="1957"/>
    <cellStyle name="level1a 2 4 3 2 2 2" xfId="1958"/>
    <cellStyle name="level1a 2 4 3 2 2 2 2" xfId="1959"/>
    <cellStyle name="level1a 2 4 3 2 2 2 2 2" xfId="26380"/>
    <cellStyle name="level1a 2 4 3 2 2 2 3" xfId="26381"/>
    <cellStyle name="level1a 2 4 3 2 2 3" xfId="1960"/>
    <cellStyle name="level1a 2 4 3 2 2 3 2" xfId="26382"/>
    <cellStyle name="level1a 2 4 3 2 2 4" xfId="26383"/>
    <cellStyle name="level1a 2 4 3 2 3" xfId="1961"/>
    <cellStyle name="level1a 2 4 3 2 3 2" xfId="1962"/>
    <cellStyle name="level1a 2 4 3 2 3 2 2" xfId="1963"/>
    <cellStyle name="level1a 2 4 3 2 3 2 2 2" xfId="26384"/>
    <cellStyle name="level1a 2 4 3 2 3 2 3" xfId="26385"/>
    <cellStyle name="level1a 2 4 3 2 3 3" xfId="1964"/>
    <cellStyle name="level1a 2 4 3 2 3 3 2" xfId="26386"/>
    <cellStyle name="level1a 2 4 3 2 3 4" xfId="26387"/>
    <cellStyle name="level1a 2 4 3 2 4" xfId="1965"/>
    <cellStyle name="level1a 2 4 3 2 4 2" xfId="26388"/>
    <cellStyle name="level1a 2 4 3 2 5" xfId="1966"/>
    <cellStyle name="level1a 2 4 3 2 5 2" xfId="26389"/>
    <cellStyle name="level1a 2 4 3 2 6" xfId="26390"/>
    <cellStyle name="level1a 2 4 3 3" xfId="1967"/>
    <cellStyle name="level1a 2 4 3 3 2" xfId="1968"/>
    <cellStyle name="level1a 2 4 3 3 2 2" xfId="1969"/>
    <cellStyle name="level1a 2 4 3 3 2 2 2" xfId="1970"/>
    <cellStyle name="level1a 2 4 3 3 2 2 2 2" xfId="26391"/>
    <cellStyle name="level1a 2 4 3 3 2 2 3" xfId="26392"/>
    <cellStyle name="level1a 2 4 3 3 2 3" xfId="1971"/>
    <cellStyle name="level1a 2 4 3 3 2 3 2" xfId="26393"/>
    <cellStyle name="level1a 2 4 3 3 2 4" xfId="26394"/>
    <cellStyle name="level1a 2 4 3 3 3" xfId="1972"/>
    <cellStyle name="level1a 2 4 3 3 3 2" xfId="1973"/>
    <cellStyle name="level1a 2 4 3 3 3 2 2" xfId="1974"/>
    <cellStyle name="level1a 2 4 3 3 3 2 2 2" xfId="26395"/>
    <cellStyle name="level1a 2 4 3 3 3 2 3" xfId="26396"/>
    <cellStyle name="level1a 2 4 3 3 3 3" xfId="1975"/>
    <cellStyle name="level1a 2 4 3 3 3 3 2" xfId="26397"/>
    <cellStyle name="level1a 2 4 3 3 3 4" xfId="26398"/>
    <cellStyle name="level1a 2 4 3 3 4" xfId="1976"/>
    <cellStyle name="level1a 2 4 3 3 4 2" xfId="1977"/>
    <cellStyle name="level1a 2 4 3 3 4 2 2" xfId="26399"/>
    <cellStyle name="level1a 2 4 3 3 4 3" xfId="26400"/>
    <cellStyle name="level1a 2 4 3 3 5" xfId="26401"/>
    <cellStyle name="level1a 2 4 3 4" xfId="1978"/>
    <cellStyle name="level1a 2 4 3 4 2" xfId="1979"/>
    <cellStyle name="level1a 2 4 3 4 2 2" xfId="1980"/>
    <cellStyle name="level1a 2 4 3 4 2 2 2" xfId="1981"/>
    <cellStyle name="level1a 2 4 3 4 2 2 2 2" xfId="26402"/>
    <cellStyle name="level1a 2 4 3 4 2 2 3" xfId="26403"/>
    <cellStyle name="level1a 2 4 3 4 2 3" xfId="1982"/>
    <cellStyle name="level1a 2 4 3 4 2 3 2" xfId="26404"/>
    <cellStyle name="level1a 2 4 3 4 2 4" xfId="26405"/>
    <cellStyle name="level1a 2 4 3 4 3" xfId="1983"/>
    <cellStyle name="level1a 2 4 3 4 3 2" xfId="1984"/>
    <cellStyle name="level1a 2 4 3 4 3 2 2" xfId="1985"/>
    <cellStyle name="level1a 2 4 3 4 3 2 2 2" xfId="26406"/>
    <cellStyle name="level1a 2 4 3 4 3 2 3" xfId="26407"/>
    <cellStyle name="level1a 2 4 3 4 3 3" xfId="1986"/>
    <cellStyle name="level1a 2 4 3 4 3 3 2" xfId="26408"/>
    <cellStyle name="level1a 2 4 3 4 3 4" xfId="26409"/>
    <cellStyle name="level1a 2 4 3 4 4" xfId="1987"/>
    <cellStyle name="level1a 2 4 3 4 4 2" xfId="1988"/>
    <cellStyle name="level1a 2 4 3 4 4 2 2" xfId="26410"/>
    <cellStyle name="level1a 2 4 3 4 4 3" xfId="26411"/>
    <cellStyle name="level1a 2 4 3 4 5" xfId="1989"/>
    <cellStyle name="level1a 2 4 3 4 5 2" xfId="26412"/>
    <cellStyle name="level1a 2 4 3 4 6" xfId="26413"/>
    <cellStyle name="level1a 2 4 3 5" xfId="1990"/>
    <cellStyle name="level1a 2 4 3 5 2" xfId="1991"/>
    <cellStyle name="level1a 2 4 3 5 2 2" xfId="1992"/>
    <cellStyle name="level1a 2 4 3 5 2 2 2" xfId="1993"/>
    <cellStyle name="level1a 2 4 3 5 2 2 2 2" xfId="26414"/>
    <cellStyle name="level1a 2 4 3 5 2 2 3" xfId="26415"/>
    <cellStyle name="level1a 2 4 3 5 2 3" xfId="1994"/>
    <cellStyle name="level1a 2 4 3 5 2 3 2" xfId="26416"/>
    <cellStyle name="level1a 2 4 3 5 2 4" xfId="26417"/>
    <cellStyle name="level1a 2 4 3 5 3" xfId="1995"/>
    <cellStyle name="level1a 2 4 3 5 3 2" xfId="1996"/>
    <cellStyle name="level1a 2 4 3 5 3 2 2" xfId="1997"/>
    <cellStyle name="level1a 2 4 3 5 3 2 2 2" xfId="26418"/>
    <cellStyle name="level1a 2 4 3 5 3 2 3" xfId="26419"/>
    <cellStyle name="level1a 2 4 3 5 3 3" xfId="1998"/>
    <cellStyle name="level1a 2 4 3 5 3 3 2" xfId="26420"/>
    <cellStyle name="level1a 2 4 3 5 3 4" xfId="26421"/>
    <cellStyle name="level1a 2 4 3 5 4" xfId="1999"/>
    <cellStyle name="level1a 2 4 3 5 4 2" xfId="2000"/>
    <cellStyle name="level1a 2 4 3 5 4 2 2" xfId="26422"/>
    <cellStyle name="level1a 2 4 3 5 4 3" xfId="26423"/>
    <cellStyle name="level1a 2 4 3 5 5" xfId="2001"/>
    <cellStyle name="level1a 2 4 3 5 5 2" xfId="26424"/>
    <cellStyle name="level1a 2 4 3 5 6" xfId="26425"/>
    <cellStyle name="level1a 2 4 3 6" xfId="2002"/>
    <cellStyle name="level1a 2 4 3 6 2" xfId="2003"/>
    <cellStyle name="level1a 2 4 3 6 2 2" xfId="2004"/>
    <cellStyle name="level1a 2 4 3 6 2 2 2" xfId="2005"/>
    <cellStyle name="level1a 2 4 3 6 2 2 2 2" xfId="26426"/>
    <cellStyle name="level1a 2 4 3 6 2 2 3" xfId="26427"/>
    <cellStyle name="level1a 2 4 3 6 2 3" xfId="2006"/>
    <cellStyle name="level1a 2 4 3 6 2 3 2" xfId="26428"/>
    <cellStyle name="level1a 2 4 3 6 2 4" xfId="26429"/>
    <cellStyle name="level1a 2 4 3 6 3" xfId="2007"/>
    <cellStyle name="level1a 2 4 3 6 3 2" xfId="2008"/>
    <cellStyle name="level1a 2 4 3 6 3 2 2" xfId="2009"/>
    <cellStyle name="level1a 2 4 3 6 3 2 2 2" xfId="26430"/>
    <cellStyle name="level1a 2 4 3 6 3 2 3" xfId="26431"/>
    <cellStyle name="level1a 2 4 3 6 3 3" xfId="2010"/>
    <cellStyle name="level1a 2 4 3 6 3 3 2" xfId="26432"/>
    <cellStyle name="level1a 2 4 3 6 3 4" xfId="26433"/>
    <cellStyle name="level1a 2 4 3 6 4" xfId="2011"/>
    <cellStyle name="level1a 2 4 3 6 4 2" xfId="2012"/>
    <cellStyle name="level1a 2 4 3 6 4 2 2" xfId="26434"/>
    <cellStyle name="level1a 2 4 3 6 4 3" xfId="26435"/>
    <cellStyle name="level1a 2 4 3 6 5" xfId="2013"/>
    <cellStyle name="level1a 2 4 3 6 5 2" xfId="26436"/>
    <cellStyle name="level1a 2 4 3 6 6" xfId="26437"/>
    <cellStyle name="level1a 2 4 3 7" xfId="2014"/>
    <cellStyle name="level1a 2 4 3 7 2" xfId="2015"/>
    <cellStyle name="level1a 2 4 3 7 2 2" xfId="2016"/>
    <cellStyle name="level1a 2 4 3 7 2 2 2" xfId="26438"/>
    <cellStyle name="level1a 2 4 3 7 2 3" xfId="26439"/>
    <cellStyle name="level1a 2 4 3 7 3" xfId="2017"/>
    <cellStyle name="level1a 2 4 3 7 3 2" xfId="26440"/>
    <cellStyle name="level1a 2 4 3 7 4" xfId="26441"/>
    <cellStyle name="level1a 2 4 3 8" xfId="2018"/>
    <cellStyle name="level1a 2 4 3 8 2" xfId="2019"/>
    <cellStyle name="level1a 2 4 3 8 2 2" xfId="2020"/>
    <cellStyle name="level1a 2 4 3 8 2 2 2" xfId="26442"/>
    <cellStyle name="level1a 2 4 3 8 2 3" xfId="26443"/>
    <cellStyle name="level1a 2 4 3 8 3" xfId="2021"/>
    <cellStyle name="level1a 2 4 3 8 3 2" xfId="26444"/>
    <cellStyle name="level1a 2 4 3 8 4" xfId="26445"/>
    <cellStyle name="level1a 2 4 3 9" xfId="26446"/>
    <cellStyle name="level1a 2 4 3_STUD aligned by INSTIT" xfId="2022"/>
    <cellStyle name="level1a 2 4 4" xfId="2023"/>
    <cellStyle name="level1a 2 4 4 2" xfId="2024"/>
    <cellStyle name="level1a 2 4 4 2 2" xfId="2025"/>
    <cellStyle name="level1a 2 4 4 2 2 2" xfId="2026"/>
    <cellStyle name="level1a 2 4 4 2 2 2 2" xfId="26447"/>
    <cellStyle name="level1a 2 4 4 2 2 3" xfId="26448"/>
    <cellStyle name="level1a 2 4 4 2 3" xfId="2027"/>
    <cellStyle name="level1a 2 4 4 2 3 2" xfId="26449"/>
    <cellStyle name="level1a 2 4 4 2 4" xfId="26450"/>
    <cellStyle name="level1a 2 4 4 3" xfId="2028"/>
    <cellStyle name="level1a 2 4 4 3 2" xfId="2029"/>
    <cellStyle name="level1a 2 4 4 3 2 2" xfId="2030"/>
    <cellStyle name="level1a 2 4 4 3 2 2 2" xfId="26451"/>
    <cellStyle name="level1a 2 4 4 3 2 3" xfId="26452"/>
    <cellStyle name="level1a 2 4 4 3 3" xfId="2031"/>
    <cellStyle name="level1a 2 4 4 3 3 2" xfId="26453"/>
    <cellStyle name="level1a 2 4 4 3 4" xfId="26454"/>
    <cellStyle name="level1a 2 4 4 4" xfId="2032"/>
    <cellStyle name="level1a 2 4 4 4 2" xfId="26455"/>
    <cellStyle name="level1a 2 4 4 5" xfId="2033"/>
    <cellStyle name="level1a 2 4 4 5 2" xfId="2034"/>
    <cellStyle name="level1a 2 4 4 5 2 2" xfId="26456"/>
    <cellStyle name="level1a 2 4 4 5 3" xfId="26457"/>
    <cellStyle name="level1a 2 4 4 6" xfId="26458"/>
    <cellStyle name="level1a 2 4 5" xfId="2035"/>
    <cellStyle name="level1a 2 4 5 2" xfId="2036"/>
    <cellStyle name="level1a 2 4 5 2 2" xfId="2037"/>
    <cellStyle name="level1a 2 4 5 2 2 2" xfId="2038"/>
    <cellStyle name="level1a 2 4 5 2 2 2 2" xfId="26459"/>
    <cellStyle name="level1a 2 4 5 2 2 3" xfId="26460"/>
    <cellStyle name="level1a 2 4 5 2 3" xfId="2039"/>
    <cellStyle name="level1a 2 4 5 2 3 2" xfId="26461"/>
    <cellStyle name="level1a 2 4 5 2 4" xfId="26462"/>
    <cellStyle name="level1a 2 4 5 3" xfId="2040"/>
    <cellStyle name="level1a 2 4 5 3 2" xfId="2041"/>
    <cellStyle name="level1a 2 4 5 3 2 2" xfId="2042"/>
    <cellStyle name="level1a 2 4 5 3 2 2 2" xfId="26463"/>
    <cellStyle name="level1a 2 4 5 3 2 3" xfId="26464"/>
    <cellStyle name="level1a 2 4 5 3 3" xfId="2043"/>
    <cellStyle name="level1a 2 4 5 3 3 2" xfId="26465"/>
    <cellStyle name="level1a 2 4 5 3 4" xfId="26466"/>
    <cellStyle name="level1a 2 4 5 4" xfId="2044"/>
    <cellStyle name="level1a 2 4 5 4 2" xfId="26467"/>
    <cellStyle name="level1a 2 4 5 5" xfId="2045"/>
    <cellStyle name="level1a 2 4 5 5 2" xfId="2046"/>
    <cellStyle name="level1a 2 4 5 5 2 2" xfId="26468"/>
    <cellStyle name="level1a 2 4 5 5 3" xfId="26469"/>
    <cellStyle name="level1a 2 4 5 6" xfId="2047"/>
    <cellStyle name="level1a 2 4 5 6 2" xfId="26470"/>
    <cellStyle name="level1a 2 4 5 7" xfId="26471"/>
    <cellStyle name="level1a 2 4 6" xfId="2048"/>
    <cellStyle name="level1a 2 4 6 2" xfId="2049"/>
    <cellStyle name="level1a 2 4 6 2 2" xfId="2050"/>
    <cellStyle name="level1a 2 4 6 2 2 2" xfId="2051"/>
    <cellStyle name="level1a 2 4 6 2 2 2 2" xfId="26472"/>
    <cellStyle name="level1a 2 4 6 2 2 3" xfId="26473"/>
    <cellStyle name="level1a 2 4 6 2 3" xfId="2052"/>
    <cellStyle name="level1a 2 4 6 2 3 2" xfId="26474"/>
    <cellStyle name="level1a 2 4 6 2 4" xfId="26475"/>
    <cellStyle name="level1a 2 4 6 3" xfId="2053"/>
    <cellStyle name="level1a 2 4 6 3 2" xfId="2054"/>
    <cellStyle name="level1a 2 4 6 3 2 2" xfId="2055"/>
    <cellStyle name="level1a 2 4 6 3 2 2 2" xfId="26476"/>
    <cellStyle name="level1a 2 4 6 3 2 3" xfId="26477"/>
    <cellStyle name="level1a 2 4 6 3 3" xfId="2056"/>
    <cellStyle name="level1a 2 4 6 3 3 2" xfId="26478"/>
    <cellStyle name="level1a 2 4 6 3 4" xfId="26479"/>
    <cellStyle name="level1a 2 4 6 4" xfId="2057"/>
    <cellStyle name="level1a 2 4 6 4 2" xfId="26480"/>
    <cellStyle name="level1a 2 4 6 5" xfId="2058"/>
    <cellStyle name="level1a 2 4 6 5 2" xfId="26481"/>
    <cellStyle name="level1a 2 4 6 6" xfId="26482"/>
    <cellStyle name="level1a 2 4 7" xfId="2059"/>
    <cellStyle name="level1a 2 4 7 2" xfId="2060"/>
    <cellStyle name="level1a 2 4 7 2 2" xfId="2061"/>
    <cellStyle name="level1a 2 4 7 2 2 2" xfId="2062"/>
    <cellStyle name="level1a 2 4 7 2 2 2 2" xfId="26483"/>
    <cellStyle name="level1a 2 4 7 2 2 3" xfId="26484"/>
    <cellStyle name="level1a 2 4 7 2 3" xfId="2063"/>
    <cellStyle name="level1a 2 4 7 2 3 2" xfId="26485"/>
    <cellStyle name="level1a 2 4 7 2 4" xfId="26486"/>
    <cellStyle name="level1a 2 4 7 3" xfId="2064"/>
    <cellStyle name="level1a 2 4 7 3 2" xfId="2065"/>
    <cellStyle name="level1a 2 4 7 3 2 2" xfId="2066"/>
    <cellStyle name="level1a 2 4 7 3 2 2 2" xfId="26487"/>
    <cellStyle name="level1a 2 4 7 3 2 3" xfId="26488"/>
    <cellStyle name="level1a 2 4 7 3 3" xfId="2067"/>
    <cellStyle name="level1a 2 4 7 3 3 2" xfId="26489"/>
    <cellStyle name="level1a 2 4 7 3 4" xfId="26490"/>
    <cellStyle name="level1a 2 4 7 4" xfId="2068"/>
    <cellStyle name="level1a 2 4 7 4 2" xfId="26491"/>
    <cellStyle name="level1a 2 4 7 5" xfId="2069"/>
    <cellStyle name="level1a 2 4 7 5 2" xfId="2070"/>
    <cellStyle name="level1a 2 4 7 5 2 2" xfId="26492"/>
    <cellStyle name="level1a 2 4 7 5 3" xfId="26493"/>
    <cellStyle name="level1a 2 4 7 6" xfId="2071"/>
    <cellStyle name="level1a 2 4 7 6 2" xfId="26494"/>
    <cellStyle name="level1a 2 4 7 7" xfId="26495"/>
    <cellStyle name="level1a 2 4 8" xfId="2072"/>
    <cellStyle name="level1a 2 4 8 2" xfId="2073"/>
    <cellStyle name="level1a 2 4 8 2 2" xfId="2074"/>
    <cellStyle name="level1a 2 4 8 2 2 2" xfId="2075"/>
    <cellStyle name="level1a 2 4 8 2 2 2 2" xfId="26496"/>
    <cellStyle name="level1a 2 4 8 2 2 3" xfId="26497"/>
    <cellStyle name="level1a 2 4 8 2 3" xfId="2076"/>
    <cellStyle name="level1a 2 4 8 2 3 2" xfId="26498"/>
    <cellStyle name="level1a 2 4 8 2 4" xfId="26499"/>
    <cellStyle name="level1a 2 4 8 3" xfId="2077"/>
    <cellStyle name="level1a 2 4 8 3 2" xfId="2078"/>
    <cellStyle name="level1a 2 4 8 3 2 2" xfId="2079"/>
    <cellStyle name="level1a 2 4 8 3 2 2 2" xfId="26500"/>
    <cellStyle name="level1a 2 4 8 3 2 3" xfId="26501"/>
    <cellStyle name="level1a 2 4 8 3 3" xfId="2080"/>
    <cellStyle name="level1a 2 4 8 3 3 2" xfId="26502"/>
    <cellStyle name="level1a 2 4 8 3 4" xfId="26503"/>
    <cellStyle name="level1a 2 4 8 4" xfId="2081"/>
    <cellStyle name="level1a 2 4 8 4 2" xfId="2082"/>
    <cellStyle name="level1a 2 4 8 4 2 2" xfId="26504"/>
    <cellStyle name="level1a 2 4 8 4 3" xfId="26505"/>
    <cellStyle name="level1a 2 4 8 5" xfId="2083"/>
    <cellStyle name="level1a 2 4 8 5 2" xfId="26506"/>
    <cellStyle name="level1a 2 4 8 6" xfId="26507"/>
    <cellStyle name="level1a 2 4 9" xfId="2084"/>
    <cellStyle name="level1a 2 4 9 2" xfId="2085"/>
    <cellStyle name="level1a 2 4 9 2 2" xfId="2086"/>
    <cellStyle name="level1a 2 4 9 2 2 2" xfId="26508"/>
    <cellStyle name="level1a 2 4 9 2 3" xfId="26509"/>
    <cellStyle name="level1a 2 4 9 3" xfId="2087"/>
    <cellStyle name="level1a 2 4 9 3 2" xfId="26510"/>
    <cellStyle name="level1a 2 4 9 4" xfId="26511"/>
    <cellStyle name="level1a 2 4_STUD aligned by INSTIT" xfId="2088"/>
    <cellStyle name="level1a 2 5" xfId="2089"/>
    <cellStyle name="level1a 2 5 2" xfId="2090"/>
    <cellStyle name="level1a 2 5 2 2" xfId="2091"/>
    <cellStyle name="level1a 2 5 2 2 2" xfId="2092"/>
    <cellStyle name="level1a 2 5 2 2 2 2" xfId="2093"/>
    <cellStyle name="level1a 2 5 2 2 2 2 2" xfId="26512"/>
    <cellStyle name="level1a 2 5 2 2 2 3" xfId="26513"/>
    <cellStyle name="level1a 2 5 2 2 3" xfId="2094"/>
    <cellStyle name="level1a 2 5 2 2 3 2" xfId="26514"/>
    <cellStyle name="level1a 2 5 2 2 4" xfId="26515"/>
    <cellStyle name="level1a 2 5 2 3" xfId="2095"/>
    <cellStyle name="level1a 2 5 2 3 2" xfId="2096"/>
    <cellStyle name="level1a 2 5 2 3 2 2" xfId="2097"/>
    <cellStyle name="level1a 2 5 2 3 2 2 2" xfId="26516"/>
    <cellStyle name="level1a 2 5 2 3 2 3" xfId="26517"/>
    <cellStyle name="level1a 2 5 2 3 3" xfId="2098"/>
    <cellStyle name="level1a 2 5 2 3 3 2" xfId="26518"/>
    <cellStyle name="level1a 2 5 2 3 4" xfId="26519"/>
    <cellStyle name="level1a 2 5 2 4" xfId="2099"/>
    <cellStyle name="level1a 2 5 2 4 2" xfId="26520"/>
    <cellStyle name="level1a 2 5 2 5" xfId="2100"/>
    <cellStyle name="level1a 2 5 2 5 2" xfId="2101"/>
    <cellStyle name="level1a 2 5 2 5 2 2" xfId="26521"/>
    <cellStyle name="level1a 2 5 2 5 3" xfId="26522"/>
    <cellStyle name="level1a 2 5 2 6" xfId="26523"/>
    <cellStyle name="level1a 2 5 3" xfId="2102"/>
    <cellStyle name="level1a 2 5 3 2" xfId="2103"/>
    <cellStyle name="level1a 2 5 3 2 2" xfId="2104"/>
    <cellStyle name="level1a 2 5 3 2 2 2" xfId="2105"/>
    <cellStyle name="level1a 2 5 3 2 2 2 2" xfId="26524"/>
    <cellStyle name="level1a 2 5 3 2 2 3" xfId="26525"/>
    <cellStyle name="level1a 2 5 3 2 3" xfId="2106"/>
    <cellStyle name="level1a 2 5 3 2 3 2" xfId="26526"/>
    <cellStyle name="level1a 2 5 3 2 4" xfId="26527"/>
    <cellStyle name="level1a 2 5 3 3" xfId="2107"/>
    <cellStyle name="level1a 2 5 3 3 2" xfId="2108"/>
    <cellStyle name="level1a 2 5 3 3 2 2" xfId="2109"/>
    <cellStyle name="level1a 2 5 3 3 2 2 2" xfId="26528"/>
    <cellStyle name="level1a 2 5 3 3 2 3" xfId="26529"/>
    <cellStyle name="level1a 2 5 3 3 3" xfId="2110"/>
    <cellStyle name="level1a 2 5 3 3 3 2" xfId="26530"/>
    <cellStyle name="level1a 2 5 3 3 4" xfId="26531"/>
    <cellStyle name="level1a 2 5 3 4" xfId="2111"/>
    <cellStyle name="level1a 2 5 3 4 2" xfId="26532"/>
    <cellStyle name="level1a 2 5 3 5" xfId="2112"/>
    <cellStyle name="level1a 2 5 3 5 2" xfId="26533"/>
    <cellStyle name="level1a 2 5 3 6" xfId="26534"/>
    <cellStyle name="level1a 2 5 4" xfId="2113"/>
    <cellStyle name="level1a 2 5 4 2" xfId="2114"/>
    <cellStyle name="level1a 2 5 4 2 2" xfId="2115"/>
    <cellStyle name="level1a 2 5 4 2 2 2" xfId="2116"/>
    <cellStyle name="level1a 2 5 4 2 2 2 2" xfId="26535"/>
    <cellStyle name="level1a 2 5 4 2 2 3" xfId="26536"/>
    <cellStyle name="level1a 2 5 4 2 3" xfId="2117"/>
    <cellStyle name="level1a 2 5 4 2 3 2" xfId="26537"/>
    <cellStyle name="level1a 2 5 4 2 4" xfId="26538"/>
    <cellStyle name="level1a 2 5 4 3" xfId="2118"/>
    <cellStyle name="level1a 2 5 4 3 2" xfId="2119"/>
    <cellStyle name="level1a 2 5 4 3 2 2" xfId="2120"/>
    <cellStyle name="level1a 2 5 4 3 2 2 2" xfId="26539"/>
    <cellStyle name="level1a 2 5 4 3 2 3" xfId="26540"/>
    <cellStyle name="level1a 2 5 4 3 3" xfId="2121"/>
    <cellStyle name="level1a 2 5 4 3 3 2" xfId="26541"/>
    <cellStyle name="level1a 2 5 4 3 4" xfId="26542"/>
    <cellStyle name="level1a 2 5 4 4" xfId="2122"/>
    <cellStyle name="level1a 2 5 4 4 2" xfId="26543"/>
    <cellStyle name="level1a 2 5 4 5" xfId="2123"/>
    <cellStyle name="level1a 2 5 4 5 2" xfId="2124"/>
    <cellStyle name="level1a 2 5 4 5 2 2" xfId="26544"/>
    <cellStyle name="level1a 2 5 4 5 3" xfId="26545"/>
    <cellStyle name="level1a 2 5 4 6" xfId="2125"/>
    <cellStyle name="level1a 2 5 4 6 2" xfId="26546"/>
    <cellStyle name="level1a 2 5 4 7" xfId="26547"/>
    <cellStyle name="level1a 2 5 5" xfId="2126"/>
    <cellStyle name="level1a 2 5 5 2" xfId="2127"/>
    <cellStyle name="level1a 2 5 5 2 2" xfId="2128"/>
    <cellStyle name="level1a 2 5 5 2 2 2" xfId="2129"/>
    <cellStyle name="level1a 2 5 5 2 2 2 2" xfId="26548"/>
    <cellStyle name="level1a 2 5 5 2 2 3" xfId="26549"/>
    <cellStyle name="level1a 2 5 5 2 3" xfId="2130"/>
    <cellStyle name="level1a 2 5 5 2 3 2" xfId="26550"/>
    <cellStyle name="level1a 2 5 5 2 4" xfId="26551"/>
    <cellStyle name="level1a 2 5 5 3" xfId="2131"/>
    <cellStyle name="level1a 2 5 5 3 2" xfId="2132"/>
    <cellStyle name="level1a 2 5 5 3 2 2" xfId="2133"/>
    <cellStyle name="level1a 2 5 5 3 2 2 2" xfId="26552"/>
    <cellStyle name="level1a 2 5 5 3 2 3" xfId="26553"/>
    <cellStyle name="level1a 2 5 5 3 3" xfId="2134"/>
    <cellStyle name="level1a 2 5 5 3 3 2" xfId="26554"/>
    <cellStyle name="level1a 2 5 5 3 4" xfId="26555"/>
    <cellStyle name="level1a 2 5 5 4" xfId="2135"/>
    <cellStyle name="level1a 2 5 5 4 2" xfId="2136"/>
    <cellStyle name="level1a 2 5 5 4 2 2" xfId="26556"/>
    <cellStyle name="level1a 2 5 5 4 3" xfId="26557"/>
    <cellStyle name="level1a 2 5 5 5" xfId="2137"/>
    <cellStyle name="level1a 2 5 5 5 2" xfId="26558"/>
    <cellStyle name="level1a 2 5 5 6" xfId="26559"/>
    <cellStyle name="level1a 2 5 6" xfId="2138"/>
    <cellStyle name="level1a 2 5 6 2" xfId="2139"/>
    <cellStyle name="level1a 2 5 6 2 2" xfId="2140"/>
    <cellStyle name="level1a 2 5 6 2 2 2" xfId="2141"/>
    <cellStyle name="level1a 2 5 6 2 2 2 2" xfId="26560"/>
    <cellStyle name="level1a 2 5 6 2 2 3" xfId="26561"/>
    <cellStyle name="level1a 2 5 6 2 3" xfId="2142"/>
    <cellStyle name="level1a 2 5 6 2 3 2" xfId="26562"/>
    <cellStyle name="level1a 2 5 6 2 4" xfId="26563"/>
    <cellStyle name="level1a 2 5 6 3" xfId="2143"/>
    <cellStyle name="level1a 2 5 6 3 2" xfId="2144"/>
    <cellStyle name="level1a 2 5 6 3 2 2" xfId="2145"/>
    <cellStyle name="level1a 2 5 6 3 2 2 2" xfId="26564"/>
    <cellStyle name="level1a 2 5 6 3 2 3" xfId="26565"/>
    <cellStyle name="level1a 2 5 6 3 3" xfId="2146"/>
    <cellStyle name="level1a 2 5 6 3 3 2" xfId="26566"/>
    <cellStyle name="level1a 2 5 6 3 4" xfId="26567"/>
    <cellStyle name="level1a 2 5 6 4" xfId="2147"/>
    <cellStyle name="level1a 2 5 6 4 2" xfId="2148"/>
    <cellStyle name="level1a 2 5 6 4 2 2" xfId="26568"/>
    <cellStyle name="level1a 2 5 6 4 3" xfId="26569"/>
    <cellStyle name="level1a 2 5 6 5" xfId="2149"/>
    <cellStyle name="level1a 2 5 6 5 2" xfId="26570"/>
    <cellStyle name="level1a 2 5 6 6" xfId="26571"/>
    <cellStyle name="level1a 2 5 7" xfId="2150"/>
    <cellStyle name="level1a 2 5 7 2" xfId="2151"/>
    <cellStyle name="level1a 2 5 7 2 2" xfId="2152"/>
    <cellStyle name="level1a 2 5 7 2 2 2" xfId="26572"/>
    <cellStyle name="level1a 2 5 7 2 3" xfId="26573"/>
    <cellStyle name="level1a 2 5 7 3" xfId="2153"/>
    <cellStyle name="level1a 2 5 7 3 2" xfId="26574"/>
    <cellStyle name="level1a 2 5 7 4" xfId="26575"/>
    <cellStyle name="level1a 2 5 8" xfId="26576"/>
    <cellStyle name="level1a 2 5_STUD aligned by INSTIT" xfId="2154"/>
    <cellStyle name="level1a 2 6" xfId="2155"/>
    <cellStyle name="level1a 2 6 2" xfId="2156"/>
    <cellStyle name="level1a 2 6 2 2" xfId="2157"/>
    <cellStyle name="level1a 2 6 2 2 2" xfId="2158"/>
    <cellStyle name="level1a 2 6 2 2 2 2" xfId="2159"/>
    <cellStyle name="level1a 2 6 2 2 2 2 2" xfId="26577"/>
    <cellStyle name="level1a 2 6 2 2 2 3" xfId="26578"/>
    <cellStyle name="level1a 2 6 2 2 3" xfId="2160"/>
    <cellStyle name="level1a 2 6 2 2 3 2" xfId="26579"/>
    <cellStyle name="level1a 2 6 2 2 4" xfId="26580"/>
    <cellStyle name="level1a 2 6 2 3" xfId="2161"/>
    <cellStyle name="level1a 2 6 2 3 2" xfId="2162"/>
    <cellStyle name="level1a 2 6 2 3 2 2" xfId="2163"/>
    <cellStyle name="level1a 2 6 2 3 2 2 2" xfId="26581"/>
    <cellStyle name="level1a 2 6 2 3 2 3" xfId="26582"/>
    <cellStyle name="level1a 2 6 2 3 3" xfId="2164"/>
    <cellStyle name="level1a 2 6 2 3 3 2" xfId="26583"/>
    <cellStyle name="level1a 2 6 2 3 4" xfId="26584"/>
    <cellStyle name="level1a 2 6 2 4" xfId="2165"/>
    <cellStyle name="level1a 2 6 2 4 2" xfId="26585"/>
    <cellStyle name="level1a 2 6 2 5" xfId="2166"/>
    <cellStyle name="level1a 2 6 2 5 2" xfId="2167"/>
    <cellStyle name="level1a 2 6 2 5 2 2" xfId="26586"/>
    <cellStyle name="level1a 2 6 2 5 3" xfId="26587"/>
    <cellStyle name="level1a 2 6 2 6" xfId="2168"/>
    <cellStyle name="level1a 2 6 2 6 2" xfId="26588"/>
    <cellStyle name="level1a 2 6 2 7" xfId="26589"/>
    <cellStyle name="level1a 2 6 3" xfId="2169"/>
    <cellStyle name="level1a 2 6 3 2" xfId="2170"/>
    <cellStyle name="level1a 2 6 3 2 2" xfId="2171"/>
    <cellStyle name="level1a 2 6 3 2 2 2" xfId="2172"/>
    <cellStyle name="level1a 2 6 3 2 2 2 2" xfId="26590"/>
    <cellStyle name="level1a 2 6 3 2 2 3" xfId="26591"/>
    <cellStyle name="level1a 2 6 3 2 3" xfId="2173"/>
    <cellStyle name="level1a 2 6 3 2 3 2" xfId="26592"/>
    <cellStyle name="level1a 2 6 3 2 4" xfId="26593"/>
    <cellStyle name="level1a 2 6 3 3" xfId="2174"/>
    <cellStyle name="level1a 2 6 3 3 2" xfId="2175"/>
    <cellStyle name="level1a 2 6 3 3 2 2" xfId="2176"/>
    <cellStyle name="level1a 2 6 3 3 2 2 2" xfId="26594"/>
    <cellStyle name="level1a 2 6 3 3 2 3" xfId="26595"/>
    <cellStyle name="level1a 2 6 3 3 3" xfId="2177"/>
    <cellStyle name="level1a 2 6 3 3 3 2" xfId="26596"/>
    <cellStyle name="level1a 2 6 3 3 4" xfId="26597"/>
    <cellStyle name="level1a 2 6 3 4" xfId="2178"/>
    <cellStyle name="level1a 2 6 3 4 2" xfId="26598"/>
    <cellStyle name="level1a 2 6 3 5" xfId="26599"/>
    <cellStyle name="level1a 2 6 4" xfId="2179"/>
    <cellStyle name="level1a 2 6 4 2" xfId="2180"/>
    <cellStyle name="level1a 2 6 4 2 2" xfId="2181"/>
    <cellStyle name="level1a 2 6 4 2 2 2" xfId="2182"/>
    <cellStyle name="level1a 2 6 4 2 2 2 2" xfId="26600"/>
    <cellStyle name="level1a 2 6 4 2 2 3" xfId="26601"/>
    <cellStyle name="level1a 2 6 4 2 3" xfId="2183"/>
    <cellStyle name="level1a 2 6 4 2 3 2" xfId="26602"/>
    <cellStyle name="level1a 2 6 4 2 4" xfId="26603"/>
    <cellStyle name="level1a 2 6 4 3" xfId="2184"/>
    <cellStyle name="level1a 2 6 4 3 2" xfId="2185"/>
    <cellStyle name="level1a 2 6 4 3 2 2" xfId="2186"/>
    <cellStyle name="level1a 2 6 4 3 2 2 2" xfId="26604"/>
    <cellStyle name="level1a 2 6 4 3 2 3" xfId="26605"/>
    <cellStyle name="level1a 2 6 4 3 3" xfId="2187"/>
    <cellStyle name="level1a 2 6 4 3 3 2" xfId="26606"/>
    <cellStyle name="level1a 2 6 4 3 4" xfId="26607"/>
    <cellStyle name="level1a 2 6 4 4" xfId="2188"/>
    <cellStyle name="level1a 2 6 4 4 2" xfId="2189"/>
    <cellStyle name="level1a 2 6 4 4 2 2" xfId="26608"/>
    <cellStyle name="level1a 2 6 4 4 3" xfId="26609"/>
    <cellStyle name="level1a 2 6 4 5" xfId="2190"/>
    <cellStyle name="level1a 2 6 4 5 2" xfId="26610"/>
    <cellStyle name="level1a 2 6 4 6" xfId="26611"/>
    <cellStyle name="level1a 2 6 5" xfId="2191"/>
    <cellStyle name="level1a 2 6 5 2" xfId="2192"/>
    <cellStyle name="level1a 2 6 5 2 2" xfId="2193"/>
    <cellStyle name="level1a 2 6 5 2 2 2" xfId="2194"/>
    <cellStyle name="level1a 2 6 5 2 2 2 2" xfId="26612"/>
    <cellStyle name="level1a 2 6 5 2 2 3" xfId="26613"/>
    <cellStyle name="level1a 2 6 5 2 3" xfId="2195"/>
    <cellStyle name="level1a 2 6 5 2 3 2" xfId="26614"/>
    <cellStyle name="level1a 2 6 5 2 4" xfId="26615"/>
    <cellStyle name="level1a 2 6 5 3" xfId="2196"/>
    <cellStyle name="level1a 2 6 5 3 2" xfId="2197"/>
    <cellStyle name="level1a 2 6 5 3 2 2" xfId="2198"/>
    <cellStyle name="level1a 2 6 5 3 2 2 2" xfId="26616"/>
    <cellStyle name="level1a 2 6 5 3 2 3" xfId="26617"/>
    <cellStyle name="level1a 2 6 5 3 3" xfId="2199"/>
    <cellStyle name="level1a 2 6 5 3 3 2" xfId="26618"/>
    <cellStyle name="level1a 2 6 5 3 4" xfId="26619"/>
    <cellStyle name="level1a 2 6 5 4" xfId="2200"/>
    <cellStyle name="level1a 2 6 5 4 2" xfId="2201"/>
    <cellStyle name="level1a 2 6 5 4 2 2" xfId="26620"/>
    <cellStyle name="level1a 2 6 5 4 3" xfId="26621"/>
    <cellStyle name="level1a 2 6 5 5" xfId="2202"/>
    <cellStyle name="level1a 2 6 5 5 2" xfId="26622"/>
    <cellStyle name="level1a 2 6 5 6" xfId="26623"/>
    <cellStyle name="level1a 2 6 6" xfId="2203"/>
    <cellStyle name="level1a 2 6 6 2" xfId="2204"/>
    <cellStyle name="level1a 2 6 6 2 2" xfId="2205"/>
    <cellStyle name="level1a 2 6 6 2 2 2" xfId="2206"/>
    <cellStyle name="level1a 2 6 6 2 2 2 2" xfId="26624"/>
    <cellStyle name="level1a 2 6 6 2 2 3" xfId="26625"/>
    <cellStyle name="level1a 2 6 6 2 3" xfId="2207"/>
    <cellStyle name="level1a 2 6 6 2 3 2" xfId="26626"/>
    <cellStyle name="level1a 2 6 6 2 4" xfId="26627"/>
    <cellStyle name="level1a 2 6 6 3" xfId="2208"/>
    <cellStyle name="level1a 2 6 6 3 2" xfId="2209"/>
    <cellStyle name="level1a 2 6 6 3 2 2" xfId="2210"/>
    <cellStyle name="level1a 2 6 6 3 2 2 2" xfId="26628"/>
    <cellStyle name="level1a 2 6 6 3 2 3" xfId="26629"/>
    <cellStyle name="level1a 2 6 6 3 3" xfId="2211"/>
    <cellStyle name="level1a 2 6 6 3 3 2" xfId="26630"/>
    <cellStyle name="level1a 2 6 6 3 4" xfId="26631"/>
    <cellStyle name="level1a 2 6 6 4" xfId="2212"/>
    <cellStyle name="level1a 2 6 6 4 2" xfId="2213"/>
    <cellStyle name="level1a 2 6 6 4 2 2" xfId="26632"/>
    <cellStyle name="level1a 2 6 6 4 3" xfId="26633"/>
    <cellStyle name="level1a 2 6 6 5" xfId="2214"/>
    <cellStyle name="level1a 2 6 6 5 2" xfId="26634"/>
    <cellStyle name="level1a 2 6 6 6" xfId="26635"/>
    <cellStyle name="level1a 2 6 7" xfId="2215"/>
    <cellStyle name="level1a 2 6 7 2" xfId="2216"/>
    <cellStyle name="level1a 2 6 7 2 2" xfId="2217"/>
    <cellStyle name="level1a 2 6 7 2 2 2" xfId="26636"/>
    <cellStyle name="level1a 2 6 7 2 3" xfId="26637"/>
    <cellStyle name="level1a 2 6 7 3" xfId="2218"/>
    <cellStyle name="level1a 2 6 7 3 2" xfId="26638"/>
    <cellStyle name="level1a 2 6 7 4" xfId="26639"/>
    <cellStyle name="level1a 2 6 8" xfId="2219"/>
    <cellStyle name="level1a 2 6 8 2" xfId="2220"/>
    <cellStyle name="level1a 2 6 8 2 2" xfId="2221"/>
    <cellStyle name="level1a 2 6 8 2 2 2" xfId="26640"/>
    <cellStyle name="level1a 2 6 8 2 3" xfId="26641"/>
    <cellStyle name="level1a 2 6 8 3" xfId="2222"/>
    <cellStyle name="level1a 2 6 8 3 2" xfId="26642"/>
    <cellStyle name="level1a 2 6 8 4" xfId="26643"/>
    <cellStyle name="level1a 2 6 9" xfId="26644"/>
    <cellStyle name="level1a 2 6_STUD aligned by INSTIT" xfId="2223"/>
    <cellStyle name="level1a 2 7" xfId="2224"/>
    <cellStyle name="level1a 2 7 2" xfId="2225"/>
    <cellStyle name="level1a 2 7 2 2" xfId="2226"/>
    <cellStyle name="level1a 2 7 2 2 2" xfId="2227"/>
    <cellStyle name="level1a 2 7 2 2 2 2" xfId="26645"/>
    <cellStyle name="level1a 2 7 2 2 3" xfId="26646"/>
    <cellStyle name="level1a 2 7 2 3" xfId="2228"/>
    <cellStyle name="level1a 2 7 2 3 2" xfId="26647"/>
    <cellStyle name="level1a 2 7 2 4" xfId="26648"/>
    <cellStyle name="level1a 2 7 3" xfId="2229"/>
    <cellStyle name="level1a 2 7 3 2" xfId="2230"/>
    <cellStyle name="level1a 2 7 3 2 2" xfId="2231"/>
    <cellStyle name="level1a 2 7 3 2 2 2" xfId="26649"/>
    <cellStyle name="level1a 2 7 3 2 3" xfId="26650"/>
    <cellStyle name="level1a 2 7 3 3" xfId="2232"/>
    <cellStyle name="level1a 2 7 3 3 2" xfId="26651"/>
    <cellStyle name="level1a 2 7 3 4" xfId="26652"/>
    <cellStyle name="level1a 2 7 4" xfId="2233"/>
    <cellStyle name="level1a 2 7 4 2" xfId="26653"/>
    <cellStyle name="level1a 2 7 5" xfId="2234"/>
    <cellStyle name="level1a 2 7 5 2" xfId="2235"/>
    <cellStyle name="level1a 2 7 5 2 2" xfId="26654"/>
    <cellStyle name="level1a 2 7 5 3" xfId="26655"/>
    <cellStyle name="level1a 2 7 6" xfId="26656"/>
    <cellStyle name="level1a 2 8" xfId="2236"/>
    <cellStyle name="level1a 2 8 2" xfId="2237"/>
    <cellStyle name="level1a 2 8 2 2" xfId="2238"/>
    <cellStyle name="level1a 2 8 2 2 2" xfId="2239"/>
    <cellStyle name="level1a 2 8 2 2 2 2" xfId="26657"/>
    <cellStyle name="level1a 2 8 2 2 3" xfId="26658"/>
    <cellStyle name="level1a 2 8 2 3" xfId="2240"/>
    <cellStyle name="level1a 2 8 2 3 2" xfId="26659"/>
    <cellStyle name="level1a 2 8 2 4" xfId="26660"/>
    <cellStyle name="level1a 2 8 3" xfId="2241"/>
    <cellStyle name="level1a 2 8 3 2" xfId="2242"/>
    <cellStyle name="level1a 2 8 3 2 2" xfId="2243"/>
    <cellStyle name="level1a 2 8 3 2 2 2" xfId="26661"/>
    <cellStyle name="level1a 2 8 3 2 3" xfId="26662"/>
    <cellStyle name="level1a 2 8 3 3" xfId="2244"/>
    <cellStyle name="level1a 2 8 3 3 2" xfId="26663"/>
    <cellStyle name="level1a 2 8 3 4" xfId="26664"/>
    <cellStyle name="level1a 2 8 4" xfId="2245"/>
    <cellStyle name="level1a 2 8 4 2" xfId="26665"/>
    <cellStyle name="level1a 2 8 5" xfId="2246"/>
    <cellStyle name="level1a 2 8 5 2" xfId="2247"/>
    <cellStyle name="level1a 2 8 5 2 2" xfId="26666"/>
    <cellStyle name="level1a 2 8 5 3" xfId="26667"/>
    <cellStyle name="level1a 2 8 6" xfId="2248"/>
    <cellStyle name="level1a 2 8 6 2" xfId="26668"/>
    <cellStyle name="level1a 2 8 7" xfId="26669"/>
    <cellStyle name="level1a 2 9" xfId="2249"/>
    <cellStyle name="level1a 2 9 2" xfId="2250"/>
    <cellStyle name="level1a 2 9 2 2" xfId="2251"/>
    <cellStyle name="level1a 2 9 2 2 2" xfId="2252"/>
    <cellStyle name="level1a 2 9 2 2 2 2" xfId="26670"/>
    <cellStyle name="level1a 2 9 2 2 3" xfId="26671"/>
    <cellStyle name="level1a 2 9 2 3" xfId="2253"/>
    <cellStyle name="level1a 2 9 2 3 2" xfId="26672"/>
    <cellStyle name="level1a 2 9 2 4" xfId="26673"/>
    <cellStyle name="level1a 2 9 3" xfId="2254"/>
    <cellStyle name="level1a 2 9 3 2" xfId="2255"/>
    <cellStyle name="level1a 2 9 3 2 2" xfId="2256"/>
    <cellStyle name="level1a 2 9 3 2 2 2" xfId="26674"/>
    <cellStyle name="level1a 2 9 3 2 3" xfId="26675"/>
    <cellStyle name="level1a 2 9 3 3" xfId="2257"/>
    <cellStyle name="level1a 2 9 3 3 2" xfId="26676"/>
    <cellStyle name="level1a 2 9 3 4" xfId="26677"/>
    <cellStyle name="level1a 2 9 4" xfId="2258"/>
    <cellStyle name="level1a 2 9 4 2" xfId="26678"/>
    <cellStyle name="level1a 2 9 5" xfId="2259"/>
    <cellStyle name="level1a 2 9 5 2" xfId="26679"/>
    <cellStyle name="level1a 2 9 6" xfId="26680"/>
    <cellStyle name="level1a 2_STUD aligned by INSTIT" xfId="2260"/>
    <cellStyle name="level1a 3" xfId="22"/>
    <cellStyle name="level1a 3 10" xfId="2261"/>
    <cellStyle name="level1a 3 10 2" xfId="2262"/>
    <cellStyle name="level1a 3 10 2 2" xfId="2263"/>
    <cellStyle name="level1a 3 10 2 2 2" xfId="2264"/>
    <cellStyle name="level1a 3 10 2 2 2 2" xfId="26681"/>
    <cellStyle name="level1a 3 10 2 2 3" xfId="26682"/>
    <cellStyle name="level1a 3 10 2 3" xfId="2265"/>
    <cellStyle name="level1a 3 10 2 3 2" xfId="26683"/>
    <cellStyle name="level1a 3 10 2 4" xfId="26684"/>
    <cellStyle name="level1a 3 10 3" xfId="2266"/>
    <cellStyle name="level1a 3 10 3 2" xfId="2267"/>
    <cellStyle name="level1a 3 10 3 2 2" xfId="2268"/>
    <cellStyle name="level1a 3 10 3 2 2 2" xfId="26685"/>
    <cellStyle name="level1a 3 10 3 2 3" xfId="26686"/>
    <cellStyle name="level1a 3 10 3 3" xfId="2269"/>
    <cellStyle name="level1a 3 10 3 3 2" xfId="26687"/>
    <cellStyle name="level1a 3 10 3 4" xfId="26688"/>
    <cellStyle name="level1a 3 10 4" xfId="2270"/>
    <cellStyle name="level1a 3 10 4 2" xfId="26689"/>
    <cellStyle name="level1a 3 10 5" xfId="2271"/>
    <cellStyle name="level1a 3 10 5 2" xfId="2272"/>
    <cellStyle name="level1a 3 10 5 2 2" xfId="26690"/>
    <cellStyle name="level1a 3 10 5 3" xfId="26691"/>
    <cellStyle name="level1a 3 10 6" xfId="2273"/>
    <cellStyle name="level1a 3 10 6 2" xfId="26692"/>
    <cellStyle name="level1a 3 10 7" xfId="26693"/>
    <cellStyle name="level1a 3 11" xfId="2274"/>
    <cellStyle name="level1a 3 11 2" xfId="2275"/>
    <cellStyle name="level1a 3 11 2 2" xfId="2276"/>
    <cellStyle name="level1a 3 11 2 2 2" xfId="2277"/>
    <cellStyle name="level1a 3 11 2 2 2 2" xfId="26694"/>
    <cellStyle name="level1a 3 11 2 2 3" xfId="26695"/>
    <cellStyle name="level1a 3 11 2 3" xfId="2278"/>
    <cellStyle name="level1a 3 11 2 3 2" xfId="26696"/>
    <cellStyle name="level1a 3 11 2 4" xfId="26697"/>
    <cellStyle name="level1a 3 11 3" xfId="2279"/>
    <cellStyle name="level1a 3 11 3 2" xfId="2280"/>
    <cellStyle name="level1a 3 11 3 2 2" xfId="2281"/>
    <cellStyle name="level1a 3 11 3 2 2 2" xfId="26698"/>
    <cellStyle name="level1a 3 11 3 2 3" xfId="26699"/>
    <cellStyle name="level1a 3 11 3 3" xfId="2282"/>
    <cellStyle name="level1a 3 11 3 3 2" xfId="26700"/>
    <cellStyle name="level1a 3 11 3 4" xfId="26701"/>
    <cellStyle name="level1a 3 11 4" xfId="2283"/>
    <cellStyle name="level1a 3 11 4 2" xfId="2284"/>
    <cellStyle name="level1a 3 11 4 2 2" xfId="26702"/>
    <cellStyle name="level1a 3 11 4 3" xfId="26703"/>
    <cellStyle name="level1a 3 11 5" xfId="2285"/>
    <cellStyle name="level1a 3 11 5 2" xfId="26704"/>
    <cellStyle name="level1a 3 11 6" xfId="26705"/>
    <cellStyle name="level1a 3 12" xfId="2286"/>
    <cellStyle name="level1a 3 12 2" xfId="2287"/>
    <cellStyle name="level1a 3 12 2 2" xfId="2288"/>
    <cellStyle name="level1a 3 12 2 2 2" xfId="26706"/>
    <cellStyle name="level1a 3 12 2 3" xfId="26707"/>
    <cellStyle name="level1a 3 12 3" xfId="2289"/>
    <cellStyle name="level1a 3 12 3 2" xfId="26708"/>
    <cellStyle name="level1a 3 12 4" xfId="26709"/>
    <cellStyle name="level1a 3 13" xfId="2290"/>
    <cellStyle name="level1a 3 13 2" xfId="26710"/>
    <cellStyle name="level1a 3 14" xfId="2291"/>
    <cellStyle name="level1a 3 14 2" xfId="26711"/>
    <cellStyle name="level1a 3 15" xfId="26712"/>
    <cellStyle name="level1a 3 2" xfId="2292"/>
    <cellStyle name="level1a 3 2 10" xfId="2293"/>
    <cellStyle name="level1a 3 2 10 2" xfId="2294"/>
    <cellStyle name="level1a 3 2 10 2 2" xfId="2295"/>
    <cellStyle name="level1a 3 2 10 2 2 2" xfId="2296"/>
    <cellStyle name="level1a 3 2 10 2 2 2 2" xfId="26713"/>
    <cellStyle name="level1a 3 2 10 2 2 3" xfId="26714"/>
    <cellStyle name="level1a 3 2 10 2 3" xfId="2297"/>
    <cellStyle name="level1a 3 2 10 2 3 2" xfId="26715"/>
    <cellStyle name="level1a 3 2 10 2 4" xfId="26716"/>
    <cellStyle name="level1a 3 2 10 3" xfId="2298"/>
    <cellStyle name="level1a 3 2 10 3 2" xfId="2299"/>
    <cellStyle name="level1a 3 2 10 3 2 2" xfId="2300"/>
    <cellStyle name="level1a 3 2 10 3 2 2 2" xfId="26717"/>
    <cellStyle name="level1a 3 2 10 3 2 3" xfId="26718"/>
    <cellStyle name="level1a 3 2 10 3 3" xfId="2301"/>
    <cellStyle name="level1a 3 2 10 3 3 2" xfId="26719"/>
    <cellStyle name="level1a 3 2 10 3 4" xfId="26720"/>
    <cellStyle name="level1a 3 2 10 4" xfId="2302"/>
    <cellStyle name="level1a 3 2 10 4 2" xfId="2303"/>
    <cellStyle name="level1a 3 2 10 4 2 2" xfId="26721"/>
    <cellStyle name="level1a 3 2 10 4 3" xfId="26722"/>
    <cellStyle name="level1a 3 2 10 5" xfId="2304"/>
    <cellStyle name="level1a 3 2 10 5 2" xfId="26723"/>
    <cellStyle name="level1a 3 2 10 6" xfId="26724"/>
    <cellStyle name="level1a 3 2 11" xfId="2305"/>
    <cellStyle name="level1a 3 2 11 2" xfId="2306"/>
    <cellStyle name="level1a 3 2 11 2 2" xfId="2307"/>
    <cellStyle name="level1a 3 2 11 2 2 2" xfId="26725"/>
    <cellStyle name="level1a 3 2 11 2 3" xfId="26726"/>
    <cellStyle name="level1a 3 2 11 3" xfId="2308"/>
    <cellStyle name="level1a 3 2 11 3 2" xfId="26727"/>
    <cellStyle name="level1a 3 2 11 4" xfId="26728"/>
    <cellStyle name="level1a 3 2 12" xfId="2309"/>
    <cellStyle name="level1a 3 2 12 2" xfId="26729"/>
    <cellStyle name="level1a 3 2 13" xfId="26730"/>
    <cellStyle name="level1a 3 2 2" xfId="2310"/>
    <cellStyle name="level1a 3 2 2 10" xfId="2311"/>
    <cellStyle name="level1a 3 2 2 10 2" xfId="26731"/>
    <cellStyle name="level1a 3 2 2 11" xfId="26732"/>
    <cellStyle name="level1a 3 2 2 2" xfId="2312"/>
    <cellStyle name="level1a 3 2 2 2 2" xfId="2313"/>
    <cellStyle name="level1a 3 2 2 2 2 2" xfId="2314"/>
    <cellStyle name="level1a 3 2 2 2 2 2 2" xfId="2315"/>
    <cellStyle name="level1a 3 2 2 2 2 2 2 2" xfId="2316"/>
    <cellStyle name="level1a 3 2 2 2 2 2 2 2 2" xfId="26733"/>
    <cellStyle name="level1a 3 2 2 2 2 2 2 3" xfId="26734"/>
    <cellStyle name="level1a 3 2 2 2 2 2 3" xfId="2317"/>
    <cellStyle name="level1a 3 2 2 2 2 2 3 2" xfId="26735"/>
    <cellStyle name="level1a 3 2 2 2 2 2 4" xfId="26736"/>
    <cellStyle name="level1a 3 2 2 2 2 3" xfId="2318"/>
    <cellStyle name="level1a 3 2 2 2 2 3 2" xfId="2319"/>
    <cellStyle name="level1a 3 2 2 2 2 3 2 2" xfId="2320"/>
    <cellStyle name="level1a 3 2 2 2 2 3 2 2 2" xfId="26737"/>
    <cellStyle name="level1a 3 2 2 2 2 3 2 3" xfId="26738"/>
    <cellStyle name="level1a 3 2 2 2 2 3 3" xfId="2321"/>
    <cellStyle name="level1a 3 2 2 2 2 3 3 2" xfId="26739"/>
    <cellStyle name="level1a 3 2 2 2 2 3 4" xfId="26740"/>
    <cellStyle name="level1a 3 2 2 2 2 4" xfId="2322"/>
    <cellStyle name="level1a 3 2 2 2 2 4 2" xfId="26741"/>
    <cellStyle name="level1a 3 2 2 2 2 5" xfId="2323"/>
    <cellStyle name="level1a 3 2 2 2 2 5 2" xfId="2324"/>
    <cellStyle name="level1a 3 2 2 2 2 5 2 2" xfId="26742"/>
    <cellStyle name="level1a 3 2 2 2 2 5 3" xfId="26743"/>
    <cellStyle name="level1a 3 2 2 2 2 6" xfId="26744"/>
    <cellStyle name="level1a 3 2 2 2 3" xfId="2325"/>
    <cellStyle name="level1a 3 2 2 2 3 2" xfId="2326"/>
    <cellStyle name="level1a 3 2 2 2 3 2 2" xfId="2327"/>
    <cellStyle name="level1a 3 2 2 2 3 2 2 2" xfId="2328"/>
    <cellStyle name="level1a 3 2 2 2 3 2 2 2 2" xfId="26745"/>
    <cellStyle name="level1a 3 2 2 2 3 2 2 3" xfId="26746"/>
    <cellStyle name="level1a 3 2 2 2 3 2 3" xfId="2329"/>
    <cellStyle name="level1a 3 2 2 2 3 2 3 2" xfId="26747"/>
    <cellStyle name="level1a 3 2 2 2 3 2 4" xfId="26748"/>
    <cellStyle name="level1a 3 2 2 2 3 3" xfId="2330"/>
    <cellStyle name="level1a 3 2 2 2 3 3 2" xfId="2331"/>
    <cellStyle name="level1a 3 2 2 2 3 3 2 2" xfId="2332"/>
    <cellStyle name="level1a 3 2 2 2 3 3 2 2 2" xfId="26749"/>
    <cellStyle name="level1a 3 2 2 2 3 3 2 3" xfId="26750"/>
    <cellStyle name="level1a 3 2 2 2 3 3 3" xfId="2333"/>
    <cellStyle name="level1a 3 2 2 2 3 3 3 2" xfId="26751"/>
    <cellStyle name="level1a 3 2 2 2 3 3 4" xfId="26752"/>
    <cellStyle name="level1a 3 2 2 2 3 4" xfId="2334"/>
    <cellStyle name="level1a 3 2 2 2 3 4 2" xfId="26753"/>
    <cellStyle name="level1a 3 2 2 2 3 5" xfId="2335"/>
    <cellStyle name="level1a 3 2 2 2 3 5 2" xfId="26754"/>
    <cellStyle name="level1a 3 2 2 2 3 6" xfId="26755"/>
    <cellStyle name="level1a 3 2 2 2 4" xfId="2336"/>
    <cellStyle name="level1a 3 2 2 2 4 2" xfId="2337"/>
    <cellStyle name="level1a 3 2 2 2 4 2 2" xfId="2338"/>
    <cellStyle name="level1a 3 2 2 2 4 2 2 2" xfId="2339"/>
    <cellStyle name="level1a 3 2 2 2 4 2 2 2 2" xfId="26756"/>
    <cellStyle name="level1a 3 2 2 2 4 2 2 3" xfId="26757"/>
    <cellStyle name="level1a 3 2 2 2 4 2 3" xfId="2340"/>
    <cellStyle name="level1a 3 2 2 2 4 2 3 2" xfId="26758"/>
    <cellStyle name="level1a 3 2 2 2 4 2 4" xfId="26759"/>
    <cellStyle name="level1a 3 2 2 2 4 3" xfId="2341"/>
    <cellStyle name="level1a 3 2 2 2 4 3 2" xfId="2342"/>
    <cellStyle name="level1a 3 2 2 2 4 3 2 2" xfId="2343"/>
    <cellStyle name="level1a 3 2 2 2 4 3 2 2 2" xfId="26760"/>
    <cellStyle name="level1a 3 2 2 2 4 3 2 3" xfId="26761"/>
    <cellStyle name="level1a 3 2 2 2 4 3 3" xfId="2344"/>
    <cellStyle name="level1a 3 2 2 2 4 3 3 2" xfId="26762"/>
    <cellStyle name="level1a 3 2 2 2 4 3 4" xfId="26763"/>
    <cellStyle name="level1a 3 2 2 2 4 4" xfId="2345"/>
    <cellStyle name="level1a 3 2 2 2 4 4 2" xfId="26764"/>
    <cellStyle name="level1a 3 2 2 2 4 5" xfId="2346"/>
    <cellStyle name="level1a 3 2 2 2 4 5 2" xfId="2347"/>
    <cellStyle name="level1a 3 2 2 2 4 5 2 2" xfId="26765"/>
    <cellStyle name="level1a 3 2 2 2 4 5 3" xfId="26766"/>
    <cellStyle name="level1a 3 2 2 2 4 6" xfId="2348"/>
    <cellStyle name="level1a 3 2 2 2 4 6 2" xfId="26767"/>
    <cellStyle name="level1a 3 2 2 2 4 7" xfId="26768"/>
    <cellStyle name="level1a 3 2 2 2 5" xfId="2349"/>
    <cellStyle name="level1a 3 2 2 2 5 2" xfId="2350"/>
    <cellStyle name="level1a 3 2 2 2 5 2 2" xfId="2351"/>
    <cellStyle name="level1a 3 2 2 2 5 2 2 2" xfId="2352"/>
    <cellStyle name="level1a 3 2 2 2 5 2 2 2 2" xfId="26769"/>
    <cellStyle name="level1a 3 2 2 2 5 2 2 3" xfId="26770"/>
    <cellStyle name="level1a 3 2 2 2 5 2 3" xfId="2353"/>
    <cellStyle name="level1a 3 2 2 2 5 2 3 2" xfId="26771"/>
    <cellStyle name="level1a 3 2 2 2 5 2 4" xfId="26772"/>
    <cellStyle name="level1a 3 2 2 2 5 3" xfId="2354"/>
    <cellStyle name="level1a 3 2 2 2 5 3 2" xfId="2355"/>
    <cellStyle name="level1a 3 2 2 2 5 3 2 2" xfId="2356"/>
    <cellStyle name="level1a 3 2 2 2 5 3 2 2 2" xfId="26773"/>
    <cellStyle name="level1a 3 2 2 2 5 3 2 3" xfId="26774"/>
    <cellStyle name="level1a 3 2 2 2 5 3 3" xfId="2357"/>
    <cellStyle name="level1a 3 2 2 2 5 3 3 2" xfId="26775"/>
    <cellStyle name="level1a 3 2 2 2 5 3 4" xfId="26776"/>
    <cellStyle name="level1a 3 2 2 2 5 4" xfId="2358"/>
    <cellStyle name="level1a 3 2 2 2 5 4 2" xfId="2359"/>
    <cellStyle name="level1a 3 2 2 2 5 4 2 2" xfId="26777"/>
    <cellStyle name="level1a 3 2 2 2 5 4 3" xfId="26778"/>
    <cellStyle name="level1a 3 2 2 2 5 5" xfId="2360"/>
    <cellStyle name="level1a 3 2 2 2 5 5 2" xfId="26779"/>
    <cellStyle name="level1a 3 2 2 2 5 6" xfId="26780"/>
    <cellStyle name="level1a 3 2 2 2 6" xfId="2361"/>
    <cellStyle name="level1a 3 2 2 2 6 2" xfId="2362"/>
    <cellStyle name="level1a 3 2 2 2 6 2 2" xfId="2363"/>
    <cellStyle name="level1a 3 2 2 2 6 2 2 2" xfId="2364"/>
    <cellStyle name="level1a 3 2 2 2 6 2 2 2 2" xfId="26781"/>
    <cellStyle name="level1a 3 2 2 2 6 2 2 3" xfId="26782"/>
    <cellStyle name="level1a 3 2 2 2 6 2 3" xfId="2365"/>
    <cellStyle name="level1a 3 2 2 2 6 2 3 2" xfId="26783"/>
    <cellStyle name="level1a 3 2 2 2 6 2 4" xfId="26784"/>
    <cellStyle name="level1a 3 2 2 2 6 3" xfId="2366"/>
    <cellStyle name="level1a 3 2 2 2 6 3 2" xfId="2367"/>
    <cellStyle name="level1a 3 2 2 2 6 3 2 2" xfId="2368"/>
    <cellStyle name="level1a 3 2 2 2 6 3 2 2 2" xfId="26785"/>
    <cellStyle name="level1a 3 2 2 2 6 3 2 3" xfId="26786"/>
    <cellStyle name="level1a 3 2 2 2 6 3 3" xfId="2369"/>
    <cellStyle name="level1a 3 2 2 2 6 3 3 2" xfId="26787"/>
    <cellStyle name="level1a 3 2 2 2 6 3 4" xfId="26788"/>
    <cellStyle name="level1a 3 2 2 2 6 4" xfId="2370"/>
    <cellStyle name="level1a 3 2 2 2 6 4 2" xfId="2371"/>
    <cellStyle name="level1a 3 2 2 2 6 4 2 2" xfId="26789"/>
    <cellStyle name="level1a 3 2 2 2 6 4 3" xfId="26790"/>
    <cellStyle name="level1a 3 2 2 2 6 5" xfId="2372"/>
    <cellStyle name="level1a 3 2 2 2 6 5 2" xfId="26791"/>
    <cellStyle name="level1a 3 2 2 2 6 6" xfId="26792"/>
    <cellStyle name="level1a 3 2 2 2 7" xfId="2373"/>
    <cellStyle name="level1a 3 2 2 2 7 2" xfId="2374"/>
    <cellStyle name="level1a 3 2 2 2 7 2 2" xfId="2375"/>
    <cellStyle name="level1a 3 2 2 2 7 2 2 2" xfId="26793"/>
    <cellStyle name="level1a 3 2 2 2 7 2 3" xfId="26794"/>
    <cellStyle name="level1a 3 2 2 2 7 3" xfId="2376"/>
    <cellStyle name="level1a 3 2 2 2 7 3 2" xfId="26795"/>
    <cellStyle name="level1a 3 2 2 2 7 4" xfId="26796"/>
    <cellStyle name="level1a 3 2 2 2 8" xfId="26797"/>
    <cellStyle name="level1a 3 2 2 2_STUD aligned by INSTIT" xfId="2377"/>
    <cellStyle name="level1a 3 2 2 3" xfId="2378"/>
    <cellStyle name="level1a 3 2 2 3 2" xfId="2379"/>
    <cellStyle name="level1a 3 2 2 3 2 2" xfId="2380"/>
    <cellStyle name="level1a 3 2 2 3 2 2 2" xfId="2381"/>
    <cellStyle name="level1a 3 2 2 3 2 2 2 2" xfId="2382"/>
    <cellStyle name="level1a 3 2 2 3 2 2 2 2 2" xfId="26798"/>
    <cellStyle name="level1a 3 2 2 3 2 2 2 3" xfId="26799"/>
    <cellStyle name="level1a 3 2 2 3 2 2 3" xfId="2383"/>
    <cellStyle name="level1a 3 2 2 3 2 2 3 2" xfId="26800"/>
    <cellStyle name="level1a 3 2 2 3 2 2 4" xfId="26801"/>
    <cellStyle name="level1a 3 2 2 3 2 3" xfId="2384"/>
    <cellStyle name="level1a 3 2 2 3 2 3 2" xfId="2385"/>
    <cellStyle name="level1a 3 2 2 3 2 3 2 2" xfId="2386"/>
    <cellStyle name="level1a 3 2 2 3 2 3 2 2 2" xfId="26802"/>
    <cellStyle name="level1a 3 2 2 3 2 3 2 3" xfId="26803"/>
    <cellStyle name="level1a 3 2 2 3 2 3 3" xfId="2387"/>
    <cellStyle name="level1a 3 2 2 3 2 3 3 2" xfId="26804"/>
    <cellStyle name="level1a 3 2 2 3 2 3 4" xfId="26805"/>
    <cellStyle name="level1a 3 2 2 3 2 4" xfId="2388"/>
    <cellStyle name="level1a 3 2 2 3 2 4 2" xfId="26806"/>
    <cellStyle name="level1a 3 2 2 3 2 5" xfId="2389"/>
    <cellStyle name="level1a 3 2 2 3 2 5 2" xfId="26807"/>
    <cellStyle name="level1a 3 2 2 3 2 6" xfId="26808"/>
    <cellStyle name="level1a 3 2 2 3 3" xfId="2390"/>
    <cellStyle name="level1a 3 2 2 3 3 2" xfId="2391"/>
    <cellStyle name="level1a 3 2 2 3 3 2 2" xfId="2392"/>
    <cellStyle name="level1a 3 2 2 3 3 2 2 2" xfId="2393"/>
    <cellStyle name="level1a 3 2 2 3 3 2 2 2 2" xfId="26809"/>
    <cellStyle name="level1a 3 2 2 3 3 2 2 3" xfId="26810"/>
    <cellStyle name="level1a 3 2 2 3 3 2 3" xfId="2394"/>
    <cellStyle name="level1a 3 2 2 3 3 2 3 2" xfId="26811"/>
    <cellStyle name="level1a 3 2 2 3 3 2 4" xfId="26812"/>
    <cellStyle name="level1a 3 2 2 3 3 3" xfId="2395"/>
    <cellStyle name="level1a 3 2 2 3 3 3 2" xfId="2396"/>
    <cellStyle name="level1a 3 2 2 3 3 3 2 2" xfId="2397"/>
    <cellStyle name="level1a 3 2 2 3 3 3 2 2 2" xfId="26813"/>
    <cellStyle name="level1a 3 2 2 3 3 3 2 3" xfId="26814"/>
    <cellStyle name="level1a 3 2 2 3 3 3 3" xfId="2398"/>
    <cellStyle name="level1a 3 2 2 3 3 3 3 2" xfId="26815"/>
    <cellStyle name="level1a 3 2 2 3 3 3 4" xfId="26816"/>
    <cellStyle name="level1a 3 2 2 3 3 4" xfId="2399"/>
    <cellStyle name="level1a 3 2 2 3 3 4 2" xfId="2400"/>
    <cellStyle name="level1a 3 2 2 3 3 4 2 2" xfId="26817"/>
    <cellStyle name="level1a 3 2 2 3 3 4 3" xfId="26818"/>
    <cellStyle name="level1a 3 2 2 3 3 5" xfId="26819"/>
    <cellStyle name="level1a 3 2 2 3 4" xfId="2401"/>
    <cellStyle name="level1a 3 2 2 3 4 2" xfId="2402"/>
    <cellStyle name="level1a 3 2 2 3 4 2 2" xfId="2403"/>
    <cellStyle name="level1a 3 2 2 3 4 2 2 2" xfId="2404"/>
    <cellStyle name="level1a 3 2 2 3 4 2 2 2 2" xfId="26820"/>
    <cellStyle name="level1a 3 2 2 3 4 2 2 3" xfId="26821"/>
    <cellStyle name="level1a 3 2 2 3 4 2 3" xfId="2405"/>
    <cellStyle name="level1a 3 2 2 3 4 2 3 2" xfId="26822"/>
    <cellStyle name="level1a 3 2 2 3 4 2 4" xfId="26823"/>
    <cellStyle name="level1a 3 2 2 3 4 3" xfId="2406"/>
    <cellStyle name="level1a 3 2 2 3 4 3 2" xfId="2407"/>
    <cellStyle name="level1a 3 2 2 3 4 3 2 2" xfId="2408"/>
    <cellStyle name="level1a 3 2 2 3 4 3 2 2 2" xfId="26824"/>
    <cellStyle name="level1a 3 2 2 3 4 3 2 3" xfId="26825"/>
    <cellStyle name="level1a 3 2 2 3 4 3 3" xfId="2409"/>
    <cellStyle name="level1a 3 2 2 3 4 3 3 2" xfId="26826"/>
    <cellStyle name="level1a 3 2 2 3 4 3 4" xfId="26827"/>
    <cellStyle name="level1a 3 2 2 3 4 4" xfId="2410"/>
    <cellStyle name="level1a 3 2 2 3 4 4 2" xfId="2411"/>
    <cellStyle name="level1a 3 2 2 3 4 4 2 2" xfId="26828"/>
    <cellStyle name="level1a 3 2 2 3 4 4 3" xfId="26829"/>
    <cellStyle name="level1a 3 2 2 3 4 5" xfId="2412"/>
    <cellStyle name="level1a 3 2 2 3 4 5 2" xfId="26830"/>
    <cellStyle name="level1a 3 2 2 3 4 6" xfId="26831"/>
    <cellStyle name="level1a 3 2 2 3 5" xfId="2413"/>
    <cellStyle name="level1a 3 2 2 3 5 2" xfId="2414"/>
    <cellStyle name="level1a 3 2 2 3 5 2 2" xfId="2415"/>
    <cellStyle name="level1a 3 2 2 3 5 2 2 2" xfId="2416"/>
    <cellStyle name="level1a 3 2 2 3 5 2 2 2 2" xfId="26832"/>
    <cellStyle name="level1a 3 2 2 3 5 2 2 3" xfId="26833"/>
    <cellStyle name="level1a 3 2 2 3 5 2 3" xfId="2417"/>
    <cellStyle name="level1a 3 2 2 3 5 2 3 2" xfId="26834"/>
    <cellStyle name="level1a 3 2 2 3 5 2 4" xfId="26835"/>
    <cellStyle name="level1a 3 2 2 3 5 3" xfId="2418"/>
    <cellStyle name="level1a 3 2 2 3 5 3 2" xfId="2419"/>
    <cellStyle name="level1a 3 2 2 3 5 3 2 2" xfId="2420"/>
    <cellStyle name="level1a 3 2 2 3 5 3 2 2 2" xfId="26836"/>
    <cellStyle name="level1a 3 2 2 3 5 3 2 3" xfId="26837"/>
    <cellStyle name="level1a 3 2 2 3 5 3 3" xfId="2421"/>
    <cellStyle name="level1a 3 2 2 3 5 3 3 2" xfId="26838"/>
    <cellStyle name="level1a 3 2 2 3 5 3 4" xfId="26839"/>
    <cellStyle name="level1a 3 2 2 3 5 4" xfId="2422"/>
    <cellStyle name="level1a 3 2 2 3 5 4 2" xfId="2423"/>
    <cellStyle name="level1a 3 2 2 3 5 4 2 2" xfId="26840"/>
    <cellStyle name="level1a 3 2 2 3 5 4 3" xfId="26841"/>
    <cellStyle name="level1a 3 2 2 3 5 5" xfId="2424"/>
    <cellStyle name="level1a 3 2 2 3 5 5 2" xfId="26842"/>
    <cellStyle name="level1a 3 2 2 3 5 6" xfId="26843"/>
    <cellStyle name="level1a 3 2 2 3 6" xfId="2425"/>
    <cellStyle name="level1a 3 2 2 3 6 2" xfId="2426"/>
    <cellStyle name="level1a 3 2 2 3 6 2 2" xfId="2427"/>
    <cellStyle name="level1a 3 2 2 3 6 2 2 2" xfId="2428"/>
    <cellStyle name="level1a 3 2 2 3 6 2 2 2 2" xfId="26844"/>
    <cellStyle name="level1a 3 2 2 3 6 2 2 3" xfId="26845"/>
    <cellStyle name="level1a 3 2 2 3 6 2 3" xfId="2429"/>
    <cellStyle name="level1a 3 2 2 3 6 2 3 2" xfId="26846"/>
    <cellStyle name="level1a 3 2 2 3 6 2 4" xfId="26847"/>
    <cellStyle name="level1a 3 2 2 3 6 3" xfId="2430"/>
    <cellStyle name="level1a 3 2 2 3 6 3 2" xfId="2431"/>
    <cellStyle name="level1a 3 2 2 3 6 3 2 2" xfId="2432"/>
    <cellStyle name="level1a 3 2 2 3 6 3 2 2 2" xfId="26848"/>
    <cellStyle name="level1a 3 2 2 3 6 3 2 3" xfId="26849"/>
    <cellStyle name="level1a 3 2 2 3 6 3 3" xfId="2433"/>
    <cellStyle name="level1a 3 2 2 3 6 3 3 2" xfId="26850"/>
    <cellStyle name="level1a 3 2 2 3 6 3 4" xfId="26851"/>
    <cellStyle name="level1a 3 2 2 3 6 4" xfId="2434"/>
    <cellStyle name="level1a 3 2 2 3 6 4 2" xfId="2435"/>
    <cellStyle name="level1a 3 2 2 3 6 4 2 2" xfId="26852"/>
    <cellStyle name="level1a 3 2 2 3 6 4 3" xfId="26853"/>
    <cellStyle name="level1a 3 2 2 3 6 5" xfId="2436"/>
    <cellStyle name="level1a 3 2 2 3 6 5 2" xfId="26854"/>
    <cellStyle name="level1a 3 2 2 3 6 6" xfId="26855"/>
    <cellStyle name="level1a 3 2 2 3 7" xfId="2437"/>
    <cellStyle name="level1a 3 2 2 3 7 2" xfId="2438"/>
    <cellStyle name="level1a 3 2 2 3 7 2 2" xfId="2439"/>
    <cellStyle name="level1a 3 2 2 3 7 2 2 2" xfId="26856"/>
    <cellStyle name="level1a 3 2 2 3 7 2 3" xfId="26857"/>
    <cellStyle name="level1a 3 2 2 3 7 3" xfId="2440"/>
    <cellStyle name="level1a 3 2 2 3 7 3 2" xfId="26858"/>
    <cellStyle name="level1a 3 2 2 3 7 4" xfId="26859"/>
    <cellStyle name="level1a 3 2 2 3 8" xfId="2441"/>
    <cellStyle name="level1a 3 2 2 3 8 2" xfId="2442"/>
    <cellStyle name="level1a 3 2 2 3 8 2 2" xfId="2443"/>
    <cellStyle name="level1a 3 2 2 3 8 2 2 2" xfId="26860"/>
    <cellStyle name="level1a 3 2 2 3 8 2 3" xfId="26861"/>
    <cellStyle name="level1a 3 2 2 3 8 3" xfId="2444"/>
    <cellStyle name="level1a 3 2 2 3 8 3 2" xfId="26862"/>
    <cellStyle name="level1a 3 2 2 3 8 4" xfId="26863"/>
    <cellStyle name="level1a 3 2 2 3 9" xfId="26864"/>
    <cellStyle name="level1a 3 2 2 3_STUD aligned by INSTIT" xfId="2445"/>
    <cellStyle name="level1a 3 2 2 4" xfId="2446"/>
    <cellStyle name="level1a 3 2 2 4 2" xfId="2447"/>
    <cellStyle name="level1a 3 2 2 4 2 2" xfId="2448"/>
    <cellStyle name="level1a 3 2 2 4 2 2 2" xfId="2449"/>
    <cellStyle name="level1a 3 2 2 4 2 2 2 2" xfId="26865"/>
    <cellStyle name="level1a 3 2 2 4 2 2 3" xfId="26866"/>
    <cellStyle name="level1a 3 2 2 4 2 3" xfId="2450"/>
    <cellStyle name="level1a 3 2 2 4 2 3 2" xfId="26867"/>
    <cellStyle name="level1a 3 2 2 4 2 4" xfId="26868"/>
    <cellStyle name="level1a 3 2 2 4 3" xfId="2451"/>
    <cellStyle name="level1a 3 2 2 4 3 2" xfId="2452"/>
    <cellStyle name="level1a 3 2 2 4 3 2 2" xfId="2453"/>
    <cellStyle name="level1a 3 2 2 4 3 2 2 2" xfId="26869"/>
    <cellStyle name="level1a 3 2 2 4 3 2 3" xfId="26870"/>
    <cellStyle name="level1a 3 2 2 4 3 3" xfId="2454"/>
    <cellStyle name="level1a 3 2 2 4 3 3 2" xfId="26871"/>
    <cellStyle name="level1a 3 2 2 4 3 4" xfId="26872"/>
    <cellStyle name="level1a 3 2 2 4 4" xfId="2455"/>
    <cellStyle name="level1a 3 2 2 4 4 2" xfId="26873"/>
    <cellStyle name="level1a 3 2 2 4 5" xfId="2456"/>
    <cellStyle name="level1a 3 2 2 4 5 2" xfId="2457"/>
    <cellStyle name="level1a 3 2 2 4 5 2 2" xfId="26874"/>
    <cellStyle name="level1a 3 2 2 4 5 3" xfId="26875"/>
    <cellStyle name="level1a 3 2 2 4 6" xfId="26876"/>
    <cellStyle name="level1a 3 2 2 5" xfId="2458"/>
    <cellStyle name="level1a 3 2 2 5 2" xfId="2459"/>
    <cellStyle name="level1a 3 2 2 5 2 2" xfId="2460"/>
    <cellStyle name="level1a 3 2 2 5 2 2 2" xfId="2461"/>
    <cellStyle name="level1a 3 2 2 5 2 2 2 2" xfId="26877"/>
    <cellStyle name="level1a 3 2 2 5 2 2 3" xfId="26878"/>
    <cellStyle name="level1a 3 2 2 5 2 3" xfId="2462"/>
    <cellStyle name="level1a 3 2 2 5 2 3 2" xfId="26879"/>
    <cellStyle name="level1a 3 2 2 5 2 4" xfId="26880"/>
    <cellStyle name="level1a 3 2 2 5 3" xfId="2463"/>
    <cellStyle name="level1a 3 2 2 5 3 2" xfId="2464"/>
    <cellStyle name="level1a 3 2 2 5 3 2 2" xfId="2465"/>
    <cellStyle name="level1a 3 2 2 5 3 2 2 2" xfId="26881"/>
    <cellStyle name="level1a 3 2 2 5 3 2 3" xfId="26882"/>
    <cellStyle name="level1a 3 2 2 5 3 3" xfId="2466"/>
    <cellStyle name="level1a 3 2 2 5 3 3 2" xfId="26883"/>
    <cellStyle name="level1a 3 2 2 5 3 4" xfId="26884"/>
    <cellStyle name="level1a 3 2 2 5 4" xfId="2467"/>
    <cellStyle name="level1a 3 2 2 5 4 2" xfId="26885"/>
    <cellStyle name="level1a 3 2 2 5 5" xfId="2468"/>
    <cellStyle name="level1a 3 2 2 5 5 2" xfId="2469"/>
    <cellStyle name="level1a 3 2 2 5 5 2 2" xfId="26886"/>
    <cellStyle name="level1a 3 2 2 5 5 3" xfId="26887"/>
    <cellStyle name="level1a 3 2 2 5 6" xfId="2470"/>
    <cellStyle name="level1a 3 2 2 5 6 2" xfId="26888"/>
    <cellStyle name="level1a 3 2 2 5 7" xfId="26889"/>
    <cellStyle name="level1a 3 2 2 6" xfId="2471"/>
    <cellStyle name="level1a 3 2 2 6 2" xfId="2472"/>
    <cellStyle name="level1a 3 2 2 6 2 2" xfId="2473"/>
    <cellStyle name="level1a 3 2 2 6 2 2 2" xfId="2474"/>
    <cellStyle name="level1a 3 2 2 6 2 2 2 2" xfId="26890"/>
    <cellStyle name="level1a 3 2 2 6 2 2 3" xfId="26891"/>
    <cellStyle name="level1a 3 2 2 6 2 3" xfId="2475"/>
    <cellStyle name="level1a 3 2 2 6 2 3 2" xfId="26892"/>
    <cellStyle name="level1a 3 2 2 6 2 4" xfId="26893"/>
    <cellStyle name="level1a 3 2 2 6 3" xfId="2476"/>
    <cellStyle name="level1a 3 2 2 6 3 2" xfId="2477"/>
    <cellStyle name="level1a 3 2 2 6 3 2 2" xfId="2478"/>
    <cellStyle name="level1a 3 2 2 6 3 2 2 2" xfId="26894"/>
    <cellStyle name="level1a 3 2 2 6 3 2 3" xfId="26895"/>
    <cellStyle name="level1a 3 2 2 6 3 3" xfId="2479"/>
    <cellStyle name="level1a 3 2 2 6 3 3 2" xfId="26896"/>
    <cellStyle name="level1a 3 2 2 6 3 4" xfId="26897"/>
    <cellStyle name="level1a 3 2 2 6 4" xfId="2480"/>
    <cellStyle name="level1a 3 2 2 6 4 2" xfId="26898"/>
    <cellStyle name="level1a 3 2 2 6 5" xfId="2481"/>
    <cellStyle name="level1a 3 2 2 6 5 2" xfId="26899"/>
    <cellStyle name="level1a 3 2 2 6 6" xfId="26900"/>
    <cellStyle name="level1a 3 2 2 7" xfId="2482"/>
    <cellStyle name="level1a 3 2 2 7 2" xfId="2483"/>
    <cellStyle name="level1a 3 2 2 7 2 2" xfId="2484"/>
    <cellStyle name="level1a 3 2 2 7 2 2 2" xfId="2485"/>
    <cellStyle name="level1a 3 2 2 7 2 2 2 2" xfId="26901"/>
    <cellStyle name="level1a 3 2 2 7 2 2 3" xfId="26902"/>
    <cellStyle name="level1a 3 2 2 7 2 3" xfId="2486"/>
    <cellStyle name="level1a 3 2 2 7 2 3 2" xfId="26903"/>
    <cellStyle name="level1a 3 2 2 7 2 4" xfId="26904"/>
    <cellStyle name="level1a 3 2 2 7 3" xfId="2487"/>
    <cellStyle name="level1a 3 2 2 7 3 2" xfId="2488"/>
    <cellStyle name="level1a 3 2 2 7 3 2 2" xfId="2489"/>
    <cellStyle name="level1a 3 2 2 7 3 2 2 2" xfId="26905"/>
    <cellStyle name="level1a 3 2 2 7 3 2 3" xfId="26906"/>
    <cellStyle name="level1a 3 2 2 7 3 3" xfId="2490"/>
    <cellStyle name="level1a 3 2 2 7 3 3 2" xfId="26907"/>
    <cellStyle name="level1a 3 2 2 7 3 4" xfId="26908"/>
    <cellStyle name="level1a 3 2 2 7 4" xfId="2491"/>
    <cellStyle name="level1a 3 2 2 7 4 2" xfId="26909"/>
    <cellStyle name="level1a 3 2 2 7 5" xfId="2492"/>
    <cellStyle name="level1a 3 2 2 7 5 2" xfId="2493"/>
    <cellStyle name="level1a 3 2 2 7 5 2 2" xfId="26910"/>
    <cellStyle name="level1a 3 2 2 7 5 3" xfId="26911"/>
    <cellStyle name="level1a 3 2 2 7 6" xfId="2494"/>
    <cellStyle name="level1a 3 2 2 7 6 2" xfId="26912"/>
    <cellStyle name="level1a 3 2 2 7 7" xfId="26913"/>
    <cellStyle name="level1a 3 2 2 8" xfId="2495"/>
    <cellStyle name="level1a 3 2 2 8 2" xfId="2496"/>
    <cellStyle name="level1a 3 2 2 8 2 2" xfId="2497"/>
    <cellStyle name="level1a 3 2 2 8 2 2 2" xfId="2498"/>
    <cellStyle name="level1a 3 2 2 8 2 2 2 2" xfId="26914"/>
    <cellStyle name="level1a 3 2 2 8 2 2 3" xfId="26915"/>
    <cellStyle name="level1a 3 2 2 8 2 3" xfId="2499"/>
    <cellStyle name="level1a 3 2 2 8 2 3 2" xfId="26916"/>
    <cellStyle name="level1a 3 2 2 8 2 4" xfId="26917"/>
    <cellStyle name="level1a 3 2 2 8 3" xfId="2500"/>
    <cellStyle name="level1a 3 2 2 8 3 2" xfId="2501"/>
    <cellStyle name="level1a 3 2 2 8 3 2 2" xfId="2502"/>
    <cellStyle name="level1a 3 2 2 8 3 2 2 2" xfId="26918"/>
    <cellStyle name="level1a 3 2 2 8 3 2 3" xfId="26919"/>
    <cellStyle name="level1a 3 2 2 8 3 3" xfId="2503"/>
    <cellStyle name="level1a 3 2 2 8 3 3 2" xfId="26920"/>
    <cellStyle name="level1a 3 2 2 8 3 4" xfId="26921"/>
    <cellStyle name="level1a 3 2 2 8 4" xfId="2504"/>
    <cellStyle name="level1a 3 2 2 8 4 2" xfId="2505"/>
    <cellStyle name="level1a 3 2 2 8 4 2 2" xfId="26922"/>
    <cellStyle name="level1a 3 2 2 8 4 3" xfId="26923"/>
    <cellStyle name="level1a 3 2 2 8 5" xfId="2506"/>
    <cellStyle name="level1a 3 2 2 8 5 2" xfId="26924"/>
    <cellStyle name="level1a 3 2 2 8 6" xfId="26925"/>
    <cellStyle name="level1a 3 2 2 9" xfId="2507"/>
    <cellStyle name="level1a 3 2 2 9 2" xfId="2508"/>
    <cellStyle name="level1a 3 2 2 9 2 2" xfId="2509"/>
    <cellStyle name="level1a 3 2 2 9 2 2 2" xfId="26926"/>
    <cellStyle name="level1a 3 2 2 9 2 3" xfId="26927"/>
    <cellStyle name="level1a 3 2 2 9 3" xfId="2510"/>
    <cellStyle name="level1a 3 2 2 9 3 2" xfId="26928"/>
    <cellStyle name="level1a 3 2 2 9 4" xfId="26929"/>
    <cellStyle name="level1a 3 2 2_STUD aligned by INSTIT" xfId="2511"/>
    <cellStyle name="level1a 3 2 3" xfId="2512"/>
    <cellStyle name="level1a 3 2 3 10" xfId="2513"/>
    <cellStyle name="level1a 3 2 3 10 2" xfId="26930"/>
    <cellStyle name="level1a 3 2 3 11" xfId="26931"/>
    <cellStyle name="level1a 3 2 3 2" xfId="2514"/>
    <cellStyle name="level1a 3 2 3 2 2" xfId="2515"/>
    <cellStyle name="level1a 3 2 3 2 2 2" xfId="2516"/>
    <cellStyle name="level1a 3 2 3 2 2 2 2" xfId="2517"/>
    <cellStyle name="level1a 3 2 3 2 2 2 2 2" xfId="2518"/>
    <cellStyle name="level1a 3 2 3 2 2 2 2 2 2" xfId="26932"/>
    <cellStyle name="level1a 3 2 3 2 2 2 2 3" xfId="26933"/>
    <cellStyle name="level1a 3 2 3 2 2 2 3" xfId="2519"/>
    <cellStyle name="level1a 3 2 3 2 2 2 3 2" xfId="26934"/>
    <cellStyle name="level1a 3 2 3 2 2 2 4" xfId="26935"/>
    <cellStyle name="level1a 3 2 3 2 2 3" xfId="2520"/>
    <cellStyle name="level1a 3 2 3 2 2 3 2" xfId="2521"/>
    <cellStyle name="level1a 3 2 3 2 2 3 2 2" xfId="2522"/>
    <cellStyle name="level1a 3 2 3 2 2 3 2 2 2" xfId="26936"/>
    <cellStyle name="level1a 3 2 3 2 2 3 2 3" xfId="26937"/>
    <cellStyle name="level1a 3 2 3 2 2 3 3" xfId="2523"/>
    <cellStyle name="level1a 3 2 3 2 2 3 3 2" xfId="26938"/>
    <cellStyle name="level1a 3 2 3 2 2 3 4" xfId="26939"/>
    <cellStyle name="level1a 3 2 3 2 2 4" xfId="2524"/>
    <cellStyle name="level1a 3 2 3 2 2 4 2" xfId="26940"/>
    <cellStyle name="level1a 3 2 3 2 2 5" xfId="2525"/>
    <cellStyle name="level1a 3 2 3 2 2 5 2" xfId="2526"/>
    <cellStyle name="level1a 3 2 3 2 2 5 2 2" xfId="26941"/>
    <cellStyle name="level1a 3 2 3 2 2 5 3" xfId="26942"/>
    <cellStyle name="level1a 3 2 3 2 2 6" xfId="26943"/>
    <cellStyle name="level1a 3 2 3 2 3" xfId="2527"/>
    <cellStyle name="level1a 3 2 3 2 3 2" xfId="2528"/>
    <cellStyle name="level1a 3 2 3 2 3 2 2" xfId="2529"/>
    <cellStyle name="level1a 3 2 3 2 3 2 2 2" xfId="2530"/>
    <cellStyle name="level1a 3 2 3 2 3 2 2 2 2" xfId="26944"/>
    <cellStyle name="level1a 3 2 3 2 3 2 2 3" xfId="26945"/>
    <cellStyle name="level1a 3 2 3 2 3 2 3" xfId="2531"/>
    <cellStyle name="level1a 3 2 3 2 3 2 3 2" xfId="26946"/>
    <cellStyle name="level1a 3 2 3 2 3 2 4" xfId="26947"/>
    <cellStyle name="level1a 3 2 3 2 3 3" xfId="2532"/>
    <cellStyle name="level1a 3 2 3 2 3 3 2" xfId="2533"/>
    <cellStyle name="level1a 3 2 3 2 3 3 2 2" xfId="2534"/>
    <cellStyle name="level1a 3 2 3 2 3 3 2 2 2" xfId="26948"/>
    <cellStyle name="level1a 3 2 3 2 3 3 2 3" xfId="26949"/>
    <cellStyle name="level1a 3 2 3 2 3 3 3" xfId="2535"/>
    <cellStyle name="level1a 3 2 3 2 3 3 3 2" xfId="26950"/>
    <cellStyle name="level1a 3 2 3 2 3 3 4" xfId="26951"/>
    <cellStyle name="level1a 3 2 3 2 3 4" xfId="2536"/>
    <cellStyle name="level1a 3 2 3 2 3 4 2" xfId="26952"/>
    <cellStyle name="level1a 3 2 3 2 3 5" xfId="2537"/>
    <cellStyle name="level1a 3 2 3 2 3 5 2" xfId="26953"/>
    <cellStyle name="level1a 3 2 3 2 3 6" xfId="26954"/>
    <cellStyle name="level1a 3 2 3 2 4" xfId="2538"/>
    <cellStyle name="level1a 3 2 3 2 4 2" xfId="2539"/>
    <cellStyle name="level1a 3 2 3 2 4 2 2" xfId="2540"/>
    <cellStyle name="level1a 3 2 3 2 4 2 2 2" xfId="2541"/>
    <cellStyle name="level1a 3 2 3 2 4 2 2 2 2" xfId="26955"/>
    <cellStyle name="level1a 3 2 3 2 4 2 2 3" xfId="26956"/>
    <cellStyle name="level1a 3 2 3 2 4 2 3" xfId="2542"/>
    <cellStyle name="level1a 3 2 3 2 4 2 3 2" xfId="26957"/>
    <cellStyle name="level1a 3 2 3 2 4 2 4" xfId="26958"/>
    <cellStyle name="level1a 3 2 3 2 4 3" xfId="2543"/>
    <cellStyle name="level1a 3 2 3 2 4 3 2" xfId="2544"/>
    <cellStyle name="level1a 3 2 3 2 4 3 2 2" xfId="2545"/>
    <cellStyle name="level1a 3 2 3 2 4 3 2 2 2" xfId="26959"/>
    <cellStyle name="level1a 3 2 3 2 4 3 2 3" xfId="26960"/>
    <cellStyle name="level1a 3 2 3 2 4 3 3" xfId="2546"/>
    <cellStyle name="level1a 3 2 3 2 4 3 3 2" xfId="26961"/>
    <cellStyle name="level1a 3 2 3 2 4 3 4" xfId="26962"/>
    <cellStyle name="level1a 3 2 3 2 4 4" xfId="2547"/>
    <cellStyle name="level1a 3 2 3 2 4 4 2" xfId="26963"/>
    <cellStyle name="level1a 3 2 3 2 4 5" xfId="2548"/>
    <cellStyle name="level1a 3 2 3 2 4 5 2" xfId="2549"/>
    <cellStyle name="level1a 3 2 3 2 4 5 2 2" xfId="26964"/>
    <cellStyle name="level1a 3 2 3 2 4 5 3" xfId="26965"/>
    <cellStyle name="level1a 3 2 3 2 4 6" xfId="2550"/>
    <cellStyle name="level1a 3 2 3 2 4 6 2" xfId="26966"/>
    <cellStyle name="level1a 3 2 3 2 4 7" xfId="26967"/>
    <cellStyle name="level1a 3 2 3 2 5" xfId="2551"/>
    <cellStyle name="level1a 3 2 3 2 5 2" xfId="2552"/>
    <cellStyle name="level1a 3 2 3 2 5 2 2" xfId="2553"/>
    <cellStyle name="level1a 3 2 3 2 5 2 2 2" xfId="2554"/>
    <cellStyle name="level1a 3 2 3 2 5 2 2 2 2" xfId="26968"/>
    <cellStyle name="level1a 3 2 3 2 5 2 2 3" xfId="26969"/>
    <cellStyle name="level1a 3 2 3 2 5 2 3" xfId="2555"/>
    <cellStyle name="level1a 3 2 3 2 5 2 3 2" xfId="26970"/>
    <cellStyle name="level1a 3 2 3 2 5 2 4" xfId="26971"/>
    <cellStyle name="level1a 3 2 3 2 5 3" xfId="2556"/>
    <cellStyle name="level1a 3 2 3 2 5 3 2" xfId="2557"/>
    <cellStyle name="level1a 3 2 3 2 5 3 2 2" xfId="2558"/>
    <cellStyle name="level1a 3 2 3 2 5 3 2 2 2" xfId="26972"/>
    <cellStyle name="level1a 3 2 3 2 5 3 2 3" xfId="26973"/>
    <cellStyle name="level1a 3 2 3 2 5 3 3" xfId="2559"/>
    <cellStyle name="level1a 3 2 3 2 5 3 3 2" xfId="26974"/>
    <cellStyle name="level1a 3 2 3 2 5 3 4" xfId="26975"/>
    <cellStyle name="level1a 3 2 3 2 5 4" xfId="2560"/>
    <cellStyle name="level1a 3 2 3 2 5 4 2" xfId="2561"/>
    <cellStyle name="level1a 3 2 3 2 5 4 2 2" xfId="26976"/>
    <cellStyle name="level1a 3 2 3 2 5 4 3" xfId="26977"/>
    <cellStyle name="level1a 3 2 3 2 5 5" xfId="2562"/>
    <cellStyle name="level1a 3 2 3 2 5 5 2" xfId="26978"/>
    <cellStyle name="level1a 3 2 3 2 5 6" xfId="26979"/>
    <cellStyle name="level1a 3 2 3 2 6" xfId="2563"/>
    <cellStyle name="level1a 3 2 3 2 6 2" xfId="2564"/>
    <cellStyle name="level1a 3 2 3 2 6 2 2" xfId="2565"/>
    <cellStyle name="level1a 3 2 3 2 6 2 2 2" xfId="2566"/>
    <cellStyle name="level1a 3 2 3 2 6 2 2 2 2" xfId="26980"/>
    <cellStyle name="level1a 3 2 3 2 6 2 2 3" xfId="26981"/>
    <cellStyle name="level1a 3 2 3 2 6 2 3" xfId="2567"/>
    <cellStyle name="level1a 3 2 3 2 6 2 3 2" xfId="26982"/>
    <cellStyle name="level1a 3 2 3 2 6 2 4" xfId="26983"/>
    <cellStyle name="level1a 3 2 3 2 6 3" xfId="2568"/>
    <cellStyle name="level1a 3 2 3 2 6 3 2" xfId="2569"/>
    <cellStyle name="level1a 3 2 3 2 6 3 2 2" xfId="2570"/>
    <cellStyle name="level1a 3 2 3 2 6 3 2 2 2" xfId="26984"/>
    <cellStyle name="level1a 3 2 3 2 6 3 2 3" xfId="26985"/>
    <cellStyle name="level1a 3 2 3 2 6 3 3" xfId="2571"/>
    <cellStyle name="level1a 3 2 3 2 6 3 3 2" xfId="26986"/>
    <cellStyle name="level1a 3 2 3 2 6 3 4" xfId="26987"/>
    <cellStyle name="level1a 3 2 3 2 6 4" xfId="2572"/>
    <cellStyle name="level1a 3 2 3 2 6 4 2" xfId="2573"/>
    <cellStyle name="level1a 3 2 3 2 6 4 2 2" xfId="26988"/>
    <cellStyle name="level1a 3 2 3 2 6 4 3" xfId="26989"/>
    <cellStyle name="level1a 3 2 3 2 6 5" xfId="2574"/>
    <cellStyle name="level1a 3 2 3 2 6 5 2" xfId="26990"/>
    <cellStyle name="level1a 3 2 3 2 6 6" xfId="26991"/>
    <cellStyle name="level1a 3 2 3 2 7" xfId="2575"/>
    <cellStyle name="level1a 3 2 3 2 7 2" xfId="2576"/>
    <cellStyle name="level1a 3 2 3 2 7 2 2" xfId="2577"/>
    <cellStyle name="level1a 3 2 3 2 7 2 2 2" xfId="26992"/>
    <cellStyle name="level1a 3 2 3 2 7 2 3" xfId="26993"/>
    <cellStyle name="level1a 3 2 3 2 7 3" xfId="2578"/>
    <cellStyle name="level1a 3 2 3 2 7 3 2" xfId="26994"/>
    <cellStyle name="level1a 3 2 3 2 7 4" xfId="26995"/>
    <cellStyle name="level1a 3 2 3 2 8" xfId="26996"/>
    <cellStyle name="level1a 3 2 3 2_STUD aligned by INSTIT" xfId="2579"/>
    <cellStyle name="level1a 3 2 3 3" xfId="2580"/>
    <cellStyle name="level1a 3 2 3 3 2" xfId="2581"/>
    <cellStyle name="level1a 3 2 3 3 2 2" xfId="2582"/>
    <cellStyle name="level1a 3 2 3 3 2 2 2" xfId="2583"/>
    <cellStyle name="level1a 3 2 3 3 2 2 2 2" xfId="2584"/>
    <cellStyle name="level1a 3 2 3 3 2 2 2 2 2" xfId="26997"/>
    <cellStyle name="level1a 3 2 3 3 2 2 2 3" xfId="26998"/>
    <cellStyle name="level1a 3 2 3 3 2 2 3" xfId="2585"/>
    <cellStyle name="level1a 3 2 3 3 2 2 3 2" xfId="26999"/>
    <cellStyle name="level1a 3 2 3 3 2 2 4" xfId="27000"/>
    <cellStyle name="level1a 3 2 3 3 2 3" xfId="2586"/>
    <cellStyle name="level1a 3 2 3 3 2 3 2" xfId="2587"/>
    <cellStyle name="level1a 3 2 3 3 2 3 2 2" xfId="2588"/>
    <cellStyle name="level1a 3 2 3 3 2 3 2 2 2" xfId="27001"/>
    <cellStyle name="level1a 3 2 3 3 2 3 2 3" xfId="27002"/>
    <cellStyle name="level1a 3 2 3 3 2 3 3" xfId="2589"/>
    <cellStyle name="level1a 3 2 3 3 2 3 3 2" xfId="27003"/>
    <cellStyle name="level1a 3 2 3 3 2 3 4" xfId="27004"/>
    <cellStyle name="level1a 3 2 3 3 2 4" xfId="2590"/>
    <cellStyle name="level1a 3 2 3 3 2 4 2" xfId="27005"/>
    <cellStyle name="level1a 3 2 3 3 2 5" xfId="2591"/>
    <cellStyle name="level1a 3 2 3 3 2 5 2" xfId="27006"/>
    <cellStyle name="level1a 3 2 3 3 2 6" xfId="27007"/>
    <cellStyle name="level1a 3 2 3 3 3" xfId="2592"/>
    <cellStyle name="level1a 3 2 3 3 3 2" xfId="2593"/>
    <cellStyle name="level1a 3 2 3 3 3 2 2" xfId="2594"/>
    <cellStyle name="level1a 3 2 3 3 3 2 2 2" xfId="2595"/>
    <cellStyle name="level1a 3 2 3 3 3 2 2 2 2" xfId="27008"/>
    <cellStyle name="level1a 3 2 3 3 3 2 2 3" xfId="27009"/>
    <cellStyle name="level1a 3 2 3 3 3 2 3" xfId="2596"/>
    <cellStyle name="level1a 3 2 3 3 3 2 3 2" xfId="27010"/>
    <cellStyle name="level1a 3 2 3 3 3 2 4" xfId="27011"/>
    <cellStyle name="level1a 3 2 3 3 3 3" xfId="2597"/>
    <cellStyle name="level1a 3 2 3 3 3 3 2" xfId="2598"/>
    <cellStyle name="level1a 3 2 3 3 3 3 2 2" xfId="2599"/>
    <cellStyle name="level1a 3 2 3 3 3 3 2 2 2" xfId="27012"/>
    <cellStyle name="level1a 3 2 3 3 3 3 2 3" xfId="27013"/>
    <cellStyle name="level1a 3 2 3 3 3 3 3" xfId="2600"/>
    <cellStyle name="level1a 3 2 3 3 3 3 3 2" xfId="27014"/>
    <cellStyle name="level1a 3 2 3 3 3 3 4" xfId="27015"/>
    <cellStyle name="level1a 3 2 3 3 3 4" xfId="2601"/>
    <cellStyle name="level1a 3 2 3 3 3 4 2" xfId="2602"/>
    <cellStyle name="level1a 3 2 3 3 3 4 2 2" xfId="27016"/>
    <cellStyle name="level1a 3 2 3 3 3 4 3" xfId="27017"/>
    <cellStyle name="level1a 3 2 3 3 3 5" xfId="27018"/>
    <cellStyle name="level1a 3 2 3 3 4" xfId="2603"/>
    <cellStyle name="level1a 3 2 3 3 4 2" xfId="2604"/>
    <cellStyle name="level1a 3 2 3 3 4 2 2" xfId="2605"/>
    <cellStyle name="level1a 3 2 3 3 4 2 2 2" xfId="2606"/>
    <cellStyle name="level1a 3 2 3 3 4 2 2 2 2" xfId="27019"/>
    <cellStyle name="level1a 3 2 3 3 4 2 2 3" xfId="27020"/>
    <cellStyle name="level1a 3 2 3 3 4 2 3" xfId="2607"/>
    <cellStyle name="level1a 3 2 3 3 4 2 3 2" xfId="27021"/>
    <cellStyle name="level1a 3 2 3 3 4 2 4" xfId="27022"/>
    <cellStyle name="level1a 3 2 3 3 4 3" xfId="2608"/>
    <cellStyle name="level1a 3 2 3 3 4 3 2" xfId="2609"/>
    <cellStyle name="level1a 3 2 3 3 4 3 2 2" xfId="2610"/>
    <cellStyle name="level1a 3 2 3 3 4 3 2 2 2" xfId="27023"/>
    <cellStyle name="level1a 3 2 3 3 4 3 2 3" xfId="27024"/>
    <cellStyle name="level1a 3 2 3 3 4 3 3" xfId="2611"/>
    <cellStyle name="level1a 3 2 3 3 4 3 3 2" xfId="27025"/>
    <cellStyle name="level1a 3 2 3 3 4 3 4" xfId="27026"/>
    <cellStyle name="level1a 3 2 3 3 4 4" xfId="2612"/>
    <cellStyle name="level1a 3 2 3 3 4 4 2" xfId="2613"/>
    <cellStyle name="level1a 3 2 3 3 4 4 2 2" xfId="27027"/>
    <cellStyle name="level1a 3 2 3 3 4 4 3" xfId="27028"/>
    <cellStyle name="level1a 3 2 3 3 4 5" xfId="2614"/>
    <cellStyle name="level1a 3 2 3 3 4 5 2" xfId="27029"/>
    <cellStyle name="level1a 3 2 3 3 4 6" xfId="27030"/>
    <cellStyle name="level1a 3 2 3 3 5" xfId="2615"/>
    <cellStyle name="level1a 3 2 3 3 5 2" xfId="2616"/>
    <cellStyle name="level1a 3 2 3 3 5 2 2" xfId="2617"/>
    <cellStyle name="level1a 3 2 3 3 5 2 2 2" xfId="2618"/>
    <cellStyle name="level1a 3 2 3 3 5 2 2 2 2" xfId="27031"/>
    <cellStyle name="level1a 3 2 3 3 5 2 2 3" xfId="27032"/>
    <cellStyle name="level1a 3 2 3 3 5 2 3" xfId="2619"/>
    <cellStyle name="level1a 3 2 3 3 5 2 3 2" xfId="27033"/>
    <cellStyle name="level1a 3 2 3 3 5 2 4" xfId="27034"/>
    <cellStyle name="level1a 3 2 3 3 5 3" xfId="2620"/>
    <cellStyle name="level1a 3 2 3 3 5 3 2" xfId="2621"/>
    <cellStyle name="level1a 3 2 3 3 5 3 2 2" xfId="2622"/>
    <cellStyle name="level1a 3 2 3 3 5 3 2 2 2" xfId="27035"/>
    <cellStyle name="level1a 3 2 3 3 5 3 2 3" xfId="27036"/>
    <cellStyle name="level1a 3 2 3 3 5 3 3" xfId="2623"/>
    <cellStyle name="level1a 3 2 3 3 5 3 3 2" xfId="27037"/>
    <cellStyle name="level1a 3 2 3 3 5 3 4" xfId="27038"/>
    <cellStyle name="level1a 3 2 3 3 5 4" xfId="2624"/>
    <cellStyle name="level1a 3 2 3 3 5 4 2" xfId="2625"/>
    <cellStyle name="level1a 3 2 3 3 5 4 2 2" xfId="27039"/>
    <cellStyle name="level1a 3 2 3 3 5 4 3" xfId="27040"/>
    <cellStyle name="level1a 3 2 3 3 5 5" xfId="2626"/>
    <cellStyle name="level1a 3 2 3 3 5 5 2" xfId="27041"/>
    <cellStyle name="level1a 3 2 3 3 5 6" xfId="27042"/>
    <cellStyle name="level1a 3 2 3 3 6" xfId="2627"/>
    <cellStyle name="level1a 3 2 3 3 6 2" xfId="2628"/>
    <cellStyle name="level1a 3 2 3 3 6 2 2" xfId="2629"/>
    <cellStyle name="level1a 3 2 3 3 6 2 2 2" xfId="2630"/>
    <cellStyle name="level1a 3 2 3 3 6 2 2 2 2" xfId="27043"/>
    <cellStyle name="level1a 3 2 3 3 6 2 2 3" xfId="27044"/>
    <cellStyle name="level1a 3 2 3 3 6 2 3" xfId="2631"/>
    <cellStyle name="level1a 3 2 3 3 6 2 3 2" xfId="27045"/>
    <cellStyle name="level1a 3 2 3 3 6 2 4" xfId="27046"/>
    <cellStyle name="level1a 3 2 3 3 6 3" xfId="2632"/>
    <cellStyle name="level1a 3 2 3 3 6 3 2" xfId="2633"/>
    <cellStyle name="level1a 3 2 3 3 6 3 2 2" xfId="2634"/>
    <cellStyle name="level1a 3 2 3 3 6 3 2 2 2" xfId="27047"/>
    <cellStyle name="level1a 3 2 3 3 6 3 2 3" xfId="27048"/>
    <cellStyle name="level1a 3 2 3 3 6 3 3" xfId="2635"/>
    <cellStyle name="level1a 3 2 3 3 6 3 3 2" xfId="27049"/>
    <cellStyle name="level1a 3 2 3 3 6 3 4" xfId="27050"/>
    <cellStyle name="level1a 3 2 3 3 6 4" xfId="2636"/>
    <cellStyle name="level1a 3 2 3 3 6 4 2" xfId="2637"/>
    <cellStyle name="level1a 3 2 3 3 6 4 2 2" xfId="27051"/>
    <cellStyle name="level1a 3 2 3 3 6 4 3" xfId="27052"/>
    <cellStyle name="level1a 3 2 3 3 6 5" xfId="2638"/>
    <cellStyle name="level1a 3 2 3 3 6 5 2" xfId="27053"/>
    <cellStyle name="level1a 3 2 3 3 6 6" xfId="27054"/>
    <cellStyle name="level1a 3 2 3 3 7" xfId="2639"/>
    <cellStyle name="level1a 3 2 3 3 7 2" xfId="2640"/>
    <cellStyle name="level1a 3 2 3 3 7 2 2" xfId="2641"/>
    <cellStyle name="level1a 3 2 3 3 7 2 2 2" xfId="27055"/>
    <cellStyle name="level1a 3 2 3 3 7 2 3" xfId="27056"/>
    <cellStyle name="level1a 3 2 3 3 7 3" xfId="2642"/>
    <cellStyle name="level1a 3 2 3 3 7 3 2" xfId="27057"/>
    <cellStyle name="level1a 3 2 3 3 7 4" xfId="27058"/>
    <cellStyle name="level1a 3 2 3 3 8" xfId="2643"/>
    <cellStyle name="level1a 3 2 3 3 8 2" xfId="2644"/>
    <cellStyle name="level1a 3 2 3 3 8 2 2" xfId="2645"/>
    <cellStyle name="level1a 3 2 3 3 8 2 2 2" xfId="27059"/>
    <cellStyle name="level1a 3 2 3 3 8 2 3" xfId="27060"/>
    <cellStyle name="level1a 3 2 3 3 8 3" xfId="2646"/>
    <cellStyle name="level1a 3 2 3 3 8 3 2" xfId="27061"/>
    <cellStyle name="level1a 3 2 3 3 8 4" xfId="27062"/>
    <cellStyle name="level1a 3 2 3 3 9" xfId="27063"/>
    <cellStyle name="level1a 3 2 3 3_STUD aligned by INSTIT" xfId="2647"/>
    <cellStyle name="level1a 3 2 3 4" xfId="2648"/>
    <cellStyle name="level1a 3 2 3 4 2" xfId="2649"/>
    <cellStyle name="level1a 3 2 3 4 2 2" xfId="2650"/>
    <cellStyle name="level1a 3 2 3 4 2 2 2" xfId="2651"/>
    <cellStyle name="level1a 3 2 3 4 2 2 2 2" xfId="27064"/>
    <cellStyle name="level1a 3 2 3 4 2 2 3" xfId="27065"/>
    <cellStyle name="level1a 3 2 3 4 2 3" xfId="2652"/>
    <cellStyle name="level1a 3 2 3 4 2 3 2" xfId="27066"/>
    <cellStyle name="level1a 3 2 3 4 2 4" xfId="27067"/>
    <cellStyle name="level1a 3 2 3 4 3" xfId="2653"/>
    <cellStyle name="level1a 3 2 3 4 3 2" xfId="2654"/>
    <cellStyle name="level1a 3 2 3 4 3 2 2" xfId="2655"/>
    <cellStyle name="level1a 3 2 3 4 3 2 2 2" xfId="27068"/>
    <cellStyle name="level1a 3 2 3 4 3 2 3" xfId="27069"/>
    <cellStyle name="level1a 3 2 3 4 3 3" xfId="2656"/>
    <cellStyle name="level1a 3 2 3 4 3 3 2" xfId="27070"/>
    <cellStyle name="level1a 3 2 3 4 3 4" xfId="27071"/>
    <cellStyle name="level1a 3 2 3 4 4" xfId="2657"/>
    <cellStyle name="level1a 3 2 3 4 4 2" xfId="27072"/>
    <cellStyle name="level1a 3 2 3 4 5" xfId="2658"/>
    <cellStyle name="level1a 3 2 3 4 5 2" xfId="2659"/>
    <cellStyle name="level1a 3 2 3 4 5 2 2" xfId="27073"/>
    <cellStyle name="level1a 3 2 3 4 5 3" xfId="27074"/>
    <cellStyle name="level1a 3 2 3 4 6" xfId="27075"/>
    <cellStyle name="level1a 3 2 3 5" xfId="2660"/>
    <cellStyle name="level1a 3 2 3 5 2" xfId="2661"/>
    <cellStyle name="level1a 3 2 3 5 2 2" xfId="2662"/>
    <cellStyle name="level1a 3 2 3 5 2 2 2" xfId="2663"/>
    <cellStyle name="level1a 3 2 3 5 2 2 2 2" xfId="27076"/>
    <cellStyle name="level1a 3 2 3 5 2 2 3" xfId="27077"/>
    <cellStyle name="level1a 3 2 3 5 2 3" xfId="2664"/>
    <cellStyle name="level1a 3 2 3 5 2 3 2" xfId="27078"/>
    <cellStyle name="level1a 3 2 3 5 2 4" xfId="27079"/>
    <cellStyle name="level1a 3 2 3 5 3" xfId="2665"/>
    <cellStyle name="level1a 3 2 3 5 3 2" xfId="2666"/>
    <cellStyle name="level1a 3 2 3 5 3 2 2" xfId="2667"/>
    <cellStyle name="level1a 3 2 3 5 3 2 2 2" xfId="27080"/>
    <cellStyle name="level1a 3 2 3 5 3 2 3" xfId="27081"/>
    <cellStyle name="level1a 3 2 3 5 3 3" xfId="2668"/>
    <cellStyle name="level1a 3 2 3 5 3 3 2" xfId="27082"/>
    <cellStyle name="level1a 3 2 3 5 3 4" xfId="27083"/>
    <cellStyle name="level1a 3 2 3 5 4" xfId="2669"/>
    <cellStyle name="level1a 3 2 3 5 4 2" xfId="27084"/>
    <cellStyle name="level1a 3 2 3 5 5" xfId="2670"/>
    <cellStyle name="level1a 3 2 3 5 5 2" xfId="2671"/>
    <cellStyle name="level1a 3 2 3 5 5 2 2" xfId="27085"/>
    <cellStyle name="level1a 3 2 3 5 5 3" xfId="27086"/>
    <cellStyle name="level1a 3 2 3 5 6" xfId="2672"/>
    <cellStyle name="level1a 3 2 3 5 6 2" xfId="27087"/>
    <cellStyle name="level1a 3 2 3 5 7" xfId="27088"/>
    <cellStyle name="level1a 3 2 3 6" xfId="2673"/>
    <cellStyle name="level1a 3 2 3 6 2" xfId="2674"/>
    <cellStyle name="level1a 3 2 3 6 2 2" xfId="2675"/>
    <cellStyle name="level1a 3 2 3 6 2 2 2" xfId="2676"/>
    <cellStyle name="level1a 3 2 3 6 2 2 2 2" xfId="27089"/>
    <cellStyle name="level1a 3 2 3 6 2 2 3" xfId="27090"/>
    <cellStyle name="level1a 3 2 3 6 2 3" xfId="2677"/>
    <cellStyle name="level1a 3 2 3 6 2 3 2" xfId="27091"/>
    <cellStyle name="level1a 3 2 3 6 2 4" xfId="27092"/>
    <cellStyle name="level1a 3 2 3 6 3" xfId="2678"/>
    <cellStyle name="level1a 3 2 3 6 3 2" xfId="2679"/>
    <cellStyle name="level1a 3 2 3 6 3 2 2" xfId="2680"/>
    <cellStyle name="level1a 3 2 3 6 3 2 2 2" xfId="27093"/>
    <cellStyle name="level1a 3 2 3 6 3 2 3" xfId="27094"/>
    <cellStyle name="level1a 3 2 3 6 3 3" xfId="2681"/>
    <cellStyle name="level1a 3 2 3 6 3 3 2" xfId="27095"/>
    <cellStyle name="level1a 3 2 3 6 3 4" xfId="27096"/>
    <cellStyle name="level1a 3 2 3 6 4" xfId="2682"/>
    <cellStyle name="level1a 3 2 3 6 4 2" xfId="27097"/>
    <cellStyle name="level1a 3 2 3 6 5" xfId="2683"/>
    <cellStyle name="level1a 3 2 3 6 5 2" xfId="27098"/>
    <cellStyle name="level1a 3 2 3 6 6" xfId="27099"/>
    <cellStyle name="level1a 3 2 3 7" xfId="2684"/>
    <cellStyle name="level1a 3 2 3 7 2" xfId="2685"/>
    <cellStyle name="level1a 3 2 3 7 2 2" xfId="2686"/>
    <cellStyle name="level1a 3 2 3 7 2 2 2" xfId="2687"/>
    <cellStyle name="level1a 3 2 3 7 2 2 2 2" xfId="27100"/>
    <cellStyle name="level1a 3 2 3 7 2 2 3" xfId="27101"/>
    <cellStyle name="level1a 3 2 3 7 2 3" xfId="2688"/>
    <cellStyle name="level1a 3 2 3 7 2 3 2" xfId="27102"/>
    <cellStyle name="level1a 3 2 3 7 2 4" xfId="27103"/>
    <cellStyle name="level1a 3 2 3 7 3" xfId="2689"/>
    <cellStyle name="level1a 3 2 3 7 3 2" xfId="2690"/>
    <cellStyle name="level1a 3 2 3 7 3 2 2" xfId="2691"/>
    <cellStyle name="level1a 3 2 3 7 3 2 2 2" xfId="27104"/>
    <cellStyle name="level1a 3 2 3 7 3 2 3" xfId="27105"/>
    <cellStyle name="level1a 3 2 3 7 3 3" xfId="2692"/>
    <cellStyle name="level1a 3 2 3 7 3 3 2" xfId="27106"/>
    <cellStyle name="level1a 3 2 3 7 3 4" xfId="27107"/>
    <cellStyle name="level1a 3 2 3 7 4" xfId="2693"/>
    <cellStyle name="level1a 3 2 3 7 4 2" xfId="27108"/>
    <cellStyle name="level1a 3 2 3 7 5" xfId="2694"/>
    <cellStyle name="level1a 3 2 3 7 5 2" xfId="2695"/>
    <cellStyle name="level1a 3 2 3 7 5 2 2" xfId="27109"/>
    <cellStyle name="level1a 3 2 3 7 5 3" xfId="27110"/>
    <cellStyle name="level1a 3 2 3 7 6" xfId="2696"/>
    <cellStyle name="level1a 3 2 3 7 6 2" xfId="27111"/>
    <cellStyle name="level1a 3 2 3 7 7" xfId="27112"/>
    <cellStyle name="level1a 3 2 3 8" xfId="2697"/>
    <cellStyle name="level1a 3 2 3 8 2" xfId="2698"/>
    <cellStyle name="level1a 3 2 3 8 2 2" xfId="2699"/>
    <cellStyle name="level1a 3 2 3 8 2 2 2" xfId="2700"/>
    <cellStyle name="level1a 3 2 3 8 2 2 2 2" xfId="27113"/>
    <cellStyle name="level1a 3 2 3 8 2 2 3" xfId="27114"/>
    <cellStyle name="level1a 3 2 3 8 2 3" xfId="2701"/>
    <cellStyle name="level1a 3 2 3 8 2 3 2" xfId="27115"/>
    <cellStyle name="level1a 3 2 3 8 2 4" xfId="27116"/>
    <cellStyle name="level1a 3 2 3 8 3" xfId="2702"/>
    <cellStyle name="level1a 3 2 3 8 3 2" xfId="2703"/>
    <cellStyle name="level1a 3 2 3 8 3 2 2" xfId="2704"/>
    <cellStyle name="level1a 3 2 3 8 3 2 2 2" xfId="27117"/>
    <cellStyle name="level1a 3 2 3 8 3 2 3" xfId="27118"/>
    <cellStyle name="level1a 3 2 3 8 3 3" xfId="2705"/>
    <cellStyle name="level1a 3 2 3 8 3 3 2" xfId="27119"/>
    <cellStyle name="level1a 3 2 3 8 3 4" xfId="27120"/>
    <cellStyle name="level1a 3 2 3 8 4" xfId="2706"/>
    <cellStyle name="level1a 3 2 3 8 4 2" xfId="2707"/>
    <cellStyle name="level1a 3 2 3 8 4 2 2" xfId="27121"/>
    <cellStyle name="level1a 3 2 3 8 4 3" xfId="27122"/>
    <cellStyle name="level1a 3 2 3 8 5" xfId="2708"/>
    <cellStyle name="level1a 3 2 3 8 5 2" xfId="27123"/>
    <cellStyle name="level1a 3 2 3 8 6" xfId="27124"/>
    <cellStyle name="level1a 3 2 3 9" xfId="2709"/>
    <cellStyle name="level1a 3 2 3 9 2" xfId="2710"/>
    <cellStyle name="level1a 3 2 3 9 2 2" xfId="2711"/>
    <cellStyle name="level1a 3 2 3 9 2 2 2" xfId="27125"/>
    <cellStyle name="level1a 3 2 3 9 2 3" xfId="27126"/>
    <cellStyle name="level1a 3 2 3 9 3" xfId="2712"/>
    <cellStyle name="level1a 3 2 3 9 3 2" xfId="27127"/>
    <cellStyle name="level1a 3 2 3 9 4" xfId="27128"/>
    <cellStyle name="level1a 3 2 3_STUD aligned by INSTIT" xfId="2713"/>
    <cellStyle name="level1a 3 2 4" xfId="2714"/>
    <cellStyle name="level1a 3 2 4 2" xfId="2715"/>
    <cellStyle name="level1a 3 2 4 2 2" xfId="2716"/>
    <cellStyle name="level1a 3 2 4 2 2 2" xfId="2717"/>
    <cellStyle name="level1a 3 2 4 2 2 2 2" xfId="2718"/>
    <cellStyle name="level1a 3 2 4 2 2 2 2 2" xfId="27129"/>
    <cellStyle name="level1a 3 2 4 2 2 2 3" xfId="27130"/>
    <cellStyle name="level1a 3 2 4 2 2 3" xfId="2719"/>
    <cellStyle name="level1a 3 2 4 2 2 3 2" xfId="27131"/>
    <cellStyle name="level1a 3 2 4 2 2 4" xfId="27132"/>
    <cellStyle name="level1a 3 2 4 2 3" xfId="2720"/>
    <cellStyle name="level1a 3 2 4 2 3 2" xfId="2721"/>
    <cellStyle name="level1a 3 2 4 2 3 2 2" xfId="2722"/>
    <cellStyle name="level1a 3 2 4 2 3 2 2 2" xfId="27133"/>
    <cellStyle name="level1a 3 2 4 2 3 2 3" xfId="27134"/>
    <cellStyle name="level1a 3 2 4 2 3 3" xfId="2723"/>
    <cellStyle name="level1a 3 2 4 2 3 3 2" xfId="27135"/>
    <cellStyle name="level1a 3 2 4 2 3 4" xfId="27136"/>
    <cellStyle name="level1a 3 2 4 2 4" xfId="2724"/>
    <cellStyle name="level1a 3 2 4 2 4 2" xfId="27137"/>
    <cellStyle name="level1a 3 2 4 2 5" xfId="2725"/>
    <cellStyle name="level1a 3 2 4 2 5 2" xfId="2726"/>
    <cellStyle name="level1a 3 2 4 2 5 2 2" xfId="27138"/>
    <cellStyle name="level1a 3 2 4 2 5 3" xfId="27139"/>
    <cellStyle name="level1a 3 2 4 2 6" xfId="27140"/>
    <cellStyle name="level1a 3 2 4 3" xfId="2727"/>
    <cellStyle name="level1a 3 2 4 3 2" xfId="2728"/>
    <cellStyle name="level1a 3 2 4 3 2 2" xfId="2729"/>
    <cellStyle name="level1a 3 2 4 3 2 2 2" xfId="2730"/>
    <cellStyle name="level1a 3 2 4 3 2 2 2 2" xfId="27141"/>
    <cellStyle name="level1a 3 2 4 3 2 2 3" xfId="27142"/>
    <cellStyle name="level1a 3 2 4 3 2 3" xfId="2731"/>
    <cellStyle name="level1a 3 2 4 3 2 3 2" xfId="27143"/>
    <cellStyle name="level1a 3 2 4 3 2 4" xfId="27144"/>
    <cellStyle name="level1a 3 2 4 3 3" xfId="2732"/>
    <cellStyle name="level1a 3 2 4 3 3 2" xfId="2733"/>
    <cellStyle name="level1a 3 2 4 3 3 2 2" xfId="2734"/>
    <cellStyle name="level1a 3 2 4 3 3 2 2 2" xfId="27145"/>
    <cellStyle name="level1a 3 2 4 3 3 2 3" xfId="27146"/>
    <cellStyle name="level1a 3 2 4 3 3 3" xfId="2735"/>
    <cellStyle name="level1a 3 2 4 3 3 3 2" xfId="27147"/>
    <cellStyle name="level1a 3 2 4 3 3 4" xfId="27148"/>
    <cellStyle name="level1a 3 2 4 3 4" xfId="2736"/>
    <cellStyle name="level1a 3 2 4 3 4 2" xfId="27149"/>
    <cellStyle name="level1a 3 2 4 3 5" xfId="2737"/>
    <cellStyle name="level1a 3 2 4 3 5 2" xfId="27150"/>
    <cellStyle name="level1a 3 2 4 3 6" xfId="27151"/>
    <cellStyle name="level1a 3 2 4 4" xfId="2738"/>
    <cellStyle name="level1a 3 2 4 4 2" xfId="2739"/>
    <cellStyle name="level1a 3 2 4 4 2 2" xfId="2740"/>
    <cellStyle name="level1a 3 2 4 4 2 2 2" xfId="2741"/>
    <cellStyle name="level1a 3 2 4 4 2 2 2 2" xfId="27152"/>
    <cellStyle name="level1a 3 2 4 4 2 2 3" xfId="27153"/>
    <cellStyle name="level1a 3 2 4 4 2 3" xfId="2742"/>
    <cellStyle name="level1a 3 2 4 4 2 3 2" xfId="27154"/>
    <cellStyle name="level1a 3 2 4 4 2 4" xfId="27155"/>
    <cellStyle name="level1a 3 2 4 4 3" xfId="2743"/>
    <cellStyle name="level1a 3 2 4 4 3 2" xfId="2744"/>
    <cellStyle name="level1a 3 2 4 4 3 2 2" xfId="2745"/>
    <cellStyle name="level1a 3 2 4 4 3 2 2 2" xfId="27156"/>
    <cellStyle name="level1a 3 2 4 4 3 2 3" xfId="27157"/>
    <cellStyle name="level1a 3 2 4 4 3 3" xfId="2746"/>
    <cellStyle name="level1a 3 2 4 4 3 3 2" xfId="27158"/>
    <cellStyle name="level1a 3 2 4 4 3 4" xfId="27159"/>
    <cellStyle name="level1a 3 2 4 4 4" xfId="2747"/>
    <cellStyle name="level1a 3 2 4 4 4 2" xfId="27160"/>
    <cellStyle name="level1a 3 2 4 4 5" xfId="2748"/>
    <cellStyle name="level1a 3 2 4 4 5 2" xfId="2749"/>
    <cellStyle name="level1a 3 2 4 4 5 2 2" xfId="27161"/>
    <cellStyle name="level1a 3 2 4 4 5 3" xfId="27162"/>
    <cellStyle name="level1a 3 2 4 4 6" xfId="2750"/>
    <cellStyle name="level1a 3 2 4 4 6 2" xfId="27163"/>
    <cellStyle name="level1a 3 2 4 4 7" xfId="27164"/>
    <cellStyle name="level1a 3 2 4 5" xfId="2751"/>
    <cellStyle name="level1a 3 2 4 5 2" xfId="2752"/>
    <cellStyle name="level1a 3 2 4 5 2 2" xfId="2753"/>
    <cellStyle name="level1a 3 2 4 5 2 2 2" xfId="2754"/>
    <cellStyle name="level1a 3 2 4 5 2 2 2 2" xfId="27165"/>
    <cellStyle name="level1a 3 2 4 5 2 2 3" xfId="27166"/>
    <cellStyle name="level1a 3 2 4 5 2 3" xfId="2755"/>
    <cellStyle name="level1a 3 2 4 5 2 3 2" xfId="27167"/>
    <cellStyle name="level1a 3 2 4 5 2 4" xfId="27168"/>
    <cellStyle name="level1a 3 2 4 5 3" xfId="2756"/>
    <cellStyle name="level1a 3 2 4 5 3 2" xfId="2757"/>
    <cellStyle name="level1a 3 2 4 5 3 2 2" xfId="2758"/>
    <cellStyle name="level1a 3 2 4 5 3 2 2 2" xfId="27169"/>
    <cellStyle name="level1a 3 2 4 5 3 2 3" xfId="27170"/>
    <cellStyle name="level1a 3 2 4 5 3 3" xfId="2759"/>
    <cellStyle name="level1a 3 2 4 5 3 3 2" xfId="27171"/>
    <cellStyle name="level1a 3 2 4 5 3 4" xfId="27172"/>
    <cellStyle name="level1a 3 2 4 5 4" xfId="2760"/>
    <cellStyle name="level1a 3 2 4 5 4 2" xfId="2761"/>
    <cellStyle name="level1a 3 2 4 5 4 2 2" xfId="27173"/>
    <cellStyle name="level1a 3 2 4 5 4 3" xfId="27174"/>
    <cellStyle name="level1a 3 2 4 5 5" xfId="2762"/>
    <cellStyle name="level1a 3 2 4 5 5 2" xfId="27175"/>
    <cellStyle name="level1a 3 2 4 5 6" xfId="27176"/>
    <cellStyle name="level1a 3 2 4 6" xfId="2763"/>
    <cellStyle name="level1a 3 2 4 6 2" xfId="2764"/>
    <cellStyle name="level1a 3 2 4 6 2 2" xfId="2765"/>
    <cellStyle name="level1a 3 2 4 6 2 2 2" xfId="2766"/>
    <cellStyle name="level1a 3 2 4 6 2 2 2 2" xfId="27177"/>
    <cellStyle name="level1a 3 2 4 6 2 2 3" xfId="27178"/>
    <cellStyle name="level1a 3 2 4 6 2 3" xfId="2767"/>
    <cellStyle name="level1a 3 2 4 6 2 3 2" xfId="27179"/>
    <cellStyle name="level1a 3 2 4 6 2 4" xfId="27180"/>
    <cellStyle name="level1a 3 2 4 6 3" xfId="2768"/>
    <cellStyle name="level1a 3 2 4 6 3 2" xfId="2769"/>
    <cellStyle name="level1a 3 2 4 6 3 2 2" xfId="2770"/>
    <cellStyle name="level1a 3 2 4 6 3 2 2 2" xfId="27181"/>
    <cellStyle name="level1a 3 2 4 6 3 2 3" xfId="27182"/>
    <cellStyle name="level1a 3 2 4 6 3 3" xfId="2771"/>
    <cellStyle name="level1a 3 2 4 6 3 3 2" xfId="27183"/>
    <cellStyle name="level1a 3 2 4 6 3 4" xfId="27184"/>
    <cellStyle name="level1a 3 2 4 6 4" xfId="2772"/>
    <cellStyle name="level1a 3 2 4 6 4 2" xfId="2773"/>
    <cellStyle name="level1a 3 2 4 6 4 2 2" xfId="27185"/>
    <cellStyle name="level1a 3 2 4 6 4 3" xfId="27186"/>
    <cellStyle name="level1a 3 2 4 6 5" xfId="2774"/>
    <cellStyle name="level1a 3 2 4 6 5 2" xfId="27187"/>
    <cellStyle name="level1a 3 2 4 6 6" xfId="27188"/>
    <cellStyle name="level1a 3 2 4 7" xfId="2775"/>
    <cellStyle name="level1a 3 2 4 7 2" xfId="2776"/>
    <cellStyle name="level1a 3 2 4 7 2 2" xfId="2777"/>
    <cellStyle name="level1a 3 2 4 7 2 2 2" xfId="27189"/>
    <cellStyle name="level1a 3 2 4 7 2 3" xfId="27190"/>
    <cellStyle name="level1a 3 2 4 7 3" xfId="2778"/>
    <cellStyle name="level1a 3 2 4 7 3 2" xfId="27191"/>
    <cellStyle name="level1a 3 2 4 7 4" xfId="27192"/>
    <cellStyle name="level1a 3 2 4 8" xfId="27193"/>
    <cellStyle name="level1a 3 2 4_STUD aligned by INSTIT" xfId="2779"/>
    <cellStyle name="level1a 3 2 5" xfId="2780"/>
    <cellStyle name="level1a 3 2 5 2" xfId="2781"/>
    <cellStyle name="level1a 3 2 5 2 2" xfId="2782"/>
    <cellStyle name="level1a 3 2 5 2 2 2" xfId="2783"/>
    <cellStyle name="level1a 3 2 5 2 2 2 2" xfId="2784"/>
    <cellStyle name="level1a 3 2 5 2 2 2 2 2" xfId="27194"/>
    <cellStyle name="level1a 3 2 5 2 2 2 3" xfId="27195"/>
    <cellStyle name="level1a 3 2 5 2 2 3" xfId="2785"/>
    <cellStyle name="level1a 3 2 5 2 2 3 2" xfId="27196"/>
    <cellStyle name="level1a 3 2 5 2 2 4" xfId="27197"/>
    <cellStyle name="level1a 3 2 5 2 3" xfId="2786"/>
    <cellStyle name="level1a 3 2 5 2 3 2" xfId="2787"/>
    <cellStyle name="level1a 3 2 5 2 3 2 2" xfId="2788"/>
    <cellStyle name="level1a 3 2 5 2 3 2 2 2" xfId="27198"/>
    <cellStyle name="level1a 3 2 5 2 3 2 3" xfId="27199"/>
    <cellStyle name="level1a 3 2 5 2 3 3" xfId="2789"/>
    <cellStyle name="level1a 3 2 5 2 3 3 2" xfId="27200"/>
    <cellStyle name="level1a 3 2 5 2 3 4" xfId="27201"/>
    <cellStyle name="level1a 3 2 5 2 4" xfId="2790"/>
    <cellStyle name="level1a 3 2 5 2 4 2" xfId="27202"/>
    <cellStyle name="level1a 3 2 5 2 5" xfId="2791"/>
    <cellStyle name="level1a 3 2 5 2 5 2" xfId="2792"/>
    <cellStyle name="level1a 3 2 5 2 5 2 2" xfId="27203"/>
    <cellStyle name="level1a 3 2 5 2 5 3" xfId="27204"/>
    <cellStyle name="level1a 3 2 5 2 6" xfId="2793"/>
    <cellStyle name="level1a 3 2 5 2 6 2" xfId="27205"/>
    <cellStyle name="level1a 3 2 5 2 7" xfId="27206"/>
    <cellStyle name="level1a 3 2 5 3" xfId="2794"/>
    <cellStyle name="level1a 3 2 5 3 2" xfId="2795"/>
    <cellStyle name="level1a 3 2 5 3 2 2" xfId="2796"/>
    <cellStyle name="level1a 3 2 5 3 2 2 2" xfId="2797"/>
    <cellStyle name="level1a 3 2 5 3 2 2 2 2" xfId="27207"/>
    <cellStyle name="level1a 3 2 5 3 2 2 3" xfId="27208"/>
    <cellStyle name="level1a 3 2 5 3 2 3" xfId="2798"/>
    <cellStyle name="level1a 3 2 5 3 2 3 2" xfId="27209"/>
    <cellStyle name="level1a 3 2 5 3 2 4" xfId="27210"/>
    <cellStyle name="level1a 3 2 5 3 3" xfId="2799"/>
    <cellStyle name="level1a 3 2 5 3 3 2" xfId="2800"/>
    <cellStyle name="level1a 3 2 5 3 3 2 2" xfId="2801"/>
    <cellStyle name="level1a 3 2 5 3 3 2 2 2" xfId="27211"/>
    <cellStyle name="level1a 3 2 5 3 3 2 3" xfId="27212"/>
    <cellStyle name="level1a 3 2 5 3 3 3" xfId="2802"/>
    <cellStyle name="level1a 3 2 5 3 3 3 2" xfId="27213"/>
    <cellStyle name="level1a 3 2 5 3 3 4" xfId="27214"/>
    <cellStyle name="level1a 3 2 5 3 4" xfId="2803"/>
    <cellStyle name="level1a 3 2 5 3 4 2" xfId="27215"/>
    <cellStyle name="level1a 3 2 5 3 5" xfId="27216"/>
    <cellStyle name="level1a 3 2 5 4" xfId="2804"/>
    <cellStyle name="level1a 3 2 5 4 2" xfId="2805"/>
    <cellStyle name="level1a 3 2 5 4 2 2" xfId="2806"/>
    <cellStyle name="level1a 3 2 5 4 2 2 2" xfId="2807"/>
    <cellStyle name="level1a 3 2 5 4 2 2 2 2" xfId="27217"/>
    <cellStyle name="level1a 3 2 5 4 2 2 3" xfId="27218"/>
    <cellStyle name="level1a 3 2 5 4 2 3" xfId="2808"/>
    <cellStyle name="level1a 3 2 5 4 2 3 2" xfId="27219"/>
    <cellStyle name="level1a 3 2 5 4 2 4" xfId="27220"/>
    <cellStyle name="level1a 3 2 5 4 3" xfId="2809"/>
    <cellStyle name="level1a 3 2 5 4 3 2" xfId="2810"/>
    <cellStyle name="level1a 3 2 5 4 3 2 2" xfId="2811"/>
    <cellStyle name="level1a 3 2 5 4 3 2 2 2" xfId="27221"/>
    <cellStyle name="level1a 3 2 5 4 3 2 3" xfId="27222"/>
    <cellStyle name="level1a 3 2 5 4 3 3" xfId="2812"/>
    <cellStyle name="level1a 3 2 5 4 3 3 2" xfId="27223"/>
    <cellStyle name="level1a 3 2 5 4 3 4" xfId="27224"/>
    <cellStyle name="level1a 3 2 5 4 4" xfId="2813"/>
    <cellStyle name="level1a 3 2 5 4 4 2" xfId="2814"/>
    <cellStyle name="level1a 3 2 5 4 4 2 2" xfId="27225"/>
    <cellStyle name="level1a 3 2 5 4 4 3" xfId="27226"/>
    <cellStyle name="level1a 3 2 5 4 5" xfId="2815"/>
    <cellStyle name="level1a 3 2 5 4 5 2" xfId="27227"/>
    <cellStyle name="level1a 3 2 5 4 6" xfId="27228"/>
    <cellStyle name="level1a 3 2 5 5" xfId="2816"/>
    <cellStyle name="level1a 3 2 5 5 2" xfId="2817"/>
    <cellStyle name="level1a 3 2 5 5 2 2" xfId="2818"/>
    <cellStyle name="level1a 3 2 5 5 2 2 2" xfId="2819"/>
    <cellStyle name="level1a 3 2 5 5 2 2 2 2" xfId="27229"/>
    <cellStyle name="level1a 3 2 5 5 2 2 3" xfId="27230"/>
    <cellStyle name="level1a 3 2 5 5 2 3" xfId="2820"/>
    <cellStyle name="level1a 3 2 5 5 2 3 2" xfId="27231"/>
    <cellStyle name="level1a 3 2 5 5 2 4" xfId="27232"/>
    <cellStyle name="level1a 3 2 5 5 3" xfId="2821"/>
    <cellStyle name="level1a 3 2 5 5 3 2" xfId="2822"/>
    <cellStyle name="level1a 3 2 5 5 3 2 2" xfId="2823"/>
    <cellStyle name="level1a 3 2 5 5 3 2 2 2" xfId="27233"/>
    <cellStyle name="level1a 3 2 5 5 3 2 3" xfId="27234"/>
    <cellStyle name="level1a 3 2 5 5 3 3" xfId="2824"/>
    <cellStyle name="level1a 3 2 5 5 3 3 2" xfId="27235"/>
    <cellStyle name="level1a 3 2 5 5 3 4" xfId="27236"/>
    <cellStyle name="level1a 3 2 5 5 4" xfId="2825"/>
    <cellStyle name="level1a 3 2 5 5 4 2" xfId="2826"/>
    <cellStyle name="level1a 3 2 5 5 4 2 2" xfId="27237"/>
    <cellStyle name="level1a 3 2 5 5 4 3" xfId="27238"/>
    <cellStyle name="level1a 3 2 5 5 5" xfId="2827"/>
    <cellStyle name="level1a 3 2 5 5 5 2" xfId="27239"/>
    <cellStyle name="level1a 3 2 5 5 6" xfId="27240"/>
    <cellStyle name="level1a 3 2 5 6" xfId="2828"/>
    <cellStyle name="level1a 3 2 5 6 2" xfId="2829"/>
    <cellStyle name="level1a 3 2 5 6 2 2" xfId="2830"/>
    <cellStyle name="level1a 3 2 5 6 2 2 2" xfId="2831"/>
    <cellStyle name="level1a 3 2 5 6 2 2 2 2" xfId="27241"/>
    <cellStyle name="level1a 3 2 5 6 2 2 3" xfId="27242"/>
    <cellStyle name="level1a 3 2 5 6 2 3" xfId="2832"/>
    <cellStyle name="level1a 3 2 5 6 2 3 2" xfId="27243"/>
    <cellStyle name="level1a 3 2 5 6 2 4" xfId="27244"/>
    <cellStyle name="level1a 3 2 5 6 3" xfId="2833"/>
    <cellStyle name="level1a 3 2 5 6 3 2" xfId="2834"/>
    <cellStyle name="level1a 3 2 5 6 3 2 2" xfId="2835"/>
    <cellStyle name="level1a 3 2 5 6 3 2 2 2" xfId="27245"/>
    <cellStyle name="level1a 3 2 5 6 3 2 3" xfId="27246"/>
    <cellStyle name="level1a 3 2 5 6 3 3" xfId="2836"/>
    <cellStyle name="level1a 3 2 5 6 3 3 2" xfId="27247"/>
    <cellStyle name="level1a 3 2 5 6 3 4" xfId="27248"/>
    <cellStyle name="level1a 3 2 5 6 4" xfId="2837"/>
    <cellStyle name="level1a 3 2 5 6 4 2" xfId="2838"/>
    <cellStyle name="level1a 3 2 5 6 4 2 2" xfId="27249"/>
    <cellStyle name="level1a 3 2 5 6 4 3" xfId="27250"/>
    <cellStyle name="level1a 3 2 5 6 5" xfId="2839"/>
    <cellStyle name="level1a 3 2 5 6 5 2" xfId="27251"/>
    <cellStyle name="level1a 3 2 5 6 6" xfId="27252"/>
    <cellStyle name="level1a 3 2 5 7" xfId="2840"/>
    <cellStyle name="level1a 3 2 5 7 2" xfId="2841"/>
    <cellStyle name="level1a 3 2 5 7 2 2" xfId="2842"/>
    <cellStyle name="level1a 3 2 5 7 2 2 2" xfId="27253"/>
    <cellStyle name="level1a 3 2 5 7 2 3" xfId="27254"/>
    <cellStyle name="level1a 3 2 5 7 3" xfId="2843"/>
    <cellStyle name="level1a 3 2 5 7 3 2" xfId="27255"/>
    <cellStyle name="level1a 3 2 5 7 4" xfId="27256"/>
    <cellStyle name="level1a 3 2 5 8" xfId="2844"/>
    <cellStyle name="level1a 3 2 5 8 2" xfId="2845"/>
    <cellStyle name="level1a 3 2 5 8 2 2" xfId="2846"/>
    <cellStyle name="level1a 3 2 5 8 2 2 2" xfId="27257"/>
    <cellStyle name="level1a 3 2 5 8 2 3" xfId="27258"/>
    <cellStyle name="level1a 3 2 5 8 3" xfId="2847"/>
    <cellStyle name="level1a 3 2 5 8 3 2" xfId="27259"/>
    <cellStyle name="level1a 3 2 5 8 4" xfId="27260"/>
    <cellStyle name="level1a 3 2 5 9" xfId="27261"/>
    <cellStyle name="level1a 3 2 5_STUD aligned by INSTIT" xfId="2848"/>
    <cellStyle name="level1a 3 2 6" xfId="2849"/>
    <cellStyle name="level1a 3 2 6 2" xfId="2850"/>
    <cellStyle name="level1a 3 2 6 2 2" xfId="2851"/>
    <cellStyle name="level1a 3 2 6 2 2 2" xfId="2852"/>
    <cellStyle name="level1a 3 2 6 2 2 2 2" xfId="27262"/>
    <cellStyle name="level1a 3 2 6 2 2 3" xfId="27263"/>
    <cellStyle name="level1a 3 2 6 2 3" xfId="2853"/>
    <cellStyle name="level1a 3 2 6 2 3 2" xfId="27264"/>
    <cellStyle name="level1a 3 2 6 2 4" xfId="27265"/>
    <cellStyle name="level1a 3 2 6 3" xfId="2854"/>
    <cellStyle name="level1a 3 2 6 3 2" xfId="2855"/>
    <cellStyle name="level1a 3 2 6 3 2 2" xfId="2856"/>
    <cellStyle name="level1a 3 2 6 3 2 2 2" xfId="27266"/>
    <cellStyle name="level1a 3 2 6 3 2 3" xfId="27267"/>
    <cellStyle name="level1a 3 2 6 3 3" xfId="2857"/>
    <cellStyle name="level1a 3 2 6 3 3 2" xfId="27268"/>
    <cellStyle name="level1a 3 2 6 3 4" xfId="27269"/>
    <cellStyle name="level1a 3 2 6 4" xfId="2858"/>
    <cellStyle name="level1a 3 2 6 4 2" xfId="27270"/>
    <cellStyle name="level1a 3 2 6 5" xfId="2859"/>
    <cellStyle name="level1a 3 2 6 5 2" xfId="2860"/>
    <cellStyle name="level1a 3 2 6 5 2 2" xfId="27271"/>
    <cellStyle name="level1a 3 2 6 5 3" xfId="27272"/>
    <cellStyle name="level1a 3 2 6 6" xfId="27273"/>
    <cellStyle name="level1a 3 2 7" xfId="2861"/>
    <cellStyle name="level1a 3 2 7 2" xfId="2862"/>
    <cellStyle name="level1a 3 2 7 2 2" xfId="2863"/>
    <cellStyle name="level1a 3 2 7 2 2 2" xfId="2864"/>
    <cellStyle name="level1a 3 2 7 2 2 2 2" xfId="27274"/>
    <cellStyle name="level1a 3 2 7 2 2 3" xfId="27275"/>
    <cellStyle name="level1a 3 2 7 2 3" xfId="2865"/>
    <cellStyle name="level1a 3 2 7 2 3 2" xfId="27276"/>
    <cellStyle name="level1a 3 2 7 2 4" xfId="27277"/>
    <cellStyle name="level1a 3 2 7 3" xfId="2866"/>
    <cellStyle name="level1a 3 2 7 3 2" xfId="2867"/>
    <cellStyle name="level1a 3 2 7 3 2 2" xfId="2868"/>
    <cellStyle name="level1a 3 2 7 3 2 2 2" xfId="27278"/>
    <cellStyle name="level1a 3 2 7 3 2 3" xfId="27279"/>
    <cellStyle name="level1a 3 2 7 3 3" xfId="2869"/>
    <cellStyle name="level1a 3 2 7 3 3 2" xfId="27280"/>
    <cellStyle name="level1a 3 2 7 3 4" xfId="27281"/>
    <cellStyle name="level1a 3 2 7 4" xfId="2870"/>
    <cellStyle name="level1a 3 2 7 4 2" xfId="27282"/>
    <cellStyle name="level1a 3 2 7 5" xfId="2871"/>
    <cellStyle name="level1a 3 2 7 5 2" xfId="2872"/>
    <cellStyle name="level1a 3 2 7 5 2 2" xfId="27283"/>
    <cellStyle name="level1a 3 2 7 5 3" xfId="27284"/>
    <cellStyle name="level1a 3 2 7 6" xfId="2873"/>
    <cellStyle name="level1a 3 2 7 6 2" xfId="27285"/>
    <cellStyle name="level1a 3 2 7 7" xfId="27286"/>
    <cellStyle name="level1a 3 2 8" xfId="2874"/>
    <cellStyle name="level1a 3 2 8 2" xfId="2875"/>
    <cellStyle name="level1a 3 2 8 2 2" xfId="2876"/>
    <cellStyle name="level1a 3 2 8 2 2 2" xfId="2877"/>
    <cellStyle name="level1a 3 2 8 2 2 2 2" xfId="27287"/>
    <cellStyle name="level1a 3 2 8 2 2 3" xfId="27288"/>
    <cellStyle name="level1a 3 2 8 2 3" xfId="2878"/>
    <cellStyle name="level1a 3 2 8 2 3 2" xfId="27289"/>
    <cellStyle name="level1a 3 2 8 2 4" xfId="27290"/>
    <cellStyle name="level1a 3 2 8 3" xfId="2879"/>
    <cellStyle name="level1a 3 2 8 3 2" xfId="2880"/>
    <cellStyle name="level1a 3 2 8 3 2 2" xfId="2881"/>
    <cellStyle name="level1a 3 2 8 3 2 2 2" xfId="27291"/>
    <cellStyle name="level1a 3 2 8 3 2 3" xfId="27292"/>
    <cellStyle name="level1a 3 2 8 3 3" xfId="2882"/>
    <cellStyle name="level1a 3 2 8 3 3 2" xfId="27293"/>
    <cellStyle name="level1a 3 2 8 3 4" xfId="27294"/>
    <cellStyle name="level1a 3 2 8 4" xfId="2883"/>
    <cellStyle name="level1a 3 2 8 4 2" xfId="27295"/>
    <cellStyle name="level1a 3 2 8 5" xfId="2884"/>
    <cellStyle name="level1a 3 2 8 5 2" xfId="27296"/>
    <cellStyle name="level1a 3 2 8 6" xfId="27297"/>
    <cellStyle name="level1a 3 2 9" xfId="2885"/>
    <cellStyle name="level1a 3 2 9 2" xfId="2886"/>
    <cellStyle name="level1a 3 2 9 2 2" xfId="2887"/>
    <cellStyle name="level1a 3 2 9 2 2 2" xfId="2888"/>
    <cellStyle name="level1a 3 2 9 2 2 2 2" xfId="27298"/>
    <cellStyle name="level1a 3 2 9 2 2 3" xfId="27299"/>
    <cellStyle name="level1a 3 2 9 2 3" xfId="2889"/>
    <cellStyle name="level1a 3 2 9 2 3 2" xfId="27300"/>
    <cellStyle name="level1a 3 2 9 2 4" xfId="27301"/>
    <cellStyle name="level1a 3 2 9 3" xfId="2890"/>
    <cellStyle name="level1a 3 2 9 3 2" xfId="2891"/>
    <cellStyle name="level1a 3 2 9 3 2 2" xfId="2892"/>
    <cellStyle name="level1a 3 2 9 3 2 2 2" xfId="27302"/>
    <cellStyle name="level1a 3 2 9 3 2 3" xfId="27303"/>
    <cellStyle name="level1a 3 2 9 3 3" xfId="2893"/>
    <cellStyle name="level1a 3 2 9 3 3 2" xfId="27304"/>
    <cellStyle name="level1a 3 2 9 3 4" xfId="27305"/>
    <cellStyle name="level1a 3 2 9 4" xfId="2894"/>
    <cellStyle name="level1a 3 2 9 4 2" xfId="27306"/>
    <cellStyle name="level1a 3 2 9 5" xfId="2895"/>
    <cellStyle name="level1a 3 2 9 5 2" xfId="2896"/>
    <cellStyle name="level1a 3 2 9 5 2 2" xfId="27307"/>
    <cellStyle name="level1a 3 2 9 5 3" xfId="27308"/>
    <cellStyle name="level1a 3 2 9 6" xfId="2897"/>
    <cellStyle name="level1a 3 2 9 6 2" xfId="27309"/>
    <cellStyle name="level1a 3 2 9 7" xfId="27310"/>
    <cellStyle name="level1a 3 2_STUD aligned by INSTIT" xfId="2898"/>
    <cellStyle name="level1a 3 3" xfId="2899"/>
    <cellStyle name="level1a 3 3 10" xfId="2900"/>
    <cellStyle name="level1a 3 3 10 2" xfId="2901"/>
    <cellStyle name="level1a 3 3 10 2 2" xfId="2902"/>
    <cellStyle name="level1a 3 3 10 2 2 2" xfId="27311"/>
    <cellStyle name="level1a 3 3 10 2 3" xfId="27312"/>
    <cellStyle name="level1a 3 3 10 3" xfId="2903"/>
    <cellStyle name="level1a 3 3 10 3 2" xfId="27313"/>
    <cellStyle name="level1a 3 3 10 4" xfId="27314"/>
    <cellStyle name="level1a 3 3 11" xfId="2904"/>
    <cellStyle name="level1a 3 3 11 2" xfId="27315"/>
    <cellStyle name="level1a 3 3 12" xfId="27316"/>
    <cellStyle name="level1a 3 3 2" xfId="2905"/>
    <cellStyle name="level1a 3 3 2 10" xfId="2906"/>
    <cellStyle name="level1a 3 3 2 10 2" xfId="27317"/>
    <cellStyle name="level1a 3 3 2 11" xfId="27318"/>
    <cellStyle name="level1a 3 3 2 2" xfId="2907"/>
    <cellStyle name="level1a 3 3 2 2 2" xfId="2908"/>
    <cellStyle name="level1a 3 3 2 2 2 2" xfId="2909"/>
    <cellStyle name="level1a 3 3 2 2 2 2 2" xfId="2910"/>
    <cellStyle name="level1a 3 3 2 2 2 2 2 2" xfId="2911"/>
    <cellStyle name="level1a 3 3 2 2 2 2 2 2 2" xfId="27319"/>
    <cellStyle name="level1a 3 3 2 2 2 2 2 3" xfId="27320"/>
    <cellStyle name="level1a 3 3 2 2 2 2 3" xfId="2912"/>
    <cellStyle name="level1a 3 3 2 2 2 2 3 2" xfId="27321"/>
    <cellStyle name="level1a 3 3 2 2 2 2 4" xfId="27322"/>
    <cellStyle name="level1a 3 3 2 2 2 3" xfId="2913"/>
    <cellStyle name="level1a 3 3 2 2 2 3 2" xfId="2914"/>
    <cellStyle name="level1a 3 3 2 2 2 3 2 2" xfId="2915"/>
    <cellStyle name="level1a 3 3 2 2 2 3 2 2 2" xfId="27323"/>
    <cellStyle name="level1a 3 3 2 2 2 3 2 3" xfId="27324"/>
    <cellStyle name="level1a 3 3 2 2 2 3 3" xfId="2916"/>
    <cellStyle name="level1a 3 3 2 2 2 3 3 2" xfId="27325"/>
    <cellStyle name="level1a 3 3 2 2 2 3 4" xfId="27326"/>
    <cellStyle name="level1a 3 3 2 2 2 4" xfId="2917"/>
    <cellStyle name="level1a 3 3 2 2 2 4 2" xfId="27327"/>
    <cellStyle name="level1a 3 3 2 2 2 5" xfId="2918"/>
    <cellStyle name="level1a 3 3 2 2 2 5 2" xfId="2919"/>
    <cellStyle name="level1a 3 3 2 2 2 5 2 2" xfId="27328"/>
    <cellStyle name="level1a 3 3 2 2 2 5 3" xfId="27329"/>
    <cellStyle name="level1a 3 3 2 2 2 6" xfId="27330"/>
    <cellStyle name="level1a 3 3 2 2 3" xfId="2920"/>
    <cellStyle name="level1a 3 3 2 2 3 2" xfId="2921"/>
    <cellStyle name="level1a 3 3 2 2 3 2 2" xfId="2922"/>
    <cellStyle name="level1a 3 3 2 2 3 2 2 2" xfId="2923"/>
    <cellStyle name="level1a 3 3 2 2 3 2 2 2 2" xfId="27331"/>
    <cellStyle name="level1a 3 3 2 2 3 2 2 3" xfId="27332"/>
    <cellStyle name="level1a 3 3 2 2 3 2 3" xfId="2924"/>
    <cellStyle name="level1a 3 3 2 2 3 2 3 2" xfId="27333"/>
    <cellStyle name="level1a 3 3 2 2 3 2 4" xfId="27334"/>
    <cellStyle name="level1a 3 3 2 2 3 3" xfId="2925"/>
    <cellStyle name="level1a 3 3 2 2 3 3 2" xfId="2926"/>
    <cellStyle name="level1a 3 3 2 2 3 3 2 2" xfId="2927"/>
    <cellStyle name="level1a 3 3 2 2 3 3 2 2 2" xfId="27335"/>
    <cellStyle name="level1a 3 3 2 2 3 3 2 3" xfId="27336"/>
    <cellStyle name="level1a 3 3 2 2 3 3 3" xfId="2928"/>
    <cellStyle name="level1a 3 3 2 2 3 3 3 2" xfId="27337"/>
    <cellStyle name="level1a 3 3 2 2 3 3 4" xfId="27338"/>
    <cellStyle name="level1a 3 3 2 2 3 4" xfId="2929"/>
    <cellStyle name="level1a 3 3 2 2 3 4 2" xfId="27339"/>
    <cellStyle name="level1a 3 3 2 2 3 5" xfId="2930"/>
    <cellStyle name="level1a 3 3 2 2 3 5 2" xfId="27340"/>
    <cellStyle name="level1a 3 3 2 2 3 6" xfId="27341"/>
    <cellStyle name="level1a 3 3 2 2 4" xfId="2931"/>
    <cellStyle name="level1a 3 3 2 2 4 2" xfId="2932"/>
    <cellStyle name="level1a 3 3 2 2 4 2 2" xfId="2933"/>
    <cellStyle name="level1a 3 3 2 2 4 2 2 2" xfId="2934"/>
    <cellStyle name="level1a 3 3 2 2 4 2 2 2 2" xfId="27342"/>
    <cellStyle name="level1a 3 3 2 2 4 2 2 3" xfId="27343"/>
    <cellStyle name="level1a 3 3 2 2 4 2 3" xfId="2935"/>
    <cellStyle name="level1a 3 3 2 2 4 2 3 2" xfId="27344"/>
    <cellStyle name="level1a 3 3 2 2 4 2 4" xfId="27345"/>
    <cellStyle name="level1a 3 3 2 2 4 3" xfId="2936"/>
    <cellStyle name="level1a 3 3 2 2 4 3 2" xfId="2937"/>
    <cellStyle name="level1a 3 3 2 2 4 3 2 2" xfId="2938"/>
    <cellStyle name="level1a 3 3 2 2 4 3 2 2 2" xfId="27346"/>
    <cellStyle name="level1a 3 3 2 2 4 3 2 3" xfId="27347"/>
    <cellStyle name="level1a 3 3 2 2 4 3 3" xfId="2939"/>
    <cellStyle name="level1a 3 3 2 2 4 3 3 2" xfId="27348"/>
    <cellStyle name="level1a 3 3 2 2 4 3 4" xfId="27349"/>
    <cellStyle name="level1a 3 3 2 2 4 4" xfId="2940"/>
    <cellStyle name="level1a 3 3 2 2 4 4 2" xfId="27350"/>
    <cellStyle name="level1a 3 3 2 2 4 5" xfId="2941"/>
    <cellStyle name="level1a 3 3 2 2 4 5 2" xfId="2942"/>
    <cellStyle name="level1a 3 3 2 2 4 5 2 2" xfId="27351"/>
    <cellStyle name="level1a 3 3 2 2 4 5 3" xfId="27352"/>
    <cellStyle name="level1a 3 3 2 2 4 6" xfId="2943"/>
    <cellStyle name="level1a 3 3 2 2 4 6 2" xfId="27353"/>
    <cellStyle name="level1a 3 3 2 2 4 7" xfId="27354"/>
    <cellStyle name="level1a 3 3 2 2 5" xfId="2944"/>
    <cellStyle name="level1a 3 3 2 2 5 2" xfId="2945"/>
    <cellStyle name="level1a 3 3 2 2 5 2 2" xfId="2946"/>
    <cellStyle name="level1a 3 3 2 2 5 2 2 2" xfId="2947"/>
    <cellStyle name="level1a 3 3 2 2 5 2 2 2 2" xfId="27355"/>
    <cellStyle name="level1a 3 3 2 2 5 2 2 3" xfId="27356"/>
    <cellStyle name="level1a 3 3 2 2 5 2 3" xfId="2948"/>
    <cellStyle name="level1a 3 3 2 2 5 2 3 2" xfId="27357"/>
    <cellStyle name="level1a 3 3 2 2 5 2 4" xfId="27358"/>
    <cellStyle name="level1a 3 3 2 2 5 3" xfId="2949"/>
    <cellStyle name="level1a 3 3 2 2 5 3 2" xfId="2950"/>
    <cellStyle name="level1a 3 3 2 2 5 3 2 2" xfId="2951"/>
    <cellStyle name="level1a 3 3 2 2 5 3 2 2 2" xfId="27359"/>
    <cellStyle name="level1a 3 3 2 2 5 3 2 3" xfId="27360"/>
    <cellStyle name="level1a 3 3 2 2 5 3 3" xfId="2952"/>
    <cellStyle name="level1a 3 3 2 2 5 3 3 2" xfId="27361"/>
    <cellStyle name="level1a 3 3 2 2 5 3 4" xfId="27362"/>
    <cellStyle name="level1a 3 3 2 2 5 4" xfId="2953"/>
    <cellStyle name="level1a 3 3 2 2 5 4 2" xfId="2954"/>
    <cellStyle name="level1a 3 3 2 2 5 4 2 2" xfId="27363"/>
    <cellStyle name="level1a 3 3 2 2 5 4 3" xfId="27364"/>
    <cellStyle name="level1a 3 3 2 2 5 5" xfId="2955"/>
    <cellStyle name="level1a 3 3 2 2 5 5 2" xfId="27365"/>
    <cellStyle name="level1a 3 3 2 2 5 6" xfId="27366"/>
    <cellStyle name="level1a 3 3 2 2 6" xfId="2956"/>
    <cellStyle name="level1a 3 3 2 2 6 2" xfId="2957"/>
    <cellStyle name="level1a 3 3 2 2 6 2 2" xfId="2958"/>
    <cellStyle name="level1a 3 3 2 2 6 2 2 2" xfId="2959"/>
    <cellStyle name="level1a 3 3 2 2 6 2 2 2 2" xfId="27367"/>
    <cellStyle name="level1a 3 3 2 2 6 2 2 3" xfId="27368"/>
    <cellStyle name="level1a 3 3 2 2 6 2 3" xfId="2960"/>
    <cellStyle name="level1a 3 3 2 2 6 2 3 2" xfId="27369"/>
    <cellStyle name="level1a 3 3 2 2 6 2 4" xfId="27370"/>
    <cellStyle name="level1a 3 3 2 2 6 3" xfId="2961"/>
    <cellStyle name="level1a 3 3 2 2 6 3 2" xfId="2962"/>
    <cellStyle name="level1a 3 3 2 2 6 3 2 2" xfId="2963"/>
    <cellStyle name="level1a 3 3 2 2 6 3 2 2 2" xfId="27371"/>
    <cellStyle name="level1a 3 3 2 2 6 3 2 3" xfId="27372"/>
    <cellStyle name="level1a 3 3 2 2 6 3 3" xfId="2964"/>
    <cellStyle name="level1a 3 3 2 2 6 3 3 2" xfId="27373"/>
    <cellStyle name="level1a 3 3 2 2 6 3 4" xfId="27374"/>
    <cellStyle name="level1a 3 3 2 2 6 4" xfId="2965"/>
    <cellStyle name="level1a 3 3 2 2 6 4 2" xfId="2966"/>
    <cellStyle name="level1a 3 3 2 2 6 4 2 2" xfId="27375"/>
    <cellStyle name="level1a 3 3 2 2 6 4 3" xfId="27376"/>
    <cellStyle name="level1a 3 3 2 2 6 5" xfId="2967"/>
    <cellStyle name="level1a 3 3 2 2 6 5 2" xfId="27377"/>
    <cellStyle name="level1a 3 3 2 2 6 6" xfId="27378"/>
    <cellStyle name="level1a 3 3 2 2 7" xfId="2968"/>
    <cellStyle name="level1a 3 3 2 2 7 2" xfId="2969"/>
    <cellStyle name="level1a 3 3 2 2 7 2 2" xfId="2970"/>
    <cellStyle name="level1a 3 3 2 2 7 2 2 2" xfId="27379"/>
    <cellStyle name="level1a 3 3 2 2 7 2 3" xfId="27380"/>
    <cellStyle name="level1a 3 3 2 2 7 3" xfId="2971"/>
    <cellStyle name="level1a 3 3 2 2 7 3 2" xfId="27381"/>
    <cellStyle name="level1a 3 3 2 2 7 4" xfId="27382"/>
    <cellStyle name="level1a 3 3 2 2 8" xfId="27383"/>
    <cellStyle name="level1a 3 3 2 2_STUD aligned by INSTIT" xfId="2972"/>
    <cellStyle name="level1a 3 3 2 3" xfId="2973"/>
    <cellStyle name="level1a 3 3 2 3 2" xfId="2974"/>
    <cellStyle name="level1a 3 3 2 3 2 2" xfId="2975"/>
    <cellStyle name="level1a 3 3 2 3 2 2 2" xfId="2976"/>
    <cellStyle name="level1a 3 3 2 3 2 2 2 2" xfId="2977"/>
    <cellStyle name="level1a 3 3 2 3 2 2 2 2 2" xfId="27384"/>
    <cellStyle name="level1a 3 3 2 3 2 2 2 3" xfId="27385"/>
    <cellStyle name="level1a 3 3 2 3 2 2 3" xfId="2978"/>
    <cellStyle name="level1a 3 3 2 3 2 2 3 2" xfId="27386"/>
    <cellStyle name="level1a 3 3 2 3 2 2 4" xfId="27387"/>
    <cellStyle name="level1a 3 3 2 3 2 3" xfId="2979"/>
    <cellStyle name="level1a 3 3 2 3 2 3 2" xfId="2980"/>
    <cellStyle name="level1a 3 3 2 3 2 3 2 2" xfId="2981"/>
    <cellStyle name="level1a 3 3 2 3 2 3 2 2 2" xfId="27388"/>
    <cellStyle name="level1a 3 3 2 3 2 3 2 3" xfId="27389"/>
    <cellStyle name="level1a 3 3 2 3 2 3 3" xfId="2982"/>
    <cellStyle name="level1a 3 3 2 3 2 3 3 2" xfId="27390"/>
    <cellStyle name="level1a 3 3 2 3 2 3 4" xfId="27391"/>
    <cellStyle name="level1a 3 3 2 3 2 4" xfId="2983"/>
    <cellStyle name="level1a 3 3 2 3 2 4 2" xfId="27392"/>
    <cellStyle name="level1a 3 3 2 3 2 5" xfId="2984"/>
    <cellStyle name="level1a 3 3 2 3 2 5 2" xfId="27393"/>
    <cellStyle name="level1a 3 3 2 3 2 6" xfId="27394"/>
    <cellStyle name="level1a 3 3 2 3 3" xfId="2985"/>
    <cellStyle name="level1a 3 3 2 3 3 2" xfId="2986"/>
    <cellStyle name="level1a 3 3 2 3 3 2 2" xfId="2987"/>
    <cellStyle name="level1a 3 3 2 3 3 2 2 2" xfId="2988"/>
    <cellStyle name="level1a 3 3 2 3 3 2 2 2 2" xfId="27395"/>
    <cellStyle name="level1a 3 3 2 3 3 2 2 3" xfId="27396"/>
    <cellStyle name="level1a 3 3 2 3 3 2 3" xfId="2989"/>
    <cellStyle name="level1a 3 3 2 3 3 2 3 2" xfId="27397"/>
    <cellStyle name="level1a 3 3 2 3 3 2 4" xfId="27398"/>
    <cellStyle name="level1a 3 3 2 3 3 3" xfId="2990"/>
    <cellStyle name="level1a 3 3 2 3 3 3 2" xfId="2991"/>
    <cellStyle name="level1a 3 3 2 3 3 3 2 2" xfId="2992"/>
    <cellStyle name="level1a 3 3 2 3 3 3 2 2 2" xfId="27399"/>
    <cellStyle name="level1a 3 3 2 3 3 3 2 3" xfId="27400"/>
    <cellStyle name="level1a 3 3 2 3 3 3 3" xfId="2993"/>
    <cellStyle name="level1a 3 3 2 3 3 3 3 2" xfId="27401"/>
    <cellStyle name="level1a 3 3 2 3 3 3 4" xfId="27402"/>
    <cellStyle name="level1a 3 3 2 3 3 4" xfId="2994"/>
    <cellStyle name="level1a 3 3 2 3 3 4 2" xfId="2995"/>
    <cellStyle name="level1a 3 3 2 3 3 4 2 2" xfId="27403"/>
    <cellStyle name="level1a 3 3 2 3 3 4 3" xfId="27404"/>
    <cellStyle name="level1a 3 3 2 3 3 5" xfId="27405"/>
    <cellStyle name="level1a 3 3 2 3 4" xfId="2996"/>
    <cellStyle name="level1a 3 3 2 3 4 2" xfId="2997"/>
    <cellStyle name="level1a 3 3 2 3 4 2 2" xfId="2998"/>
    <cellStyle name="level1a 3 3 2 3 4 2 2 2" xfId="2999"/>
    <cellStyle name="level1a 3 3 2 3 4 2 2 2 2" xfId="27406"/>
    <cellStyle name="level1a 3 3 2 3 4 2 2 3" xfId="27407"/>
    <cellStyle name="level1a 3 3 2 3 4 2 3" xfId="3000"/>
    <cellStyle name="level1a 3 3 2 3 4 2 3 2" xfId="27408"/>
    <cellStyle name="level1a 3 3 2 3 4 2 4" xfId="27409"/>
    <cellStyle name="level1a 3 3 2 3 4 3" xfId="3001"/>
    <cellStyle name="level1a 3 3 2 3 4 3 2" xfId="3002"/>
    <cellStyle name="level1a 3 3 2 3 4 3 2 2" xfId="3003"/>
    <cellStyle name="level1a 3 3 2 3 4 3 2 2 2" xfId="27410"/>
    <cellStyle name="level1a 3 3 2 3 4 3 2 3" xfId="27411"/>
    <cellStyle name="level1a 3 3 2 3 4 3 3" xfId="3004"/>
    <cellStyle name="level1a 3 3 2 3 4 3 3 2" xfId="27412"/>
    <cellStyle name="level1a 3 3 2 3 4 3 4" xfId="27413"/>
    <cellStyle name="level1a 3 3 2 3 4 4" xfId="3005"/>
    <cellStyle name="level1a 3 3 2 3 4 4 2" xfId="3006"/>
    <cellStyle name="level1a 3 3 2 3 4 4 2 2" xfId="27414"/>
    <cellStyle name="level1a 3 3 2 3 4 4 3" xfId="27415"/>
    <cellStyle name="level1a 3 3 2 3 4 5" xfId="3007"/>
    <cellStyle name="level1a 3 3 2 3 4 5 2" xfId="27416"/>
    <cellStyle name="level1a 3 3 2 3 4 6" xfId="27417"/>
    <cellStyle name="level1a 3 3 2 3 5" xfId="3008"/>
    <cellStyle name="level1a 3 3 2 3 5 2" xfId="3009"/>
    <cellStyle name="level1a 3 3 2 3 5 2 2" xfId="3010"/>
    <cellStyle name="level1a 3 3 2 3 5 2 2 2" xfId="3011"/>
    <cellStyle name="level1a 3 3 2 3 5 2 2 2 2" xfId="27418"/>
    <cellStyle name="level1a 3 3 2 3 5 2 2 3" xfId="27419"/>
    <cellStyle name="level1a 3 3 2 3 5 2 3" xfId="3012"/>
    <cellStyle name="level1a 3 3 2 3 5 2 3 2" xfId="27420"/>
    <cellStyle name="level1a 3 3 2 3 5 2 4" xfId="27421"/>
    <cellStyle name="level1a 3 3 2 3 5 3" xfId="3013"/>
    <cellStyle name="level1a 3 3 2 3 5 3 2" xfId="3014"/>
    <cellStyle name="level1a 3 3 2 3 5 3 2 2" xfId="3015"/>
    <cellStyle name="level1a 3 3 2 3 5 3 2 2 2" xfId="27422"/>
    <cellStyle name="level1a 3 3 2 3 5 3 2 3" xfId="27423"/>
    <cellStyle name="level1a 3 3 2 3 5 3 3" xfId="3016"/>
    <cellStyle name="level1a 3 3 2 3 5 3 3 2" xfId="27424"/>
    <cellStyle name="level1a 3 3 2 3 5 3 4" xfId="27425"/>
    <cellStyle name="level1a 3 3 2 3 5 4" xfId="3017"/>
    <cellStyle name="level1a 3 3 2 3 5 4 2" xfId="3018"/>
    <cellStyle name="level1a 3 3 2 3 5 4 2 2" xfId="27426"/>
    <cellStyle name="level1a 3 3 2 3 5 4 3" xfId="27427"/>
    <cellStyle name="level1a 3 3 2 3 5 5" xfId="3019"/>
    <cellStyle name="level1a 3 3 2 3 5 5 2" xfId="27428"/>
    <cellStyle name="level1a 3 3 2 3 5 6" xfId="27429"/>
    <cellStyle name="level1a 3 3 2 3 6" xfId="3020"/>
    <cellStyle name="level1a 3 3 2 3 6 2" xfId="3021"/>
    <cellStyle name="level1a 3 3 2 3 6 2 2" xfId="3022"/>
    <cellStyle name="level1a 3 3 2 3 6 2 2 2" xfId="3023"/>
    <cellStyle name="level1a 3 3 2 3 6 2 2 2 2" xfId="27430"/>
    <cellStyle name="level1a 3 3 2 3 6 2 2 3" xfId="27431"/>
    <cellStyle name="level1a 3 3 2 3 6 2 3" xfId="3024"/>
    <cellStyle name="level1a 3 3 2 3 6 2 3 2" xfId="27432"/>
    <cellStyle name="level1a 3 3 2 3 6 2 4" xfId="27433"/>
    <cellStyle name="level1a 3 3 2 3 6 3" xfId="3025"/>
    <cellStyle name="level1a 3 3 2 3 6 3 2" xfId="3026"/>
    <cellStyle name="level1a 3 3 2 3 6 3 2 2" xfId="3027"/>
    <cellStyle name="level1a 3 3 2 3 6 3 2 2 2" xfId="27434"/>
    <cellStyle name="level1a 3 3 2 3 6 3 2 3" xfId="27435"/>
    <cellStyle name="level1a 3 3 2 3 6 3 3" xfId="3028"/>
    <cellStyle name="level1a 3 3 2 3 6 3 3 2" xfId="27436"/>
    <cellStyle name="level1a 3 3 2 3 6 3 4" xfId="27437"/>
    <cellStyle name="level1a 3 3 2 3 6 4" xfId="3029"/>
    <cellStyle name="level1a 3 3 2 3 6 4 2" xfId="3030"/>
    <cellStyle name="level1a 3 3 2 3 6 4 2 2" xfId="27438"/>
    <cellStyle name="level1a 3 3 2 3 6 4 3" xfId="27439"/>
    <cellStyle name="level1a 3 3 2 3 6 5" xfId="3031"/>
    <cellStyle name="level1a 3 3 2 3 6 5 2" xfId="27440"/>
    <cellStyle name="level1a 3 3 2 3 6 6" xfId="27441"/>
    <cellStyle name="level1a 3 3 2 3 7" xfId="3032"/>
    <cellStyle name="level1a 3 3 2 3 7 2" xfId="3033"/>
    <cellStyle name="level1a 3 3 2 3 7 2 2" xfId="3034"/>
    <cellStyle name="level1a 3 3 2 3 7 2 2 2" xfId="27442"/>
    <cellStyle name="level1a 3 3 2 3 7 2 3" xfId="27443"/>
    <cellStyle name="level1a 3 3 2 3 7 3" xfId="3035"/>
    <cellStyle name="level1a 3 3 2 3 7 3 2" xfId="27444"/>
    <cellStyle name="level1a 3 3 2 3 7 4" xfId="27445"/>
    <cellStyle name="level1a 3 3 2 3 8" xfId="3036"/>
    <cellStyle name="level1a 3 3 2 3 8 2" xfId="3037"/>
    <cellStyle name="level1a 3 3 2 3 8 2 2" xfId="3038"/>
    <cellStyle name="level1a 3 3 2 3 8 2 2 2" xfId="27446"/>
    <cellStyle name="level1a 3 3 2 3 8 2 3" xfId="27447"/>
    <cellStyle name="level1a 3 3 2 3 8 3" xfId="3039"/>
    <cellStyle name="level1a 3 3 2 3 8 3 2" xfId="27448"/>
    <cellStyle name="level1a 3 3 2 3 8 4" xfId="27449"/>
    <cellStyle name="level1a 3 3 2 3 9" xfId="27450"/>
    <cellStyle name="level1a 3 3 2 3_STUD aligned by INSTIT" xfId="3040"/>
    <cellStyle name="level1a 3 3 2 4" xfId="3041"/>
    <cellStyle name="level1a 3 3 2 4 2" xfId="3042"/>
    <cellStyle name="level1a 3 3 2 4 2 2" xfId="3043"/>
    <cellStyle name="level1a 3 3 2 4 2 2 2" xfId="3044"/>
    <cellStyle name="level1a 3 3 2 4 2 2 2 2" xfId="27451"/>
    <cellStyle name="level1a 3 3 2 4 2 2 3" xfId="27452"/>
    <cellStyle name="level1a 3 3 2 4 2 3" xfId="3045"/>
    <cellStyle name="level1a 3 3 2 4 2 3 2" xfId="27453"/>
    <cellStyle name="level1a 3 3 2 4 2 4" xfId="27454"/>
    <cellStyle name="level1a 3 3 2 4 3" xfId="3046"/>
    <cellStyle name="level1a 3 3 2 4 3 2" xfId="3047"/>
    <cellStyle name="level1a 3 3 2 4 3 2 2" xfId="3048"/>
    <cellStyle name="level1a 3 3 2 4 3 2 2 2" xfId="27455"/>
    <cellStyle name="level1a 3 3 2 4 3 2 3" xfId="27456"/>
    <cellStyle name="level1a 3 3 2 4 3 3" xfId="3049"/>
    <cellStyle name="level1a 3 3 2 4 3 3 2" xfId="27457"/>
    <cellStyle name="level1a 3 3 2 4 3 4" xfId="27458"/>
    <cellStyle name="level1a 3 3 2 4 4" xfId="3050"/>
    <cellStyle name="level1a 3 3 2 4 4 2" xfId="27459"/>
    <cellStyle name="level1a 3 3 2 4 5" xfId="3051"/>
    <cellStyle name="level1a 3 3 2 4 5 2" xfId="3052"/>
    <cellStyle name="level1a 3 3 2 4 5 2 2" xfId="27460"/>
    <cellStyle name="level1a 3 3 2 4 5 3" xfId="27461"/>
    <cellStyle name="level1a 3 3 2 4 6" xfId="27462"/>
    <cellStyle name="level1a 3 3 2 5" xfId="3053"/>
    <cellStyle name="level1a 3 3 2 5 2" xfId="3054"/>
    <cellStyle name="level1a 3 3 2 5 2 2" xfId="3055"/>
    <cellStyle name="level1a 3 3 2 5 2 2 2" xfId="3056"/>
    <cellStyle name="level1a 3 3 2 5 2 2 2 2" xfId="27463"/>
    <cellStyle name="level1a 3 3 2 5 2 2 3" xfId="27464"/>
    <cellStyle name="level1a 3 3 2 5 2 3" xfId="3057"/>
    <cellStyle name="level1a 3 3 2 5 2 3 2" xfId="27465"/>
    <cellStyle name="level1a 3 3 2 5 2 4" xfId="27466"/>
    <cellStyle name="level1a 3 3 2 5 3" xfId="3058"/>
    <cellStyle name="level1a 3 3 2 5 3 2" xfId="3059"/>
    <cellStyle name="level1a 3 3 2 5 3 2 2" xfId="3060"/>
    <cellStyle name="level1a 3 3 2 5 3 2 2 2" xfId="27467"/>
    <cellStyle name="level1a 3 3 2 5 3 2 3" xfId="27468"/>
    <cellStyle name="level1a 3 3 2 5 3 3" xfId="3061"/>
    <cellStyle name="level1a 3 3 2 5 3 3 2" xfId="27469"/>
    <cellStyle name="level1a 3 3 2 5 3 4" xfId="27470"/>
    <cellStyle name="level1a 3 3 2 5 4" xfId="3062"/>
    <cellStyle name="level1a 3 3 2 5 4 2" xfId="27471"/>
    <cellStyle name="level1a 3 3 2 5 5" xfId="3063"/>
    <cellStyle name="level1a 3 3 2 5 5 2" xfId="3064"/>
    <cellStyle name="level1a 3 3 2 5 5 2 2" xfId="27472"/>
    <cellStyle name="level1a 3 3 2 5 5 3" xfId="27473"/>
    <cellStyle name="level1a 3 3 2 5 6" xfId="3065"/>
    <cellStyle name="level1a 3 3 2 5 6 2" xfId="27474"/>
    <cellStyle name="level1a 3 3 2 5 7" xfId="27475"/>
    <cellStyle name="level1a 3 3 2 6" xfId="3066"/>
    <cellStyle name="level1a 3 3 2 6 2" xfId="3067"/>
    <cellStyle name="level1a 3 3 2 6 2 2" xfId="3068"/>
    <cellStyle name="level1a 3 3 2 6 2 2 2" xfId="3069"/>
    <cellStyle name="level1a 3 3 2 6 2 2 2 2" xfId="27476"/>
    <cellStyle name="level1a 3 3 2 6 2 2 3" xfId="27477"/>
    <cellStyle name="level1a 3 3 2 6 2 3" xfId="3070"/>
    <cellStyle name="level1a 3 3 2 6 2 3 2" xfId="27478"/>
    <cellStyle name="level1a 3 3 2 6 2 4" xfId="27479"/>
    <cellStyle name="level1a 3 3 2 6 3" xfId="3071"/>
    <cellStyle name="level1a 3 3 2 6 3 2" xfId="3072"/>
    <cellStyle name="level1a 3 3 2 6 3 2 2" xfId="3073"/>
    <cellStyle name="level1a 3 3 2 6 3 2 2 2" xfId="27480"/>
    <cellStyle name="level1a 3 3 2 6 3 2 3" xfId="27481"/>
    <cellStyle name="level1a 3 3 2 6 3 3" xfId="3074"/>
    <cellStyle name="level1a 3 3 2 6 3 3 2" xfId="27482"/>
    <cellStyle name="level1a 3 3 2 6 3 4" xfId="27483"/>
    <cellStyle name="level1a 3 3 2 6 4" xfId="3075"/>
    <cellStyle name="level1a 3 3 2 6 4 2" xfId="27484"/>
    <cellStyle name="level1a 3 3 2 6 5" xfId="3076"/>
    <cellStyle name="level1a 3 3 2 6 5 2" xfId="27485"/>
    <cellStyle name="level1a 3 3 2 6 6" xfId="27486"/>
    <cellStyle name="level1a 3 3 2 7" xfId="3077"/>
    <cellStyle name="level1a 3 3 2 7 2" xfId="3078"/>
    <cellStyle name="level1a 3 3 2 7 2 2" xfId="3079"/>
    <cellStyle name="level1a 3 3 2 7 2 2 2" xfId="3080"/>
    <cellStyle name="level1a 3 3 2 7 2 2 2 2" xfId="27487"/>
    <cellStyle name="level1a 3 3 2 7 2 2 3" xfId="27488"/>
    <cellStyle name="level1a 3 3 2 7 2 3" xfId="3081"/>
    <cellStyle name="level1a 3 3 2 7 2 3 2" xfId="27489"/>
    <cellStyle name="level1a 3 3 2 7 2 4" xfId="27490"/>
    <cellStyle name="level1a 3 3 2 7 3" xfId="3082"/>
    <cellStyle name="level1a 3 3 2 7 3 2" xfId="3083"/>
    <cellStyle name="level1a 3 3 2 7 3 2 2" xfId="3084"/>
    <cellStyle name="level1a 3 3 2 7 3 2 2 2" xfId="27491"/>
    <cellStyle name="level1a 3 3 2 7 3 2 3" xfId="27492"/>
    <cellStyle name="level1a 3 3 2 7 3 3" xfId="3085"/>
    <cellStyle name="level1a 3 3 2 7 3 3 2" xfId="27493"/>
    <cellStyle name="level1a 3 3 2 7 3 4" xfId="27494"/>
    <cellStyle name="level1a 3 3 2 7 4" xfId="3086"/>
    <cellStyle name="level1a 3 3 2 7 4 2" xfId="27495"/>
    <cellStyle name="level1a 3 3 2 7 5" xfId="3087"/>
    <cellStyle name="level1a 3 3 2 7 5 2" xfId="3088"/>
    <cellStyle name="level1a 3 3 2 7 5 2 2" xfId="27496"/>
    <cellStyle name="level1a 3 3 2 7 5 3" xfId="27497"/>
    <cellStyle name="level1a 3 3 2 7 6" xfId="3089"/>
    <cellStyle name="level1a 3 3 2 7 6 2" xfId="27498"/>
    <cellStyle name="level1a 3 3 2 7 7" xfId="27499"/>
    <cellStyle name="level1a 3 3 2 8" xfId="3090"/>
    <cellStyle name="level1a 3 3 2 8 2" xfId="3091"/>
    <cellStyle name="level1a 3 3 2 8 2 2" xfId="3092"/>
    <cellStyle name="level1a 3 3 2 8 2 2 2" xfId="3093"/>
    <cellStyle name="level1a 3 3 2 8 2 2 2 2" xfId="27500"/>
    <cellStyle name="level1a 3 3 2 8 2 2 3" xfId="27501"/>
    <cellStyle name="level1a 3 3 2 8 2 3" xfId="3094"/>
    <cellStyle name="level1a 3 3 2 8 2 3 2" xfId="27502"/>
    <cellStyle name="level1a 3 3 2 8 2 4" xfId="27503"/>
    <cellStyle name="level1a 3 3 2 8 3" xfId="3095"/>
    <cellStyle name="level1a 3 3 2 8 3 2" xfId="3096"/>
    <cellStyle name="level1a 3 3 2 8 3 2 2" xfId="3097"/>
    <cellStyle name="level1a 3 3 2 8 3 2 2 2" xfId="27504"/>
    <cellStyle name="level1a 3 3 2 8 3 2 3" xfId="27505"/>
    <cellStyle name="level1a 3 3 2 8 3 3" xfId="3098"/>
    <cellStyle name="level1a 3 3 2 8 3 3 2" xfId="27506"/>
    <cellStyle name="level1a 3 3 2 8 3 4" xfId="27507"/>
    <cellStyle name="level1a 3 3 2 8 4" xfId="3099"/>
    <cellStyle name="level1a 3 3 2 8 4 2" xfId="3100"/>
    <cellStyle name="level1a 3 3 2 8 4 2 2" xfId="27508"/>
    <cellStyle name="level1a 3 3 2 8 4 3" xfId="27509"/>
    <cellStyle name="level1a 3 3 2 8 5" xfId="3101"/>
    <cellStyle name="level1a 3 3 2 8 5 2" xfId="27510"/>
    <cellStyle name="level1a 3 3 2 8 6" xfId="27511"/>
    <cellStyle name="level1a 3 3 2 9" xfId="3102"/>
    <cellStyle name="level1a 3 3 2 9 2" xfId="3103"/>
    <cellStyle name="level1a 3 3 2 9 2 2" xfId="3104"/>
    <cellStyle name="level1a 3 3 2 9 2 2 2" xfId="27512"/>
    <cellStyle name="level1a 3 3 2 9 2 3" xfId="27513"/>
    <cellStyle name="level1a 3 3 2 9 3" xfId="3105"/>
    <cellStyle name="level1a 3 3 2 9 3 2" xfId="27514"/>
    <cellStyle name="level1a 3 3 2 9 4" xfId="27515"/>
    <cellStyle name="level1a 3 3 2_STUD aligned by INSTIT" xfId="3106"/>
    <cellStyle name="level1a 3 3 3" xfId="3107"/>
    <cellStyle name="level1a 3 3 3 2" xfId="3108"/>
    <cellStyle name="level1a 3 3 3 2 2" xfId="3109"/>
    <cellStyle name="level1a 3 3 3 2 2 2" xfId="3110"/>
    <cellStyle name="level1a 3 3 3 2 2 2 2" xfId="3111"/>
    <cellStyle name="level1a 3 3 3 2 2 2 2 2" xfId="27516"/>
    <cellStyle name="level1a 3 3 3 2 2 2 3" xfId="27517"/>
    <cellStyle name="level1a 3 3 3 2 2 3" xfId="3112"/>
    <cellStyle name="level1a 3 3 3 2 2 3 2" xfId="27518"/>
    <cellStyle name="level1a 3 3 3 2 2 4" xfId="27519"/>
    <cellStyle name="level1a 3 3 3 2 3" xfId="3113"/>
    <cellStyle name="level1a 3 3 3 2 3 2" xfId="3114"/>
    <cellStyle name="level1a 3 3 3 2 3 2 2" xfId="3115"/>
    <cellStyle name="level1a 3 3 3 2 3 2 2 2" xfId="27520"/>
    <cellStyle name="level1a 3 3 3 2 3 2 3" xfId="27521"/>
    <cellStyle name="level1a 3 3 3 2 3 3" xfId="3116"/>
    <cellStyle name="level1a 3 3 3 2 3 3 2" xfId="27522"/>
    <cellStyle name="level1a 3 3 3 2 3 4" xfId="27523"/>
    <cellStyle name="level1a 3 3 3 2 4" xfId="3117"/>
    <cellStyle name="level1a 3 3 3 2 4 2" xfId="27524"/>
    <cellStyle name="level1a 3 3 3 2 5" xfId="3118"/>
    <cellStyle name="level1a 3 3 3 2 5 2" xfId="3119"/>
    <cellStyle name="level1a 3 3 3 2 5 2 2" xfId="27525"/>
    <cellStyle name="level1a 3 3 3 2 5 3" xfId="27526"/>
    <cellStyle name="level1a 3 3 3 2 6" xfId="27527"/>
    <cellStyle name="level1a 3 3 3 3" xfId="3120"/>
    <cellStyle name="level1a 3 3 3 3 2" xfId="3121"/>
    <cellStyle name="level1a 3 3 3 3 2 2" xfId="3122"/>
    <cellStyle name="level1a 3 3 3 3 2 2 2" xfId="3123"/>
    <cellStyle name="level1a 3 3 3 3 2 2 2 2" xfId="27528"/>
    <cellStyle name="level1a 3 3 3 3 2 2 3" xfId="27529"/>
    <cellStyle name="level1a 3 3 3 3 2 3" xfId="3124"/>
    <cellStyle name="level1a 3 3 3 3 2 3 2" xfId="27530"/>
    <cellStyle name="level1a 3 3 3 3 2 4" xfId="27531"/>
    <cellStyle name="level1a 3 3 3 3 3" xfId="3125"/>
    <cellStyle name="level1a 3 3 3 3 3 2" xfId="3126"/>
    <cellStyle name="level1a 3 3 3 3 3 2 2" xfId="3127"/>
    <cellStyle name="level1a 3 3 3 3 3 2 2 2" xfId="27532"/>
    <cellStyle name="level1a 3 3 3 3 3 2 3" xfId="27533"/>
    <cellStyle name="level1a 3 3 3 3 3 3" xfId="3128"/>
    <cellStyle name="level1a 3 3 3 3 3 3 2" xfId="27534"/>
    <cellStyle name="level1a 3 3 3 3 3 4" xfId="27535"/>
    <cellStyle name="level1a 3 3 3 3 4" xfId="3129"/>
    <cellStyle name="level1a 3 3 3 3 4 2" xfId="27536"/>
    <cellStyle name="level1a 3 3 3 3 5" xfId="3130"/>
    <cellStyle name="level1a 3 3 3 3 5 2" xfId="27537"/>
    <cellStyle name="level1a 3 3 3 3 6" xfId="27538"/>
    <cellStyle name="level1a 3 3 3 4" xfId="3131"/>
    <cellStyle name="level1a 3 3 3 4 2" xfId="3132"/>
    <cellStyle name="level1a 3 3 3 4 2 2" xfId="3133"/>
    <cellStyle name="level1a 3 3 3 4 2 2 2" xfId="3134"/>
    <cellStyle name="level1a 3 3 3 4 2 2 2 2" xfId="27539"/>
    <cellStyle name="level1a 3 3 3 4 2 2 3" xfId="27540"/>
    <cellStyle name="level1a 3 3 3 4 2 3" xfId="3135"/>
    <cellStyle name="level1a 3 3 3 4 2 3 2" xfId="27541"/>
    <cellStyle name="level1a 3 3 3 4 2 4" xfId="27542"/>
    <cellStyle name="level1a 3 3 3 4 3" xfId="3136"/>
    <cellStyle name="level1a 3 3 3 4 3 2" xfId="3137"/>
    <cellStyle name="level1a 3 3 3 4 3 2 2" xfId="3138"/>
    <cellStyle name="level1a 3 3 3 4 3 2 2 2" xfId="27543"/>
    <cellStyle name="level1a 3 3 3 4 3 2 3" xfId="27544"/>
    <cellStyle name="level1a 3 3 3 4 3 3" xfId="3139"/>
    <cellStyle name="level1a 3 3 3 4 3 3 2" xfId="27545"/>
    <cellStyle name="level1a 3 3 3 4 3 4" xfId="27546"/>
    <cellStyle name="level1a 3 3 3 4 4" xfId="3140"/>
    <cellStyle name="level1a 3 3 3 4 4 2" xfId="27547"/>
    <cellStyle name="level1a 3 3 3 4 5" xfId="3141"/>
    <cellStyle name="level1a 3 3 3 4 5 2" xfId="3142"/>
    <cellStyle name="level1a 3 3 3 4 5 2 2" xfId="27548"/>
    <cellStyle name="level1a 3 3 3 4 5 3" xfId="27549"/>
    <cellStyle name="level1a 3 3 3 4 6" xfId="3143"/>
    <cellStyle name="level1a 3 3 3 4 6 2" xfId="27550"/>
    <cellStyle name="level1a 3 3 3 4 7" xfId="27551"/>
    <cellStyle name="level1a 3 3 3 5" xfId="3144"/>
    <cellStyle name="level1a 3 3 3 5 2" xfId="3145"/>
    <cellStyle name="level1a 3 3 3 5 2 2" xfId="3146"/>
    <cellStyle name="level1a 3 3 3 5 2 2 2" xfId="3147"/>
    <cellStyle name="level1a 3 3 3 5 2 2 2 2" xfId="27552"/>
    <cellStyle name="level1a 3 3 3 5 2 2 3" xfId="27553"/>
    <cellStyle name="level1a 3 3 3 5 2 3" xfId="3148"/>
    <cellStyle name="level1a 3 3 3 5 2 3 2" xfId="27554"/>
    <cellStyle name="level1a 3 3 3 5 2 4" xfId="27555"/>
    <cellStyle name="level1a 3 3 3 5 3" xfId="3149"/>
    <cellStyle name="level1a 3 3 3 5 3 2" xfId="3150"/>
    <cellStyle name="level1a 3 3 3 5 3 2 2" xfId="3151"/>
    <cellStyle name="level1a 3 3 3 5 3 2 2 2" xfId="27556"/>
    <cellStyle name="level1a 3 3 3 5 3 2 3" xfId="27557"/>
    <cellStyle name="level1a 3 3 3 5 3 3" xfId="3152"/>
    <cellStyle name="level1a 3 3 3 5 3 3 2" xfId="27558"/>
    <cellStyle name="level1a 3 3 3 5 3 4" xfId="27559"/>
    <cellStyle name="level1a 3 3 3 5 4" xfId="3153"/>
    <cellStyle name="level1a 3 3 3 5 4 2" xfId="3154"/>
    <cellStyle name="level1a 3 3 3 5 4 2 2" xfId="27560"/>
    <cellStyle name="level1a 3 3 3 5 4 3" xfId="27561"/>
    <cellStyle name="level1a 3 3 3 5 5" xfId="3155"/>
    <cellStyle name="level1a 3 3 3 5 5 2" xfId="27562"/>
    <cellStyle name="level1a 3 3 3 5 6" xfId="27563"/>
    <cellStyle name="level1a 3 3 3 6" xfId="3156"/>
    <cellStyle name="level1a 3 3 3 6 2" xfId="3157"/>
    <cellStyle name="level1a 3 3 3 6 2 2" xfId="3158"/>
    <cellStyle name="level1a 3 3 3 6 2 2 2" xfId="3159"/>
    <cellStyle name="level1a 3 3 3 6 2 2 2 2" xfId="27564"/>
    <cellStyle name="level1a 3 3 3 6 2 2 3" xfId="27565"/>
    <cellStyle name="level1a 3 3 3 6 2 3" xfId="3160"/>
    <cellStyle name="level1a 3 3 3 6 2 3 2" xfId="27566"/>
    <cellStyle name="level1a 3 3 3 6 2 4" xfId="27567"/>
    <cellStyle name="level1a 3 3 3 6 3" xfId="3161"/>
    <cellStyle name="level1a 3 3 3 6 3 2" xfId="3162"/>
    <cellStyle name="level1a 3 3 3 6 3 2 2" xfId="3163"/>
    <cellStyle name="level1a 3 3 3 6 3 2 2 2" xfId="27568"/>
    <cellStyle name="level1a 3 3 3 6 3 2 3" xfId="27569"/>
    <cellStyle name="level1a 3 3 3 6 3 3" xfId="3164"/>
    <cellStyle name="level1a 3 3 3 6 3 3 2" xfId="27570"/>
    <cellStyle name="level1a 3 3 3 6 3 4" xfId="27571"/>
    <cellStyle name="level1a 3 3 3 6 4" xfId="3165"/>
    <cellStyle name="level1a 3 3 3 6 4 2" xfId="3166"/>
    <cellStyle name="level1a 3 3 3 6 4 2 2" xfId="27572"/>
    <cellStyle name="level1a 3 3 3 6 4 3" xfId="27573"/>
    <cellStyle name="level1a 3 3 3 6 5" xfId="3167"/>
    <cellStyle name="level1a 3 3 3 6 5 2" xfId="27574"/>
    <cellStyle name="level1a 3 3 3 6 6" xfId="27575"/>
    <cellStyle name="level1a 3 3 3 7" xfId="3168"/>
    <cellStyle name="level1a 3 3 3 7 2" xfId="3169"/>
    <cellStyle name="level1a 3 3 3 7 2 2" xfId="3170"/>
    <cellStyle name="level1a 3 3 3 7 2 2 2" xfId="27576"/>
    <cellStyle name="level1a 3 3 3 7 2 3" xfId="27577"/>
    <cellStyle name="level1a 3 3 3 7 3" xfId="3171"/>
    <cellStyle name="level1a 3 3 3 7 3 2" xfId="27578"/>
    <cellStyle name="level1a 3 3 3 7 4" xfId="27579"/>
    <cellStyle name="level1a 3 3 3 8" xfId="27580"/>
    <cellStyle name="level1a 3 3 3_STUD aligned by INSTIT" xfId="3172"/>
    <cellStyle name="level1a 3 3 4" xfId="3173"/>
    <cellStyle name="level1a 3 3 4 2" xfId="3174"/>
    <cellStyle name="level1a 3 3 4 2 2" xfId="3175"/>
    <cellStyle name="level1a 3 3 4 2 2 2" xfId="3176"/>
    <cellStyle name="level1a 3 3 4 2 2 2 2" xfId="3177"/>
    <cellStyle name="level1a 3 3 4 2 2 2 2 2" xfId="27581"/>
    <cellStyle name="level1a 3 3 4 2 2 2 3" xfId="27582"/>
    <cellStyle name="level1a 3 3 4 2 2 3" xfId="3178"/>
    <cellStyle name="level1a 3 3 4 2 2 3 2" xfId="27583"/>
    <cellStyle name="level1a 3 3 4 2 2 4" xfId="27584"/>
    <cellStyle name="level1a 3 3 4 2 3" xfId="3179"/>
    <cellStyle name="level1a 3 3 4 2 3 2" xfId="3180"/>
    <cellStyle name="level1a 3 3 4 2 3 2 2" xfId="3181"/>
    <cellStyle name="level1a 3 3 4 2 3 2 2 2" xfId="27585"/>
    <cellStyle name="level1a 3 3 4 2 3 2 3" xfId="27586"/>
    <cellStyle name="level1a 3 3 4 2 3 3" xfId="3182"/>
    <cellStyle name="level1a 3 3 4 2 3 3 2" xfId="27587"/>
    <cellStyle name="level1a 3 3 4 2 3 4" xfId="27588"/>
    <cellStyle name="level1a 3 3 4 2 4" xfId="3183"/>
    <cellStyle name="level1a 3 3 4 2 4 2" xfId="27589"/>
    <cellStyle name="level1a 3 3 4 2 5" xfId="3184"/>
    <cellStyle name="level1a 3 3 4 2 5 2" xfId="3185"/>
    <cellStyle name="level1a 3 3 4 2 5 2 2" xfId="27590"/>
    <cellStyle name="level1a 3 3 4 2 5 3" xfId="27591"/>
    <cellStyle name="level1a 3 3 4 2 6" xfId="3186"/>
    <cellStyle name="level1a 3 3 4 2 6 2" xfId="27592"/>
    <cellStyle name="level1a 3 3 4 2 7" xfId="27593"/>
    <cellStyle name="level1a 3 3 4 3" xfId="3187"/>
    <cellStyle name="level1a 3 3 4 3 2" xfId="3188"/>
    <cellStyle name="level1a 3 3 4 3 2 2" xfId="3189"/>
    <cellStyle name="level1a 3 3 4 3 2 2 2" xfId="3190"/>
    <cellStyle name="level1a 3 3 4 3 2 2 2 2" xfId="27594"/>
    <cellStyle name="level1a 3 3 4 3 2 2 3" xfId="27595"/>
    <cellStyle name="level1a 3 3 4 3 2 3" xfId="3191"/>
    <cellStyle name="level1a 3 3 4 3 2 3 2" xfId="27596"/>
    <cellStyle name="level1a 3 3 4 3 2 4" xfId="27597"/>
    <cellStyle name="level1a 3 3 4 3 3" xfId="3192"/>
    <cellStyle name="level1a 3 3 4 3 3 2" xfId="3193"/>
    <cellStyle name="level1a 3 3 4 3 3 2 2" xfId="3194"/>
    <cellStyle name="level1a 3 3 4 3 3 2 2 2" xfId="27598"/>
    <cellStyle name="level1a 3 3 4 3 3 2 3" xfId="27599"/>
    <cellStyle name="level1a 3 3 4 3 3 3" xfId="3195"/>
    <cellStyle name="level1a 3 3 4 3 3 3 2" xfId="27600"/>
    <cellStyle name="level1a 3 3 4 3 3 4" xfId="27601"/>
    <cellStyle name="level1a 3 3 4 3 4" xfId="3196"/>
    <cellStyle name="level1a 3 3 4 3 4 2" xfId="27602"/>
    <cellStyle name="level1a 3 3 4 3 5" xfId="27603"/>
    <cellStyle name="level1a 3 3 4 4" xfId="3197"/>
    <cellStyle name="level1a 3 3 4 4 2" xfId="3198"/>
    <cellStyle name="level1a 3 3 4 4 2 2" xfId="3199"/>
    <cellStyle name="level1a 3 3 4 4 2 2 2" xfId="3200"/>
    <cellStyle name="level1a 3 3 4 4 2 2 2 2" xfId="27604"/>
    <cellStyle name="level1a 3 3 4 4 2 2 3" xfId="27605"/>
    <cellStyle name="level1a 3 3 4 4 2 3" xfId="3201"/>
    <cellStyle name="level1a 3 3 4 4 2 3 2" xfId="27606"/>
    <cellStyle name="level1a 3 3 4 4 2 4" xfId="27607"/>
    <cellStyle name="level1a 3 3 4 4 3" xfId="3202"/>
    <cellStyle name="level1a 3 3 4 4 3 2" xfId="3203"/>
    <cellStyle name="level1a 3 3 4 4 3 2 2" xfId="3204"/>
    <cellStyle name="level1a 3 3 4 4 3 2 2 2" xfId="27608"/>
    <cellStyle name="level1a 3 3 4 4 3 2 3" xfId="27609"/>
    <cellStyle name="level1a 3 3 4 4 3 3" xfId="3205"/>
    <cellStyle name="level1a 3 3 4 4 3 3 2" xfId="27610"/>
    <cellStyle name="level1a 3 3 4 4 3 4" xfId="27611"/>
    <cellStyle name="level1a 3 3 4 4 4" xfId="3206"/>
    <cellStyle name="level1a 3 3 4 4 4 2" xfId="3207"/>
    <cellStyle name="level1a 3 3 4 4 4 2 2" xfId="27612"/>
    <cellStyle name="level1a 3 3 4 4 4 3" xfId="27613"/>
    <cellStyle name="level1a 3 3 4 4 5" xfId="3208"/>
    <cellStyle name="level1a 3 3 4 4 5 2" xfId="27614"/>
    <cellStyle name="level1a 3 3 4 4 6" xfId="27615"/>
    <cellStyle name="level1a 3 3 4 5" xfId="3209"/>
    <cellStyle name="level1a 3 3 4 5 2" xfId="3210"/>
    <cellStyle name="level1a 3 3 4 5 2 2" xfId="3211"/>
    <cellStyle name="level1a 3 3 4 5 2 2 2" xfId="3212"/>
    <cellStyle name="level1a 3 3 4 5 2 2 2 2" xfId="27616"/>
    <cellStyle name="level1a 3 3 4 5 2 2 3" xfId="27617"/>
    <cellStyle name="level1a 3 3 4 5 2 3" xfId="3213"/>
    <cellStyle name="level1a 3 3 4 5 2 3 2" xfId="27618"/>
    <cellStyle name="level1a 3 3 4 5 2 4" xfId="27619"/>
    <cellStyle name="level1a 3 3 4 5 3" xfId="3214"/>
    <cellStyle name="level1a 3 3 4 5 3 2" xfId="3215"/>
    <cellStyle name="level1a 3 3 4 5 3 2 2" xfId="3216"/>
    <cellStyle name="level1a 3 3 4 5 3 2 2 2" xfId="27620"/>
    <cellStyle name="level1a 3 3 4 5 3 2 3" xfId="27621"/>
    <cellStyle name="level1a 3 3 4 5 3 3" xfId="3217"/>
    <cellStyle name="level1a 3 3 4 5 3 3 2" xfId="27622"/>
    <cellStyle name="level1a 3 3 4 5 3 4" xfId="27623"/>
    <cellStyle name="level1a 3 3 4 5 4" xfId="3218"/>
    <cellStyle name="level1a 3 3 4 5 4 2" xfId="3219"/>
    <cellStyle name="level1a 3 3 4 5 4 2 2" xfId="27624"/>
    <cellStyle name="level1a 3 3 4 5 4 3" xfId="27625"/>
    <cellStyle name="level1a 3 3 4 5 5" xfId="3220"/>
    <cellStyle name="level1a 3 3 4 5 5 2" xfId="27626"/>
    <cellStyle name="level1a 3 3 4 5 6" xfId="27627"/>
    <cellStyle name="level1a 3 3 4 6" xfId="3221"/>
    <cellStyle name="level1a 3 3 4 6 2" xfId="3222"/>
    <cellStyle name="level1a 3 3 4 6 2 2" xfId="3223"/>
    <cellStyle name="level1a 3 3 4 6 2 2 2" xfId="3224"/>
    <cellStyle name="level1a 3 3 4 6 2 2 2 2" xfId="27628"/>
    <cellStyle name="level1a 3 3 4 6 2 2 3" xfId="27629"/>
    <cellStyle name="level1a 3 3 4 6 2 3" xfId="3225"/>
    <cellStyle name="level1a 3 3 4 6 2 3 2" xfId="27630"/>
    <cellStyle name="level1a 3 3 4 6 2 4" xfId="27631"/>
    <cellStyle name="level1a 3 3 4 6 3" xfId="3226"/>
    <cellStyle name="level1a 3 3 4 6 3 2" xfId="3227"/>
    <cellStyle name="level1a 3 3 4 6 3 2 2" xfId="3228"/>
    <cellStyle name="level1a 3 3 4 6 3 2 2 2" xfId="27632"/>
    <cellStyle name="level1a 3 3 4 6 3 2 3" xfId="27633"/>
    <cellStyle name="level1a 3 3 4 6 3 3" xfId="3229"/>
    <cellStyle name="level1a 3 3 4 6 3 3 2" xfId="27634"/>
    <cellStyle name="level1a 3 3 4 6 3 4" xfId="27635"/>
    <cellStyle name="level1a 3 3 4 6 4" xfId="3230"/>
    <cellStyle name="level1a 3 3 4 6 4 2" xfId="3231"/>
    <cellStyle name="level1a 3 3 4 6 4 2 2" xfId="27636"/>
    <cellStyle name="level1a 3 3 4 6 4 3" xfId="27637"/>
    <cellStyle name="level1a 3 3 4 6 5" xfId="3232"/>
    <cellStyle name="level1a 3 3 4 6 5 2" xfId="27638"/>
    <cellStyle name="level1a 3 3 4 6 6" xfId="27639"/>
    <cellStyle name="level1a 3 3 4 7" xfId="3233"/>
    <cellStyle name="level1a 3 3 4 7 2" xfId="3234"/>
    <cellStyle name="level1a 3 3 4 7 2 2" xfId="3235"/>
    <cellStyle name="level1a 3 3 4 7 2 2 2" xfId="27640"/>
    <cellStyle name="level1a 3 3 4 7 2 3" xfId="27641"/>
    <cellStyle name="level1a 3 3 4 7 3" xfId="3236"/>
    <cellStyle name="level1a 3 3 4 7 3 2" xfId="27642"/>
    <cellStyle name="level1a 3 3 4 7 4" xfId="27643"/>
    <cellStyle name="level1a 3 3 4 8" xfId="3237"/>
    <cellStyle name="level1a 3 3 4 8 2" xfId="3238"/>
    <cellStyle name="level1a 3 3 4 8 2 2" xfId="3239"/>
    <cellStyle name="level1a 3 3 4 8 2 2 2" xfId="27644"/>
    <cellStyle name="level1a 3 3 4 8 2 3" xfId="27645"/>
    <cellStyle name="level1a 3 3 4 8 3" xfId="3240"/>
    <cellStyle name="level1a 3 3 4 8 3 2" xfId="27646"/>
    <cellStyle name="level1a 3 3 4 8 4" xfId="27647"/>
    <cellStyle name="level1a 3 3 4 9" xfId="27648"/>
    <cellStyle name="level1a 3 3 4_STUD aligned by INSTIT" xfId="3241"/>
    <cellStyle name="level1a 3 3 5" xfId="3242"/>
    <cellStyle name="level1a 3 3 5 2" xfId="3243"/>
    <cellStyle name="level1a 3 3 5 2 2" xfId="3244"/>
    <cellStyle name="level1a 3 3 5 2 2 2" xfId="3245"/>
    <cellStyle name="level1a 3 3 5 2 2 2 2" xfId="27649"/>
    <cellStyle name="level1a 3 3 5 2 2 3" xfId="27650"/>
    <cellStyle name="level1a 3 3 5 2 3" xfId="3246"/>
    <cellStyle name="level1a 3 3 5 2 3 2" xfId="27651"/>
    <cellStyle name="level1a 3 3 5 2 4" xfId="27652"/>
    <cellStyle name="level1a 3 3 5 3" xfId="3247"/>
    <cellStyle name="level1a 3 3 5 3 2" xfId="3248"/>
    <cellStyle name="level1a 3 3 5 3 2 2" xfId="3249"/>
    <cellStyle name="level1a 3 3 5 3 2 2 2" xfId="27653"/>
    <cellStyle name="level1a 3 3 5 3 2 3" xfId="27654"/>
    <cellStyle name="level1a 3 3 5 3 3" xfId="3250"/>
    <cellStyle name="level1a 3 3 5 3 3 2" xfId="27655"/>
    <cellStyle name="level1a 3 3 5 3 4" xfId="27656"/>
    <cellStyle name="level1a 3 3 5 4" xfId="3251"/>
    <cellStyle name="level1a 3 3 5 4 2" xfId="27657"/>
    <cellStyle name="level1a 3 3 5 5" xfId="3252"/>
    <cellStyle name="level1a 3 3 5 5 2" xfId="3253"/>
    <cellStyle name="level1a 3 3 5 5 2 2" xfId="27658"/>
    <cellStyle name="level1a 3 3 5 5 3" xfId="27659"/>
    <cellStyle name="level1a 3 3 5 6" xfId="27660"/>
    <cellStyle name="level1a 3 3 6" xfId="3254"/>
    <cellStyle name="level1a 3 3 6 2" xfId="3255"/>
    <cellStyle name="level1a 3 3 6 2 2" xfId="3256"/>
    <cellStyle name="level1a 3 3 6 2 2 2" xfId="3257"/>
    <cellStyle name="level1a 3 3 6 2 2 2 2" xfId="27661"/>
    <cellStyle name="level1a 3 3 6 2 2 3" xfId="27662"/>
    <cellStyle name="level1a 3 3 6 2 3" xfId="3258"/>
    <cellStyle name="level1a 3 3 6 2 3 2" xfId="27663"/>
    <cellStyle name="level1a 3 3 6 2 4" xfId="27664"/>
    <cellStyle name="level1a 3 3 6 3" xfId="3259"/>
    <cellStyle name="level1a 3 3 6 3 2" xfId="3260"/>
    <cellStyle name="level1a 3 3 6 3 2 2" xfId="3261"/>
    <cellStyle name="level1a 3 3 6 3 2 2 2" xfId="27665"/>
    <cellStyle name="level1a 3 3 6 3 2 3" xfId="27666"/>
    <cellStyle name="level1a 3 3 6 3 3" xfId="3262"/>
    <cellStyle name="level1a 3 3 6 3 3 2" xfId="27667"/>
    <cellStyle name="level1a 3 3 6 3 4" xfId="27668"/>
    <cellStyle name="level1a 3 3 6 4" xfId="3263"/>
    <cellStyle name="level1a 3 3 6 4 2" xfId="27669"/>
    <cellStyle name="level1a 3 3 6 5" xfId="3264"/>
    <cellStyle name="level1a 3 3 6 5 2" xfId="3265"/>
    <cellStyle name="level1a 3 3 6 5 2 2" xfId="27670"/>
    <cellStyle name="level1a 3 3 6 5 3" xfId="27671"/>
    <cellStyle name="level1a 3 3 6 6" xfId="3266"/>
    <cellStyle name="level1a 3 3 6 6 2" xfId="27672"/>
    <cellStyle name="level1a 3 3 6 7" xfId="27673"/>
    <cellStyle name="level1a 3 3 7" xfId="3267"/>
    <cellStyle name="level1a 3 3 7 2" xfId="3268"/>
    <cellStyle name="level1a 3 3 7 2 2" xfId="3269"/>
    <cellStyle name="level1a 3 3 7 2 2 2" xfId="3270"/>
    <cellStyle name="level1a 3 3 7 2 2 2 2" xfId="27674"/>
    <cellStyle name="level1a 3 3 7 2 2 3" xfId="27675"/>
    <cellStyle name="level1a 3 3 7 2 3" xfId="3271"/>
    <cellStyle name="level1a 3 3 7 2 3 2" xfId="27676"/>
    <cellStyle name="level1a 3 3 7 2 4" xfId="27677"/>
    <cellStyle name="level1a 3 3 7 3" xfId="3272"/>
    <cellStyle name="level1a 3 3 7 3 2" xfId="3273"/>
    <cellStyle name="level1a 3 3 7 3 2 2" xfId="3274"/>
    <cellStyle name="level1a 3 3 7 3 2 2 2" xfId="27678"/>
    <cellStyle name="level1a 3 3 7 3 2 3" xfId="27679"/>
    <cellStyle name="level1a 3 3 7 3 3" xfId="3275"/>
    <cellStyle name="level1a 3 3 7 3 3 2" xfId="27680"/>
    <cellStyle name="level1a 3 3 7 3 4" xfId="27681"/>
    <cellStyle name="level1a 3 3 7 4" xfId="3276"/>
    <cellStyle name="level1a 3 3 7 4 2" xfId="27682"/>
    <cellStyle name="level1a 3 3 7 5" xfId="3277"/>
    <cellStyle name="level1a 3 3 7 5 2" xfId="27683"/>
    <cellStyle name="level1a 3 3 7 6" xfId="27684"/>
    <cellStyle name="level1a 3 3 8" xfId="3278"/>
    <cellStyle name="level1a 3 3 8 2" xfId="3279"/>
    <cellStyle name="level1a 3 3 8 2 2" xfId="3280"/>
    <cellStyle name="level1a 3 3 8 2 2 2" xfId="3281"/>
    <cellStyle name="level1a 3 3 8 2 2 2 2" xfId="27685"/>
    <cellStyle name="level1a 3 3 8 2 2 3" xfId="27686"/>
    <cellStyle name="level1a 3 3 8 2 3" xfId="3282"/>
    <cellStyle name="level1a 3 3 8 2 3 2" xfId="27687"/>
    <cellStyle name="level1a 3 3 8 2 4" xfId="27688"/>
    <cellStyle name="level1a 3 3 8 3" xfId="3283"/>
    <cellStyle name="level1a 3 3 8 3 2" xfId="3284"/>
    <cellStyle name="level1a 3 3 8 3 2 2" xfId="3285"/>
    <cellStyle name="level1a 3 3 8 3 2 2 2" xfId="27689"/>
    <cellStyle name="level1a 3 3 8 3 2 3" xfId="27690"/>
    <cellStyle name="level1a 3 3 8 3 3" xfId="3286"/>
    <cellStyle name="level1a 3 3 8 3 3 2" xfId="27691"/>
    <cellStyle name="level1a 3 3 8 3 4" xfId="27692"/>
    <cellStyle name="level1a 3 3 8 4" xfId="3287"/>
    <cellStyle name="level1a 3 3 8 4 2" xfId="27693"/>
    <cellStyle name="level1a 3 3 8 5" xfId="3288"/>
    <cellStyle name="level1a 3 3 8 5 2" xfId="3289"/>
    <cellStyle name="level1a 3 3 8 5 2 2" xfId="27694"/>
    <cellStyle name="level1a 3 3 8 5 3" xfId="27695"/>
    <cellStyle name="level1a 3 3 8 6" xfId="3290"/>
    <cellStyle name="level1a 3 3 8 6 2" xfId="27696"/>
    <cellStyle name="level1a 3 3 8 7" xfId="27697"/>
    <cellStyle name="level1a 3 3 9" xfId="3291"/>
    <cellStyle name="level1a 3 3 9 2" xfId="3292"/>
    <cellStyle name="level1a 3 3 9 2 2" xfId="3293"/>
    <cellStyle name="level1a 3 3 9 2 2 2" xfId="3294"/>
    <cellStyle name="level1a 3 3 9 2 2 2 2" xfId="27698"/>
    <cellStyle name="level1a 3 3 9 2 2 3" xfId="27699"/>
    <cellStyle name="level1a 3 3 9 2 3" xfId="3295"/>
    <cellStyle name="level1a 3 3 9 2 3 2" xfId="27700"/>
    <cellStyle name="level1a 3 3 9 2 4" xfId="27701"/>
    <cellStyle name="level1a 3 3 9 3" xfId="3296"/>
    <cellStyle name="level1a 3 3 9 3 2" xfId="3297"/>
    <cellStyle name="level1a 3 3 9 3 2 2" xfId="3298"/>
    <cellStyle name="level1a 3 3 9 3 2 2 2" xfId="27702"/>
    <cellStyle name="level1a 3 3 9 3 2 3" xfId="27703"/>
    <cellStyle name="level1a 3 3 9 3 3" xfId="3299"/>
    <cellStyle name="level1a 3 3 9 3 3 2" xfId="27704"/>
    <cellStyle name="level1a 3 3 9 3 4" xfId="27705"/>
    <cellStyle name="level1a 3 3 9 4" xfId="3300"/>
    <cellStyle name="level1a 3 3 9 4 2" xfId="3301"/>
    <cellStyle name="level1a 3 3 9 4 2 2" xfId="27706"/>
    <cellStyle name="level1a 3 3 9 4 3" xfId="27707"/>
    <cellStyle name="level1a 3 3 9 5" xfId="3302"/>
    <cellStyle name="level1a 3 3 9 5 2" xfId="27708"/>
    <cellStyle name="level1a 3 3 9 6" xfId="27709"/>
    <cellStyle name="level1a 3 3_STUD aligned by INSTIT" xfId="3303"/>
    <cellStyle name="level1a 3 4" xfId="3304"/>
    <cellStyle name="level1a 3 4 10" xfId="3305"/>
    <cellStyle name="level1a 3 4 10 2" xfId="27710"/>
    <cellStyle name="level1a 3 4 11" xfId="27711"/>
    <cellStyle name="level1a 3 4 2" xfId="3306"/>
    <cellStyle name="level1a 3 4 2 2" xfId="3307"/>
    <cellStyle name="level1a 3 4 2 2 2" xfId="3308"/>
    <cellStyle name="level1a 3 4 2 2 2 2" xfId="3309"/>
    <cellStyle name="level1a 3 4 2 2 2 2 2" xfId="3310"/>
    <cellStyle name="level1a 3 4 2 2 2 2 2 2" xfId="27712"/>
    <cellStyle name="level1a 3 4 2 2 2 2 3" xfId="27713"/>
    <cellStyle name="level1a 3 4 2 2 2 3" xfId="3311"/>
    <cellStyle name="level1a 3 4 2 2 2 3 2" xfId="27714"/>
    <cellStyle name="level1a 3 4 2 2 2 4" xfId="27715"/>
    <cellStyle name="level1a 3 4 2 2 3" xfId="3312"/>
    <cellStyle name="level1a 3 4 2 2 3 2" xfId="3313"/>
    <cellStyle name="level1a 3 4 2 2 3 2 2" xfId="3314"/>
    <cellStyle name="level1a 3 4 2 2 3 2 2 2" xfId="27716"/>
    <cellStyle name="level1a 3 4 2 2 3 2 3" xfId="27717"/>
    <cellStyle name="level1a 3 4 2 2 3 3" xfId="3315"/>
    <cellStyle name="level1a 3 4 2 2 3 3 2" xfId="27718"/>
    <cellStyle name="level1a 3 4 2 2 3 4" xfId="27719"/>
    <cellStyle name="level1a 3 4 2 2 4" xfId="3316"/>
    <cellStyle name="level1a 3 4 2 2 4 2" xfId="27720"/>
    <cellStyle name="level1a 3 4 2 2 5" xfId="3317"/>
    <cellStyle name="level1a 3 4 2 2 5 2" xfId="3318"/>
    <cellStyle name="level1a 3 4 2 2 5 2 2" xfId="27721"/>
    <cellStyle name="level1a 3 4 2 2 5 3" xfId="27722"/>
    <cellStyle name="level1a 3 4 2 2 6" xfId="27723"/>
    <cellStyle name="level1a 3 4 2 3" xfId="3319"/>
    <cellStyle name="level1a 3 4 2 3 2" xfId="3320"/>
    <cellStyle name="level1a 3 4 2 3 2 2" xfId="3321"/>
    <cellStyle name="level1a 3 4 2 3 2 2 2" xfId="3322"/>
    <cellStyle name="level1a 3 4 2 3 2 2 2 2" xfId="27724"/>
    <cellStyle name="level1a 3 4 2 3 2 2 3" xfId="27725"/>
    <cellStyle name="level1a 3 4 2 3 2 3" xfId="3323"/>
    <cellStyle name="level1a 3 4 2 3 2 3 2" xfId="27726"/>
    <cellStyle name="level1a 3 4 2 3 2 4" xfId="27727"/>
    <cellStyle name="level1a 3 4 2 3 3" xfId="3324"/>
    <cellStyle name="level1a 3 4 2 3 3 2" xfId="3325"/>
    <cellStyle name="level1a 3 4 2 3 3 2 2" xfId="3326"/>
    <cellStyle name="level1a 3 4 2 3 3 2 2 2" xfId="27728"/>
    <cellStyle name="level1a 3 4 2 3 3 2 3" xfId="27729"/>
    <cellStyle name="level1a 3 4 2 3 3 3" xfId="3327"/>
    <cellStyle name="level1a 3 4 2 3 3 3 2" xfId="27730"/>
    <cellStyle name="level1a 3 4 2 3 3 4" xfId="27731"/>
    <cellStyle name="level1a 3 4 2 3 4" xfId="3328"/>
    <cellStyle name="level1a 3 4 2 3 4 2" xfId="27732"/>
    <cellStyle name="level1a 3 4 2 3 5" xfId="3329"/>
    <cellStyle name="level1a 3 4 2 3 5 2" xfId="27733"/>
    <cellStyle name="level1a 3 4 2 3 6" xfId="27734"/>
    <cellStyle name="level1a 3 4 2 4" xfId="3330"/>
    <cellStyle name="level1a 3 4 2 4 2" xfId="3331"/>
    <cellStyle name="level1a 3 4 2 4 2 2" xfId="3332"/>
    <cellStyle name="level1a 3 4 2 4 2 2 2" xfId="3333"/>
    <cellStyle name="level1a 3 4 2 4 2 2 2 2" xfId="27735"/>
    <cellStyle name="level1a 3 4 2 4 2 2 3" xfId="27736"/>
    <cellStyle name="level1a 3 4 2 4 2 3" xfId="3334"/>
    <cellStyle name="level1a 3 4 2 4 2 3 2" xfId="27737"/>
    <cellStyle name="level1a 3 4 2 4 2 4" xfId="27738"/>
    <cellStyle name="level1a 3 4 2 4 3" xfId="3335"/>
    <cellStyle name="level1a 3 4 2 4 3 2" xfId="3336"/>
    <cellStyle name="level1a 3 4 2 4 3 2 2" xfId="3337"/>
    <cellStyle name="level1a 3 4 2 4 3 2 2 2" xfId="27739"/>
    <cellStyle name="level1a 3 4 2 4 3 2 3" xfId="27740"/>
    <cellStyle name="level1a 3 4 2 4 3 3" xfId="3338"/>
    <cellStyle name="level1a 3 4 2 4 3 3 2" xfId="27741"/>
    <cellStyle name="level1a 3 4 2 4 3 4" xfId="27742"/>
    <cellStyle name="level1a 3 4 2 4 4" xfId="3339"/>
    <cellStyle name="level1a 3 4 2 4 4 2" xfId="27743"/>
    <cellStyle name="level1a 3 4 2 4 5" xfId="3340"/>
    <cellStyle name="level1a 3 4 2 4 5 2" xfId="3341"/>
    <cellStyle name="level1a 3 4 2 4 5 2 2" xfId="27744"/>
    <cellStyle name="level1a 3 4 2 4 5 3" xfId="27745"/>
    <cellStyle name="level1a 3 4 2 4 6" xfId="3342"/>
    <cellStyle name="level1a 3 4 2 4 6 2" xfId="27746"/>
    <cellStyle name="level1a 3 4 2 4 7" xfId="27747"/>
    <cellStyle name="level1a 3 4 2 5" xfId="3343"/>
    <cellStyle name="level1a 3 4 2 5 2" xfId="3344"/>
    <cellStyle name="level1a 3 4 2 5 2 2" xfId="3345"/>
    <cellStyle name="level1a 3 4 2 5 2 2 2" xfId="3346"/>
    <cellStyle name="level1a 3 4 2 5 2 2 2 2" xfId="27748"/>
    <cellStyle name="level1a 3 4 2 5 2 2 3" xfId="27749"/>
    <cellStyle name="level1a 3 4 2 5 2 3" xfId="3347"/>
    <cellStyle name="level1a 3 4 2 5 2 3 2" xfId="27750"/>
    <cellStyle name="level1a 3 4 2 5 2 4" xfId="27751"/>
    <cellStyle name="level1a 3 4 2 5 3" xfId="3348"/>
    <cellStyle name="level1a 3 4 2 5 3 2" xfId="3349"/>
    <cellStyle name="level1a 3 4 2 5 3 2 2" xfId="3350"/>
    <cellStyle name="level1a 3 4 2 5 3 2 2 2" xfId="27752"/>
    <cellStyle name="level1a 3 4 2 5 3 2 3" xfId="27753"/>
    <cellStyle name="level1a 3 4 2 5 3 3" xfId="3351"/>
    <cellStyle name="level1a 3 4 2 5 3 3 2" xfId="27754"/>
    <cellStyle name="level1a 3 4 2 5 3 4" xfId="27755"/>
    <cellStyle name="level1a 3 4 2 5 4" xfId="3352"/>
    <cellStyle name="level1a 3 4 2 5 4 2" xfId="3353"/>
    <cellStyle name="level1a 3 4 2 5 4 2 2" xfId="27756"/>
    <cellStyle name="level1a 3 4 2 5 4 3" xfId="27757"/>
    <cellStyle name="level1a 3 4 2 5 5" xfId="3354"/>
    <cellStyle name="level1a 3 4 2 5 5 2" xfId="27758"/>
    <cellStyle name="level1a 3 4 2 5 6" xfId="27759"/>
    <cellStyle name="level1a 3 4 2 6" xfId="3355"/>
    <cellStyle name="level1a 3 4 2 6 2" xfId="3356"/>
    <cellStyle name="level1a 3 4 2 6 2 2" xfId="3357"/>
    <cellStyle name="level1a 3 4 2 6 2 2 2" xfId="3358"/>
    <cellStyle name="level1a 3 4 2 6 2 2 2 2" xfId="27760"/>
    <cellStyle name="level1a 3 4 2 6 2 2 3" xfId="27761"/>
    <cellStyle name="level1a 3 4 2 6 2 3" xfId="3359"/>
    <cellStyle name="level1a 3 4 2 6 2 3 2" xfId="27762"/>
    <cellStyle name="level1a 3 4 2 6 2 4" xfId="27763"/>
    <cellStyle name="level1a 3 4 2 6 3" xfId="3360"/>
    <cellStyle name="level1a 3 4 2 6 3 2" xfId="3361"/>
    <cellStyle name="level1a 3 4 2 6 3 2 2" xfId="3362"/>
    <cellStyle name="level1a 3 4 2 6 3 2 2 2" xfId="27764"/>
    <cellStyle name="level1a 3 4 2 6 3 2 3" xfId="27765"/>
    <cellStyle name="level1a 3 4 2 6 3 3" xfId="3363"/>
    <cellStyle name="level1a 3 4 2 6 3 3 2" xfId="27766"/>
    <cellStyle name="level1a 3 4 2 6 3 4" xfId="27767"/>
    <cellStyle name="level1a 3 4 2 6 4" xfId="3364"/>
    <cellStyle name="level1a 3 4 2 6 4 2" xfId="3365"/>
    <cellStyle name="level1a 3 4 2 6 4 2 2" xfId="27768"/>
    <cellStyle name="level1a 3 4 2 6 4 3" xfId="27769"/>
    <cellStyle name="level1a 3 4 2 6 5" xfId="3366"/>
    <cellStyle name="level1a 3 4 2 6 5 2" xfId="27770"/>
    <cellStyle name="level1a 3 4 2 6 6" xfId="27771"/>
    <cellStyle name="level1a 3 4 2 7" xfId="3367"/>
    <cellStyle name="level1a 3 4 2 7 2" xfId="3368"/>
    <cellStyle name="level1a 3 4 2 7 2 2" xfId="3369"/>
    <cellStyle name="level1a 3 4 2 7 2 2 2" xfId="27772"/>
    <cellStyle name="level1a 3 4 2 7 2 3" xfId="27773"/>
    <cellStyle name="level1a 3 4 2 7 3" xfId="3370"/>
    <cellStyle name="level1a 3 4 2 7 3 2" xfId="27774"/>
    <cellStyle name="level1a 3 4 2 7 4" xfId="27775"/>
    <cellStyle name="level1a 3 4 2 8" xfId="27776"/>
    <cellStyle name="level1a 3 4 2_STUD aligned by INSTIT" xfId="3371"/>
    <cellStyle name="level1a 3 4 3" xfId="3372"/>
    <cellStyle name="level1a 3 4 3 2" xfId="3373"/>
    <cellStyle name="level1a 3 4 3 2 2" xfId="3374"/>
    <cellStyle name="level1a 3 4 3 2 2 2" xfId="3375"/>
    <cellStyle name="level1a 3 4 3 2 2 2 2" xfId="3376"/>
    <cellStyle name="level1a 3 4 3 2 2 2 2 2" xfId="27777"/>
    <cellStyle name="level1a 3 4 3 2 2 2 3" xfId="27778"/>
    <cellStyle name="level1a 3 4 3 2 2 3" xfId="3377"/>
    <cellStyle name="level1a 3 4 3 2 2 3 2" xfId="27779"/>
    <cellStyle name="level1a 3 4 3 2 2 4" xfId="27780"/>
    <cellStyle name="level1a 3 4 3 2 3" xfId="3378"/>
    <cellStyle name="level1a 3 4 3 2 3 2" xfId="3379"/>
    <cellStyle name="level1a 3 4 3 2 3 2 2" xfId="3380"/>
    <cellStyle name="level1a 3 4 3 2 3 2 2 2" xfId="27781"/>
    <cellStyle name="level1a 3 4 3 2 3 2 3" xfId="27782"/>
    <cellStyle name="level1a 3 4 3 2 3 3" xfId="3381"/>
    <cellStyle name="level1a 3 4 3 2 3 3 2" xfId="27783"/>
    <cellStyle name="level1a 3 4 3 2 3 4" xfId="27784"/>
    <cellStyle name="level1a 3 4 3 2 4" xfId="3382"/>
    <cellStyle name="level1a 3 4 3 2 4 2" xfId="27785"/>
    <cellStyle name="level1a 3 4 3 2 5" xfId="3383"/>
    <cellStyle name="level1a 3 4 3 2 5 2" xfId="27786"/>
    <cellStyle name="level1a 3 4 3 2 6" xfId="27787"/>
    <cellStyle name="level1a 3 4 3 3" xfId="3384"/>
    <cellStyle name="level1a 3 4 3 3 2" xfId="3385"/>
    <cellStyle name="level1a 3 4 3 3 2 2" xfId="3386"/>
    <cellStyle name="level1a 3 4 3 3 2 2 2" xfId="3387"/>
    <cellStyle name="level1a 3 4 3 3 2 2 2 2" xfId="27788"/>
    <cellStyle name="level1a 3 4 3 3 2 2 3" xfId="27789"/>
    <cellStyle name="level1a 3 4 3 3 2 3" xfId="3388"/>
    <cellStyle name="level1a 3 4 3 3 2 3 2" xfId="27790"/>
    <cellStyle name="level1a 3 4 3 3 2 4" xfId="27791"/>
    <cellStyle name="level1a 3 4 3 3 3" xfId="3389"/>
    <cellStyle name="level1a 3 4 3 3 3 2" xfId="3390"/>
    <cellStyle name="level1a 3 4 3 3 3 2 2" xfId="3391"/>
    <cellStyle name="level1a 3 4 3 3 3 2 2 2" xfId="27792"/>
    <cellStyle name="level1a 3 4 3 3 3 2 3" xfId="27793"/>
    <cellStyle name="level1a 3 4 3 3 3 3" xfId="3392"/>
    <cellStyle name="level1a 3 4 3 3 3 3 2" xfId="27794"/>
    <cellStyle name="level1a 3 4 3 3 3 4" xfId="27795"/>
    <cellStyle name="level1a 3 4 3 3 4" xfId="3393"/>
    <cellStyle name="level1a 3 4 3 3 4 2" xfId="3394"/>
    <cellStyle name="level1a 3 4 3 3 4 2 2" xfId="27796"/>
    <cellStyle name="level1a 3 4 3 3 4 3" xfId="27797"/>
    <cellStyle name="level1a 3 4 3 3 5" xfId="27798"/>
    <cellStyle name="level1a 3 4 3 4" xfId="3395"/>
    <cellStyle name="level1a 3 4 3 4 2" xfId="3396"/>
    <cellStyle name="level1a 3 4 3 4 2 2" xfId="3397"/>
    <cellStyle name="level1a 3 4 3 4 2 2 2" xfId="3398"/>
    <cellStyle name="level1a 3 4 3 4 2 2 2 2" xfId="27799"/>
    <cellStyle name="level1a 3 4 3 4 2 2 3" xfId="27800"/>
    <cellStyle name="level1a 3 4 3 4 2 3" xfId="3399"/>
    <cellStyle name="level1a 3 4 3 4 2 3 2" xfId="27801"/>
    <cellStyle name="level1a 3 4 3 4 2 4" xfId="27802"/>
    <cellStyle name="level1a 3 4 3 4 3" xfId="3400"/>
    <cellStyle name="level1a 3 4 3 4 3 2" xfId="3401"/>
    <cellStyle name="level1a 3 4 3 4 3 2 2" xfId="3402"/>
    <cellStyle name="level1a 3 4 3 4 3 2 2 2" xfId="27803"/>
    <cellStyle name="level1a 3 4 3 4 3 2 3" xfId="27804"/>
    <cellStyle name="level1a 3 4 3 4 3 3" xfId="3403"/>
    <cellStyle name="level1a 3 4 3 4 3 3 2" xfId="27805"/>
    <cellStyle name="level1a 3 4 3 4 3 4" xfId="27806"/>
    <cellStyle name="level1a 3 4 3 4 4" xfId="3404"/>
    <cellStyle name="level1a 3 4 3 4 4 2" xfId="3405"/>
    <cellStyle name="level1a 3 4 3 4 4 2 2" xfId="27807"/>
    <cellStyle name="level1a 3 4 3 4 4 3" xfId="27808"/>
    <cellStyle name="level1a 3 4 3 4 5" xfId="3406"/>
    <cellStyle name="level1a 3 4 3 4 5 2" xfId="27809"/>
    <cellStyle name="level1a 3 4 3 4 6" xfId="27810"/>
    <cellStyle name="level1a 3 4 3 5" xfId="3407"/>
    <cellStyle name="level1a 3 4 3 5 2" xfId="3408"/>
    <cellStyle name="level1a 3 4 3 5 2 2" xfId="3409"/>
    <cellStyle name="level1a 3 4 3 5 2 2 2" xfId="3410"/>
    <cellStyle name="level1a 3 4 3 5 2 2 2 2" xfId="27811"/>
    <cellStyle name="level1a 3 4 3 5 2 2 3" xfId="27812"/>
    <cellStyle name="level1a 3 4 3 5 2 3" xfId="3411"/>
    <cellStyle name="level1a 3 4 3 5 2 3 2" xfId="27813"/>
    <cellStyle name="level1a 3 4 3 5 2 4" xfId="27814"/>
    <cellStyle name="level1a 3 4 3 5 3" xfId="3412"/>
    <cellStyle name="level1a 3 4 3 5 3 2" xfId="3413"/>
    <cellStyle name="level1a 3 4 3 5 3 2 2" xfId="3414"/>
    <cellStyle name="level1a 3 4 3 5 3 2 2 2" xfId="27815"/>
    <cellStyle name="level1a 3 4 3 5 3 2 3" xfId="27816"/>
    <cellStyle name="level1a 3 4 3 5 3 3" xfId="3415"/>
    <cellStyle name="level1a 3 4 3 5 3 3 2" xfId="27817"/>
    <cellStyle name="level1a 3 4 3 5 3 4" xfId="27818"/>
    <cellStyle name="level1a 3 4 3 5 4" xfId="3416"/>
    <cellStyle name="level1a 3 4 3 5 4 2" xfId="3417"/>
    <cellStyle name="level1a 3 4 3 5 4 2 2" xfId="27819"/>
    <cellStyle name="level1a 3 4 3 5 4 3" xfId="27820"/>
    <cellStyle name="level1a 3 4 3 5 5" xfId="3418"/>
    <cellStyle name="level1a 3 4 3 5 5 2" xfId="27821"/>
    <cellStyle name="level1a 3 4 3 5 6" xfId="27822"/>
    <cellStyle name="level1a 3 4 3 6" xfId="3419"/>
    <cellStyle name="level1a 3 4 3 6 2" xfId="3420"/>
    <cellStyle name="level1a 3 4 3 6 2 2" xfId="3421"/>
    <cellStyle name="level1a 3 4 3 6 2 2 2" xfId="3422"/>
    <cellStyle name="level1a 3 4 3 6 2 2 2 2" xfId="27823"/>
    <cellStyle name="level1a 3 4 3 6 2 2 3" xfId="27824"/>
    <cellStyle name="level1a 3 4 3 6 2 3" xfId="3423"/>
    <cellStyle name="level1a 3 4 3 6 2 3 2" xfId="27825"/>
    <cellStyle name="level1a 3 4 3 6 2 4" xfId="27826"/>
    <cellStyle name="level1a 3 4 3 6 3" xfId="3424"/>
    <cellStyle name="level1a 3 4 3 6 3 2" xfId="3425"/>
    <cellStyle name="level1a 3 4 3 6 3 2 2" xfId="3426"/>
    <cellStyle name="level1a 3 4 3 6 3 2 2 2" xfId="27827"/>
    <cellStyle name="level1a 3 4 3 6 3 2 3" xfId="27828"/>
    <cellStyle name="level1a 3 4 3 6 3 3" xfId="3427"/>
    <cellStyle name="level1a 3 4 3 6 3 3 2" xfId="27829"/>
    <cellStyle name="level1a 3 4 3 6 3 4" xfId="27830"/>
    <cellStyle name="level1a 3 4 3 6 4" xfId="3428"/>
    <cellStyle name="level1a 3 4 3 6 4 2" xfId="3429"/>
    <cellStyle name="level1a 3 4 3 6 4 2 2" xfId="27831"/>
    <cellStyle name="level1a 3 4 3 6 4 3" xfId="27832"/>
    <cellStyle name="level1a 3 4 3 6 5" xfId="3430"/>
    <cellStyle name="level1a 3 4 3 6 5 2" xfId="27833"/>
    <cellStyle name="level1a 3 4 3 6 6" xfId="27834"/>
    <cellStyle name="level1a 3 4 3 7" xfId="3431"/>
    <cellStyle name="level1a 3 4 3 7 2" xfId="3432"/>
    <cellStyle name="level1a 3 4 3 7 2 2" xfId="3433"/>
    <cellStyle name="level1a 3 4 3 7 2 2 2" xfId="27835"/>
    <cellStyle name="level1a 3 4 3 7 2 3" xfId="27836"/>
    <cellStyle name="level1a 3 4 3 7 3" xfId="3434"/>
    <cellStyle name="level1a 3 4 3 7 3 2" xfId="27837"/>
    <cellStyle name="level1a 3 4 3 7 4" xfId="27838"/>
    <cellStyle name="level1a 3 4 3 8" xfId="3435"/>
    <cellStyle name="level1a 3 4 3 8 2" xfId="3436"/>
    <cellStyle name="level1a 3 4 3 8 2 2" xfId="3437"/>
    <cellStyle name="level1a 3 4 3 8 2 2 2" xfId="27839"/>
    <cellStyle name="level1a 3 4 3 8 2 3" xfId="27840"/>
    <cellStyle name="level1a 3 4 3 8 3" xfId="3438"/>
    <cellStyle name="level1a 3 4 3 8 3 2" xfId="27841"/>
    <cellStyle name="level1a 3 4 3 8 4" xfId="27842"/>
    <cellStyle name="level1a 3 4 3 9" xfId="27843"/>
    <cellStyle name="level1a 3 4 3_STUD aligned by INSTIT" xfId="3439"/>
    <cellStyle name="level1a 3 4 4" xfId="3440"/>
    <cellStyle name="level1a 3 4 4 2" xfId="3441"/>
    <cellStyle name="level1a 3 4 4 2 2" xfId="3442"/>
    <cellStyle name="level1a 3 4 4 2 2 2" xfId="3443"/>
    <cellStyle name="level1a 3 4 4 2 2 2 2" xfId="27844"/>
    <cellStyle name="level1a 3 4 4 2 2 3" xfId="27845"/>
    <cellStyle name="level1a 3 4 4 2 3" xfId="3444"/>
    <cellStyle name="level1a 3 4 4 2 3 2" xfId="27846"/>
    <cellStyle name="level1a 3 4 4 2 4" xfId="27847"/>
    <cellStyle name="level1a 3 4 4 3" xfId="3445"/>
    <cellStyle name="level1a 3 4 4 3 2" xfId="3446"/>
    <cellStyle name="level1a 3 4 4 3 2 2" xfId="3447"/>
    <cellStyle name="level1a 3 4 4 3 2 2 2" xfId="27848"/>
    <cellStyle name="level1a 3 4 4 3 2 3" xfId="27849"/>
    <cellStyle name="level1a 3 4 4 3 3" xfId="3448"/>
    <cellStyle name="level1a 3 4 4 3 3 2" xfId="27850"/>
    <cellStyle name="level1a 3 4 4 3 4" xfId="27851"/>
    <cellStyle name="level1a 3 4 4 4" xfId="3449"/>
    <cellStyle name="level1a 3 4 4 4 2" xfId="27852"/>
    <cellStyle name="level1a 3 4 4 5" xfId="3450"/>
    <cellStyle name="level1a 3 4 4 5 2" xfId="3451"/>
    <cellStyle name="level1a 3 4 4 5 2 2" xfId="27853"/>
    <cellStyle name="level1a 3 4 4 5 3" xfId="27854"/>
    <cellStyle name="level1a 3 4 4 6" xfId="27855"/>
    <cellStyle name="level1a 3 4 5" xfId="3452"/>
    <cellStyle name="level1a 3 4 5 2" xfId="3453"/>
    <cellStyle name="level1a 3 4 5 2 2" xfId="3454"/>
    <cellStyle name="level1a 3 4 5 2 2 2" xfId="3455"/>
    <cellStyle name="level1a 3 4 5 2 2 2 2" xfId="27856"/>
    <cellStyle name="level1a 3 4 5 2 2 3" xfId="27857"/>
    <cellStyle name="level1a 3 4 5 2 3" xfId="3456"/>
    <cellStyle name="level1a 3 4 5 2 3 2" xfId="27858"/>
    <cellStyle name="level1a 3 4 5 2 4" xfId="27859"/>
    <cellStyle name="level1a 3 4 5 3" xfId="3457"/>
    <cellStyle name="level1a 3 4 5 3 2" xfId="3458"/>
    <cellStyle name="level1a 3 4 5 3 2 2" xfId="3459"/>
    <cellStyle name="level1a 3 4 5 3 2 2 2" xfId="27860"/>
    <cellStyle name="level1a 3 4 5 3 2 3" xfId="27861"/>
    <cellStyle name="level1a 3 4 5 3 3" xfId="3460"/>
    <cellStyle name="level1a 3 4 5 3 3 2" xfId="27862"/>
    <cellStyle name="level1a 3 4 5 3 4" xfId="27863"/>
    <cellStyle name="level1a 3 4 5 4" xfId="3461"/>
    <cellStyle name="level1a 3 4 5 4 2" xfId="27864"/>
    <cellStyle name="level1a 3 4 5 5" xfId="3462"/>
    <cellStyle name="level1a 3 4 5 5 2" xfId="3463"/>
    <cellStyle name="level1a 3 4 5 5 2 2" xfId="27865"/>
    <cellStyle name="level1a 3 4 5 5 3" xfId="27866"/>
    <cellStyle name="level1a 3 4 5 6" xfId="3464"/>
    <cellStyle name="level1a 3 4 5 6 2" xfId="27867"/>
    <cellStyle name="level1a 3 4 5 7" xfId="27868"/>
    <cellStyle name="level1a 3 4 6" xfId="3465"/>
    <cellStyle name="level1a 3 4 6 2" xfId="3466"/>
    <cellStyle name="level1a 3 4 6 2 2" xfId="3467"/>
    <cellStyle name="level1a 3 4 6 2 2 2" xfId="3468"/>
    <cellStyle name="level1a 3 4 6 2 2 2 2" xfId="27869"/>
    <cellStyle name="level1a 3 4 6 2 2 3" xfId="27870"/>
    <cellStyle name="level1a 3 4 6 2 3" xfId="3469"/>
    <cellStyle name="level1a 3 4 6 2 3 2" xfId="27871"/>
    <cellStyle name="level1a 3 4 6 2 4" xfId="27872"/>
    <cellStyle name="level1a 3 4 6 3" xfId="3470"/>
    <cellStyle name="level1a 3 4 6 3 2" xfId="3471"/>
    <cellStyle name="level1a 3 4 6 3 2 2" xfId="3472"/>
    <cellStyle name="level1a 3 4 6 3 2 2 2" xfId="27873"/>
    <cellStyle name="level1a 3 4 6 3 2 3" xfId="27874"/>
    <cellStyle name="level1a 3 4 6 3 3" xfId="3473"/>
    <cellStyle name="level1a 3 4 6 3 3 2" xfId="27875"/>
    <cellStyle name="level1a 3 4 6 3 4" xfId="27876"/>
    <cellStyle name="level1a 3 4 6 4" xfId="3474"/>
    <cellStyle name="level1a 3 4 6 4 2" xfId="27877"/>
    <cellStyle name="level1a 3 4 6 5" xfId="3475"/>
    <cellStyle name="level1a 3 4 6 5 2" xfId="27878"/>
    <cellStyle name="level1a 3 4 6 6" xfId="27879"/>
    <cellStyle name="level1a 3 4 7" xfId="3476"/>
    <cellStyle name="level1a 3 4 7 2" xfId="3477"/>
    <cellStyle name="level1a 3 4 7 2 2" xfId="3478"/>
    <cellStyle name="level1a 3 4 7 2 2 2" xfId="3479"/>
    <cellStyle name="level1a 3 4 7 2 2 2 2" xfId="27880"/>
    <cellStyle name="level1a 3 4 7 2 2 3" xfId="27881"/>
    <cellStyle name="level1a 3 4 7 2 3" xfId="3480"/>
    <cellStyle name="level1a 3 4 7 2 3 2" xfId="27882"/>
    <cellStyle name="level1a 3 4 7 2 4" xfId="27883"/>
    <cellStyle name="level1a 3 4 7 3" xfId="3481"/>
    <cellStyle name="level1a 3 4 7 3 2" xfId="3482"/>
    <cellStyle name="level1a 3 4 7 3 2 2" xfId="3483"/>
    <cellStyle name="level1a 3 4 7 3 2 2 2" xfId="27884"/>
    <cellStyle name="level1a 3 4 7 3 2 3" xfId="27885"/>
    <cellStyle name="level1a 3 4 7 3 3" xfId="3484"/>
    <cellStyle name="level1a 3 4 7 3 3 2" xfId="27886"/>
    <cellStyle name="level1a 3 4 7 3 4" xfId="27887"/>
    <cellStyle name="level1a 3 4 7 4" xfId="3485"/>
    <cellStyle name="level1a 3 4 7 4 2" xfId="27888"/>
    <cellStyle name="level1a 3 4 7 5" xfId="3486"/>
    <cellStyle name="level1a 3 4 7 5 2" xfId="3487"/>
    <cellStyle name="level1a 3 4 7 5 2 2" xfId="27889"/>
    <cellStyle name="level1a 3 4 7 5 3" xfId="27890"/>
    <cellStyle name="level1a 3 4 7 6" xfId="3488"/>
    <cellStyle name="level1a 3 4 7 6 2" xfId="27891"/>
    <cellStyle name="level1a 3 4 7 7" xfId="27892"/>
    <cellStyle name="level1a 3 4 8" xfId="3489"/>
    <cellStyle name="level1a 3 4 8 2" xfId="3490"/>
    <cellStyle name="level1a 3 4 8 2 2" xfId="3491"/>
    <cellStyle name="level1a 3 4 8 2 2 2" xfId="3492"/>
    <cellStyle name="level1a 3 4 8 2 2 2 2" xfId="27893"/>
    <cellStyle name="level1a 3 4 8 2 2 3" xfId="27894"/>
    <cellStyle name="level1a 3 4 8 2 3" xfId="3493"/>
    <cellStyle name="level1a 3 4 8 2 3 2" xfId="27895"/>
    <cellStyle name="level1a 3 4 8 2 4" xfId="27896"/>
    <cellStyle name="level1a 3 4 8 3" xfId="3494"/>
    <cellStyle name="level1a 3 4 8 3 2" xfId="3495"/>
    <cellStyle name="level1a 3 4 8 3 2 2" xfId="3496"/>
    <cellStyle name="level1a 3 4 8 3 2 2 2" xfId="27897"/>
    <cellStyle name="level1a 3 4 8 3 2 3" xfId="27898"/>
    <cellStyle name="level1a 3 4 8 3 3" xfId="3497"/>
    <cellStyle name="level1a 3 4 8 3 3 2" xfId="27899"/>
    <cellStyle name="level1a 3 4 8 3 4" xfId="27900"/>
    <cellStyle name="level1a 3 4 8 4" xfId="3498"/>
    <cellStyle name="level1a 3 4 8 4 2" xfId="3499"/>
    <cellStyle name="level1a 3 4 8 4 2 2" xfId="27901"/>
    <cellStyle name="level1a 3 4 8 4 3" xfId="27902"/>
    <cellStyle name="level1a 3 4 8 5" xfId="3500"/>
    <cellStyle name="level1a 3 4 8 5 2" xfId="27903"/>
    <cellStyle name="level1a 3 4 8 6" xfId="27904"/>
    <cellStyle name="level1a 3 4 9" xfId="3501"/>
    <cellStyle name="level1a 3 4 9 2" xfId="3502"/>
    <cellStyle name="level1a 3 4 9 2 2" xfId="3503"/>
    <cellStyle name="level1a 3 4 9 2 2 2" xfId="27905"/>
    <cellStyle name="level1a 3 4 9 2 3" xfId="27906"/>
    <cellStyle name="level1a 3 4 9 3" xfId="3504"/>
    <cellStyle name="level1a 3 4 9 3 2" xfId="27907"/>
    <cellStyle name="level1a 3 4 9 4" xfId="27908"/>
    <cellStyle name="level1a 3 4_STUD aligned by INSTIT" xfId="3505"/>
    <cellStyle name="level1a 3 5" xfId="3506"/>
    <cellStyle name="level1a 3 5 2" xfId="3507"/>
    <cellStyle name="level1a 3 5 2 2" xfId="3508"/>
    <cellStyle name="level1a 3 5 2 2 2" xfId="3509"/>
    <cellStyle name="level1a 3 5 2 2 2 2" xfId="3510"/>
    <cellStyle name="level1a 3 5 2 2 2 2 2" xfId="27909"/>
    <cellStyle name="level1a 3 5 2 2 2 3" xfId="27910"/>
    <cellStyle name="level1a 3 5 2 2 3" xfId="3511"/>
    <cellStyle name="level1a 3 5 2 2 3 2" xfId="27911"/>
    <cellStyle name="level1a 3 5 2 2 4" xfId="27912"/>
    <cellStyle name="level1a 3 5 2 3" xfId="3512"/>
    <cellStyle name="level1a 3 5 2 3 2" xfId="3513"/>
    <cellStyle name="level1a 3 5 2 3 2 2" xfId="3514"/>
    <cellStyle name="level1a 3 5 2 3 2 2 2" xfId="27913"/>
    <cellStyle name="level1a 3 5 2 3 2 3" xfId="27914"/>
    <cellStyle name="level1a 3 5 2 3 3" xfId="3515"/>
    <cellStyle name="level1a 3 5 2 3 3 2" xfId="27915"/>
    <cellStyle name="level1a 3 5 2 3 4" xfId="27916"/>
    <cellStyle name="level1a 3 5 2 4" xfId="3516"/>
    <cellStyle name="level1a 3 5 2 4 2" xfId="27917"/>
    <cellStyle name="level1a 3 5 2 5" xfId="3517"/>
    <cellStyle name="level1a 3 5 2 5 2" xfId="3518"/>
    <cellStyle name="level1a 3 5 2 5 2 2" xfId="27918"/>
    <cellStyle name="level1a 3 5 2 5 3" xfId="27919"/>
    <cellStyle name="level1a 3 5 2 6" xfId="27920"/>
    <cellStyle name="level1a 3 5 3" xfId="3519"/>
    <cellStyle name="level1a 3 5 3 2" xfId="3520"/>
    <cellStyle name="level1a 3 5 3 2 2" xfId="3521"/>
    <cellStyle name="level1a 3 5 3 2 2 2" xfId="3522"/>
    <cellStyle name="level1a 3 5 3 2 2 2 2" xfId="27921"/>
    <cellStyle name="level1a 3 5 3 2 2 3" xfId="27922"/>
    <cellStyle name="level1a 3 5 3 2 3" xfId="3523"/>
    <cellStyle name="level1a 3 5 3 2 3 2" xfId="27923"/>
    <cellStyle name="level1a 3 5 3 2 4" xfId="27924"/>
    <cellStyle name="level1a 3 5 3 3" xfId="3524"/>
    <cellStyle name="level1a 3 5 3 3 2" xfId="3525"/>
    <cellStyle name="level1a 3 5 3 3 2 2" xfId="3526"/>
    <cellStyle name="level1a 3 5 3 3 2 2 2" xfId="27925"/>
    <cellStyle name="level1a 3 5 3 3 2 3" xfId="27926"/>
    <cellStyle name="level1a 3 5 3 3 3" xfId="3527"/>
    <cellStyle name="level1a 3 5 3 3 3 2" xfId="27927"/>
    <cellStyle name="level1a 3 5 3 3 4" xfId="27928"/>
    <cellStyle name="level1a 3 5 3 4" xfId="3528"/>
    <cellStyle name="level1a 3 5 3 4 2" xfId="27929"/>
    <cellStyle name="level1a 3 5 3 5" xfId="3529"/>
    <cellStyle name="level1a 3 5 3 5 2" xfId="27930"/>
    <cellStyle name="level1a 3 5 3 6" xfId="27931"/>
    <cellStyle name="level1a 3 5 4" xfId="3530"/>
    <cellStyle name="level1a 3 5 4 2" xfId="3531"/>
    <cellStyle name="level1a 3 5 4 2 2" xfId="3532"/>
    <cellStyle name="level1a 3 5 4 2 2 2" xfId="3533"/>
    <cellStyle name="level1a 3 5 4 2 2 2 2" xfId="27932"/>
    <cellStyle name="level1a 3 5 4 2 2 3" xfId="27933"/>
    <cellStyle name="level1a 3 5 4 2 3" xfId="3534"/>
    <cellStyle name="level1a 3 5 4 2 3 2" xfId="27934"/>
    <cellStyle name="level1a 3 5 4 2 4" xfId="27935"/>
    <cellStyle name="level1a 3 5 4 3" xfId="3535"/>
    <cellStyle name="level1a 3 5 4 3 2" xfId="3536"/>
    <cellStyle name="level1a 3 5 4 3 2 2" xfId="3537"/>
    <cellStyle name="level1a 3 5 4 3 2 2 2" xfId="27936"/>
    <cellStyle name="level1a 3 5 4 3 2 3" xfId="27937"/>
    <cellStyle name="level1a 3 5 4 3 3" xfId="3538"/>
    <cellStyle name="level1a 3 5 4 3 3 2" xfId="27938"/>
    <cellStyle name="level1a 3 5 4 3 4" xfId="27939"/>
    <cellStyle name="level1a 3 5 4 4" xfId="3539"/>
    <cellStyle name="level1a 3 5 4 4 2" xfId="27940"/>
    <cellStyle name="level1a 3 5 4 5" xfId="3540"/>
    <cellStyle name="level1a 3 5 4 5 2" xfId="3541"/>
    <cellStyle name="level1a 3 5 4 5 2 2" xfId="27941"/>
    <cellStyle name="level1a 3 5 4 5 3" xfId="27942"/>
    <cellStyle name="level1a 3 5 4 6" xfId="3542"/>
    <cellStyle name="level1a 3 5 4 6 2" xfId="27943"/>
    <cellStyle name="level1a 3 5 4 7" xfId="27944"/>
    <cellStyle name="level1a 3 5 5" xfId="3543"/>
    <cellStyle name="level1a 3 5 5 2" xfId="3544"/>
    <cellStyle name="level1a 3 5 5 2 2" xfId="3545"/>
    <cellStyle name="level1a 3 5 5 2 2 2" xfId="3546"/>
    <cellStyle name="level1a 3 5 5 2 2 2 2" xfId="27945"/>
    <cellStyle name="level1a 3 5 5 2 2 3" xfId="27946"/>
    <cellStyle name="level1a 3 5 5 2 3" xfId="3547"/>
    <cellStyle name="level1a 3 5 5 2 3 2" xfId="27947"/>
    <cellStyle name="level1a 3 5 5 2 4" xfId="27948"/>
    <cellStyle name="level1a 3 5 5 3" xfId="3548"/>
    <cellStyle name="level1a 3 5 5 3 2" xfId="3549"/>
    <cellStyle name="level1a 3 5 5 3 2 2" xfId="3550"/>
    <cellStyle name="level1a 3 5 5 3 2 2 2" xfId="27949"/>
    <cellStyle name="level1a 3 5 5 3 2 3" xfId="27950"/>
    <cellStyle name="level1a 3 5 5 3 3" xfId="3551"/>
    <cellStyle name="level1a 3 5 5 3 3 2" xfId="27951"/>
    <cellStyle name="level1a 3 5 5 3 4" xfId="27952"/>
    <cellStyle name="level1a 3 5 5 4" xfId="3552"/>
    <cellStyle name="level1a 3 5 5 4 2" xfId="3553"/>
    <cellStyle name="level1a 3 5 5 4 2 2" xfId="27953"/>
    <cellStyle name="level1a 3 5 5 4 3" xfId="27954"/>
    <cellStyle name="level1a 3 5 5 5" xfId="3554"/>
    <cellStyle name="level1a 3 5 5 5 2" xfId="27955"/>
    <cellStyle name="level1a 3 5 5 6" xfId="27956"/>
    <cellStyle name="level1a 3 5 6" xfId="3555"/>
    <cellStyle name="level1a 3 5 6 2" xfId="3556"/>
    <cellStyle name="level1a 3 5 6 2 2" xfId="3557"/>
    <cellStyle name="level1a 3 5 6 2 2 2" xfId="3558"/>
    <cellStyle name="level1a 3 5 6 2 2 2 2" xfId="27957"/>
    <cellStyle name="level1a 3 5 6 2 2 3" xfId="27958"/>
    <cellStyle name="level1a 3 5 6 2 3" xfId="3559"/>
    <cellStyle name="level1a 3 5 6 2 3 2" xfId="27959"/>
    <cellStyle name="level1a 3 5 6 2 4" xfId="27960"/>
    <cellStyle name="level1a 3 5 6 3" xfId="3560"/>
    <cellStyle name="level1a 3 5 6 3 2" xfId="3561"/>
    <cellStyle name="level1a 3 5 6 3 2 2" xfId="3562"/>
    <cellStyle name="level1a 3 5 6 3 2 2 2" xfId="27961"/>
    <cellStyle name="level1a 3 5 6 3 2 3" xfId="27962"/>
    <cellStyle name="level1a 3 5 6 3 3" xfId="3563"/>
    <cellStyle name="level1a 3 5 6 3 3 2" xfId="27963"/>
    <cellStyle name="level1a 3 5 6 3 4" xfId="27964"/>
    <cellStyle name="level1a 3 5 6 4" xfId="3564"/>
    <cellStyle name="level1a 3 5 6 4 2" xfId="3565"/>
    <cellStyle name="level1a 3 5 6 4 2 2" xfId="27965"/>
    <cellStyle name="level1a 3 5 6 4 3" xfId="27966"/>
    <cellStyle name="level1a 3 5 6 5" xfId="3566"/>
    <cellStyle name="level1a 3 5 6 5 2" xfId="27967"/>
    <cellStyle name="level1a 3 5 6 6" xfId="27968"/>
    <cellStyle name="level1a 3 5 7" xfId="3567"/>
    <cellStyle name="level1a 3 5 7 2" xfId="3568"/>
    <cellStyle name="level1a 3 5 7 2 2" xfId="3569"/>
    <cellStyle name="level1a 3 5 7 2 2 2" xfId="27969"/>
    <cellStyle name="level1a 3 5 7 2 3" xfId="27970"/>
    <cellStyle name="level1a 3 5 7 3" xfId="3570"/>
    <cellStyle name="level1a 3 5 7 3 2" xfId="27971"/>
    <cellStyle name="level1a 3 5 7 4" xfId="27972"/>
    <cellStyle name="level1a 3 5 8" xfId="27973"/>
    <cellStyle name="level1a 3 5_STUD aligned by INSTIT" xfId="3571"/>
    <cellStyle name="level1a 3 6" xfId="3572"/>
    <cellStyle name="level1a 3 6 2" xfId="3573"/>
    <cellStyle name="level1a 3 6 2 2" xfId="3574"/>
    <cellStyle name="level1a 3 6 2 2 2" xfId="3575"/>
    <cellStyle name="level1a 3 6 2 2 2 2" xfId="3576"/>
    <cellStyle name="level1a 3 6 2 2 2 2 2" xfId="27974"/>
    <cellStyle name="level1a 3 6 2 2 2 3" xfId="27975"/>
    <cellStyle name="level1a 3 6 2 2 3" xfId="3577"/>
    <cellStyle name="level1a 3 6 2 2 3 2" xfId="27976"/>
    <cellStyle name="level1a 3 6 2 2 4" xfId="27977"/>
    <cellStyle name="level1a 3 6 2 3" xfId="3578"/>
    <cellStyle name="level1a 3 6 2 3 2" xfId="3579"/>
    <cellStyle name="level1a 3 6 2 3 2 2" xfId="3580"/>
    <cellStyle name="level1a 3 6 2 3 2 2 2" xfId="27978"/>
    <cellStyle name="level1a 3 6 2 3 2 3" xfId="27979"/>
    <cellStyle name="level1a 3 6 2 3 3" xfId="3581"/>
    <cellStyle name="level1a 3 6 2 3 3 2" xfId="27980"/>
    <cellStyle name="level1a 3 6 2 3 4" xfId="27981"/>
    <cellStyle name="level1a 3 6 2 4" xfId="3582"/>
    <cellStyle name="level1a 3 6 2 4 2" xfId="27982"/>
    <cellStyle name="level1a 3 6 2 5" xfId="3583"/>
    <cellStyle name="level1a 3 6 2 5 2" xfId="3584"/>
    <cellStyle name="level1a 3 6 2 5 2 2" xfId="27983"/>
    <cellStyle name="level1a 3 6 2 5 3" xfId="27984"/>
    <cellStyle name="level1a 3 6 2 6" xfId="3585"/>
    <cellStyle name="level1a 3 6 2 6 2" xfId="27985"/>
    <cellStyle name="level1a 3 6 2 7" xfId="27986"/>
    <cellStyle name="level1a 3 6 3" xfId="3586"/>
    <cellStyle name="level1a 3 6 3 2" xfId="3587"/>
    <cellStyle name="level1a 3 6 3 2 2" xfId="3588"/>
    <cellStyle name="level1a 3 6 3 2 2 2" xfId="3589"/>
    <cellStyle name="level1a 3 6 3 2 2 2 2" xfId="27987"/>
    <cellStyle name="level1a 3 6 3 2 2 3" xfId="27988"/>
    <cellStyle name="level1a 3 6 3 2 3" xfId="3590"/>
    <cellStyle name="level1a 3 6 3 2 3 2" xfId="27989"/>
    <cellStyle name="level1a 3 6 3 2 4" xfId="27990"/>
    <cellStyle name="level1a 3 6 3 3" xfId="3591"/>
    <cellStyle name="level1a 3 6 3 3 2" xfId="3592"/>
    <cellStyle name="level1a 3 6 3 3 2 2" xfId="3593"/>
    <cellStyle name="level1a 3 6 3 3 2 2 2" xfId="27991"/>
    <cellStyle name="level1a 3 6 3 3 2 3" xfId="27992"/>
    <cellStyle name="level1a 3 6 3 3 3" xfId="3594"/>
    <cellStyle name="level1a 3 6 3 3 3 2" xfId="27993"/>
    <cellStyle name="level1a 3 6 3 3 4" xfId="27994"/>
    <cellStyle name="level1a 3 6 3 4" xfId="3595"/>
    <cellStyle name="level1a 3 6 3 4 2" xfId="27995"/>
    <cellStyle name="level1a 3 6 3 5" xfId="27996"/>
    <cellStyle name="level1a 3 6 4" xfId="3596"/>
    <cellStyle name="level1a 3 6 4 2" xfId="3597"/>
    <cellStyle name="level1a 3 6 4 2 2" xfId="3598"/>
    <cellStyle name="level1a 3 6 4 2 2 2" xfId="3599"/>
    <cellStyle name="level1a 3 6 4 2 2 2 2" xfId="27997"/>
    <cellStyle name="level1a 3 6 4 2 2 3" xfId="27998"/>
    <cellStyle name="level1a 3 6 4 2 3" xfId="3600"/>
    <cellStyle name="level1a 3 6 4 2 3 2" xfId="27999"/>
    <cellStyle name="level1a 3 6 4 2 4" xfId="28000"/>
    <cellStyle name="level1a 3 6 4 3" xfId="3601"/>
    <cellStyle name="level1a 3 6 4 3 2" xfId="3602"/>
    <cellStyle name="level1a 3 6 4 3 2 2" xfId="3603"/>
    <cellStyle name="level1a 3 6 4 3 2 2 2" xfId="28001"/>
    <cellStyle name="level1a 3 6 4 3 2 3" xfId="28002"/>
    <cellStyle name="level1a 3 6 4 3 3" xfId="3604"/>
    <cellStyle name="level1a 3 6 4 3 3 2" xfId="28003"/>
    <cellStyle name="level1a 3 6 4 3 4" xfId="28004"/>
    <cellStyle name="level1a 3 6 4 4" xfId="3605"/>
    <cellStyle name="level1a 3 6 4 4 2" xfId="3606"/>
    <cellStyle name="level1a 3 6 4 4 2 2" xfId="28005"/>
    <cellStyle name="level1a 3 6 4 4 3" xfId="28006"/>
    <cellStyle name="level1a 3 6 4 5" xfId="3607"/>
    <cellStyle name="level1a 3 6 4 5 2" xfId="28007"/>
    <cellStyle name="level1a 3 6 4 6" xfId="28008"/>
    <cellStyle name="level1a 3 6 5" xfId="3608"/>
    <cellStyle name="level1a 3 6 5 2" xfId="3609"/>
    <cellStyle name="level1a 3 6 5 2 2" xfId="3610"/>
    <cellStyle name="level1a 3 6 5 2 2 2" xfId="3611"/>
    <cellStyle name="level1a 3 6 5 2 2 2 2" xfId="28009"/>
    <cellStyle name="level1a 3 6 5 2 2 3" xfId="28010"/>
    <cellStyle name="level1a 3 6 5 2 3" xfId="3612"/>
    <cellStyle name="level1a 3 6 5 2 3 2" xfId="28011"/>
    <cellStyle name="level1a 3 6 5 2 4" xfId="28012"/>
    <cellStyle name="level1a 3 6 5 3" xfId="3613"/>
    <cellStyle name="level1a 3 6 5 3 2" xfId="3614"/>
    <cellStyle name="level1a 3 6 5 3 2 2" xfId="3615"/>
    <cellStyle name="level1a 3 6 5 3 2 2 2" xfId="28013"/>
    <cellStyle name="level1a 3 6 5 3 2 3" xfId="28014"/>
    <cellStyle name="level1a 3 6 5 3 3" xfId="3616"/>
    <cellStyle name="level1a 3 6 5 3 3 2" xfId="28015"/>
    <cellStyle name="level1a 3 6 5 3 4" xfId="28016"/>
    <cellStyle name="level1a 3 6 5 4" xfId="3617"/>
    <cellStyle name="level1a 3 6 5 4 2" xfId="3618"/>
    <cellStyle name="level1a 3 6 5 4 2 2" xfId="28017"/>
    <cellStyle name="level1a 3 6 5 4 3" xfId="28018"/>
    <cellStyle name="level1a 3 6 5 5" xfId="3619"/>
    <cellStyle name="level1a 3 6 5 5 2" xfId="28019"/>
    <cellStyle name="level1a 3 6 5 6" xfId="28020"/>
    <cellStyle name="level1a 3 6 6" xfId="3620"/>
    <cellStyle name="level1a 3 6 6 2" xfId="3621"/>
    <cellStyle name="level1a 3 6 6 2 2" xfId="3622"/>
    <cellStyle name="level1a 3 6 6 2 2 2" xfId="3623"/>
    <cellStyle name="level1a 3 6 6 2 2 2 2" xfId="28021"/>
    <cellStyle name="level1a 3 6 6 2 2 3" xfId="28022"/>
    <cellStyle name="level1a 3 6 6 2 3" xfId="3624"/>
    <cellStyle name="level1a 3 6 6 2 3 2" xfId="28023"/>
    <cellStyle name="level1a 3 6 6 2 4" xfId="28024"/>
    <cellStyle name="level1a 3 6 6 3" xfId="3625"/>
    <cellStyle name="level1a 3 6 6 3 2" xfId="3626"/>
    <cellStyle name="level1a 3 6 6 3 2 2" xfId="3627"/>
    <cellStyle name="level1a 3 6 6 3 2 2 2" xfId="28025"/>
    <cellStyle name="level1a 3 6 6 3 2 3" xfId="28026"/>
    <cellStyle name="level1a 3 6 6 3 3" xfId="3628"/>
    <cellStyle name="level1a 3 6 6 3 3 2" xfId="28027"/>
    <cellStyle name="level1a 3 6 6 3 4" xfId="28028"/>
    <cellStyle name="level1a 3 6 6 4" xfId="3629"/>
    <cellStyle name="level1a 3 6 6 4 2" xfId="3630"/>
    <cellStyle name="level1a 3 6 6 4 2 2" xfId="28029"/>
    <cellStyle name="level1a 3 6 6 4 3" xfId="28030"/>
    <cellStyle name="level1a 3 6 6 5" xfId="3631"/>
    <cellStyle name="level1a 3 6 6 5 2" xfId="28031"/>
    <cellStyle name="level1a 3 6 6 6" xfId="28032"/>
    <cellStyle name="level1a 3 6 7" xfId="3632"/>
    <cellStyle name="level1a 3 6 7 2" xfId="3633"/>
    <cellStyle name="level1a 3 6 7 2 2" xfId="3634"/>
    <cellStyle name="level1a 3 6 7 2 2 2" xfId="28033"/>
    <cellStyle name="level1a 3 6 7 2 3" xfId="28034"/>
    <cellStyle name="level1a 3 6 7 3" xfId="3635"/>
    <cellStyle name="level1a 3 6 7 3 2" xfId="28035"/>
    <cellStyle name="level1a 3 6 7 4" xfId="28036"/>
    <cellStyle name="level1a 3 6 8" xfId="3636"/>
    <cellStyle name="level1a 3 6 8 2" xfId="3637"/>
    <cellStyle name="level1a 3 6 8 2 2" xfId="3638"/>
    <cellStyle name="level1a 3 6 8 2 2 2" xfId="28037"/>
    <cellStyle name="level1a 3 6 8 2 3" xfId="28038"/>
    <cellStyle name="level1a 3 6 8 3" xfId="3639"/>
    <cellStyle name="level1a 3 6 8 3 2" xfId="28039"/>
    <cellStyle name="level1a 3 6 8 4" xfId="28040"/>
    <cellStyle name="level1a 3 6 9" xfId="28041"/>
    <cellStyle name="level1a 3 6_STUD aligned by INSTIT" xfId="3640"/>
    <cellStyle name="level1a 3 7" xfId="3641"/>
    <cellStyle name="level1a 3 7 2" xfId="3642"/>
    <cellStyle name="level1a 3 7 2 2" xfId="3643"/>
    <cellStyle name="level1a 3 7 2 2 2" xfId="3644"/>
    <cellStyle name="level1a 3 7 2 2 2 2" xfId="28042"/>
    <cellStyle name="level1a 3 7 2 2 3" xfId="28043"/>
    <cellStyle name="level1a 3 7 2 3" xfId="3645"/>
    <cellStyle name="level1a 3 7 2 3 2" xfId="28044"/>
    <cellStyle name="level1a 3 7 2 4" xfId="28045"/>
    <cellStyle name="level1a 3 7 3" xfId="3646"/>
    <cellStyle name="level1a 3 7 3 2" xfId="3647"/>
    <cellStyle name="level1a 3 7 3 2 2" xfId="3648"/>
    <cellStyle name="level1a 3 7 3 2 2 2" xfId="28046"/>
    <cellStyle name="level1a 3 7 3 2 3" xfId="28047"/>
    <cellStyle name="level1a 3 7 3 3" xfId="3649"/>
    <cellStyle name="level1a 3 7 3 3 2" xfId="28048"/>
    <cellStyle name="level1a 3 7 3 4" xfId="28049"/>
    <cellStyle name="level1a 3 7 4" xfId="3650"/>
    <cellStyle name="level1a 3 7 4 2" xfId="28050"/>
    <cellStyle name="level1a 3 7 5" xfId="3651"/>
    <cellStyle name="level1a 3 7 5 2" xfId="3652"/>
    <cellStyle name="level1a 3 7 5 2 2" xfId="28051"/>
    <cellStyle name="level1a 3 7 5 3" xfId="28052"/>
    <cellStyle name="level1a 3 7 6" xfId="28053"/>
    <cellStyle name="level1a 3 8" xfId="3653"/>
    <cellStyle name="level1a 3 8 2" xfId="3654"/>
    <cellStyle name="level1a 3 8 2 2" xfId="3655"/>
    <cellStyle name="level1a 3 8 2 2 2" xfId="3656"/>
    <cellStyle name="level1a 3 8 2 2 2 2" xfId="28054"/>
    <cellStyle name="level1a 3 8 2 2 3" xfId="28055"/>
    <cellStyle name="level1a 3 8 2 3" xfId="3657"/>
    <cellStyle name="level1a 3 8 2 3 2" xfId="28056"/>
    <cellStyle name="level1a 3 8 2 4" xfId="28057"/>
    <cellStyle name="level1a 3 8 3" xfId="3658"/>
    <cellStyle name="level1a 3 8 3 2" xfId="3659"/>
    <cellStyle name="level1a 3 8 3 2 2" xfId="3660"/>
    <cellStyle name="level1a 3 8 3 2 2 2" xfId="28058"/>
    <cellStyle name="level1a 3 8 3 2 3" xfId="28059"/>
    <cellStyle name="level1a 3 8 3 3" xfId="3661"/>
    <cellStyle name="level1a 3 8 3 3 2" xfId="28060"/>
    <cellStyle name="level1a 3 8 3 4" xfId="28061"/>
    <cellStyle name="level1a 3 8 4" xfId="3662"/>
    <cellStyle name="level1a 3 8 4 2" xfId="28062"/>
    <cellStyle name="level1a 3 8 5" xfId="3663"/>
    <cellStyle name="level1a 3 8 5 2" xfId="3664"/>
    <cellStyle name="level1a 3 8 5 2 2" xfId="28063"/>
    <cellStyle name="level1a 3 8 5 3" xfId="28064"/>
    <cellStyle name="level1a 3 8 6" xfId="3665"/>
    <cellStyle name="level1a 3 8 6 2" xfId="28065"/>
    <cellStyle name="level1a 3 8 7" xfId="28066"/>
    <cellStyle name="level1a 3 9" xfId="3666"/>
    <cellStyle name="level1a 3 9 2" xfId="3667"/>
    <cellStyle name="level1a 3 9 2 2" xfId="3668"/>
    <cellStyle name="level1a 3 9 2 2 2" xfId="3669"/>
    <cellStyle name="level1a 3 9 2 2 2 2" xfId="28067"/>
    <cellStyle name="level1a 3 9 2 2 3" xfId="28068"/>
    <cellStyle name="level1a 3 9 2 3" xfId="3670"/>
    <cellStyle name="level1a 3 9 2 3 2" xfId="28069"/>
    <cellStyle name="level1a 3 9 2 4" xfId="28070"/>
    <cellStyle name="level1a 3 9 3" xfId="3671"/>
    <cellStyle name="level1a 3 9 3 2" xfId="3672"/>
    <cellStyle name="level1a 3 9 3 2 2" xfId="3673"/>
    <cellStyle name="level1a 3 9 3 2 2 2" xfId="28071"/>
    <cellStyle name="level1a 3 9 3 2 3" xfId="28072"/>
    <cellStyle name="level1a 3 9 3 3" xfId="3674"/>
    <cellStyle name="level1a 3 9 3 3 2" xfId="28073"/>
    <cellStyle name="level1a 3 9 3 4" xfId="28074"/>
    <cellStyle name="level1a 3 9 4" xfId="3675"/>
    <cellStyle name="level1a 3 9 4 2" xfId="28075"/>
    <cellStyle name="level1a 3 9 5" xfId="3676"/>
    <cellStyle name="level1a 3 9 5 2" xfId="28076"/>
    <cellStyle name="level1a 3 9 6" xfId="28077"/>
    <cellStyle name="level1a 3_STUD aligned by INSTIT" xfId="3677"/>
    <cellStyle name="level1a 4" xfId="23"/>
    <cellStyle name="level1a 4 10" xfId="3678"/>
    <cellStyle name="level1a 4 10 2" xfId="28078"/>
    <cellStyle name="level1a 4 11" xfId="28079"/>
    <cellStyle name="level1a 4 2" xfId="3679"/>
    <cellStyle name="level1a 4 2 2" xfId="3680"/>
    <cellStyle name="level1a 4 2 2 2" xfId="3681"/>
    <cellStyle name="level1a 4 2 2 2 2" xfId="3682"/>
    <cellStyle name="level1a 4 2 2 2 2 2" xfId="3683"/>
    <cellStyle name="level1a 4 2 2 2 2 2 2" xfId="28080"/>
    <cellStyle name="level1a 4 2 2 2 2 3" xfId="28081"/>
    <cellStyle name="level1a 4 2 2 2 3" xfId="3684"/>
    <cellStyle name="level1a 4 2 2 2 3 2" xfId="28082"/>
    <cellStyle name="level1a 4 2 2 2 4" xfId="28083"/>
    <cellStyle name="level1a 4 2 2 3" xfId="3685"/>
    <cellStyle name="level1a 4 2 2 3 2" xfId="3686"/>
    <cellStyle name="level1a 4 2 2 3 2 2" xfId="3687"/>
    <cellStyle name="level1a 4 2 2 3 2 2 2" xfId="28084"/>
    <cellStyle name="level1a 4 2 2 3 2 3" xfId="28085"/>
    <cellStyle name="level1a 4 2 2 3 3" xfId="3688"/>
    <cellStyle name="level1a 4 2 2 3 3 2" xfId="28086"/>
    <cellStyle name="level1a 4 2 2 3 4" xfId="28087"/>
    <cellStyle name="level1a 4 2 2 4" xfId="3689"/>
    <cellStyle name="level1a 4 2 2 4 2" xfId="28088"/>
    <cellStyle name="level1a 4 2 2 5" xfId="3690"/>
    <cellStyle name="level1a 4 2 2 5 2" xfId="3691"/>
    <cellStyle name="level1a 4 2 2 5 2 2" xfId="28089"/>
    <cellStyle name="level1a 4 2 2 5 3" xfId="28090"/>
    <cellStyle name="level1a 4 2 2 6" xfId="28091"/>
    <cellStyle name="level1a 4 2 3" xfId="3692"/>
    <cellStyle name="level1a 4 2 3 2" xfId="3693"/>
    <cellStyle name="level1a 4 2 3 2 2" xfId="3694"/>
    <cellStyle name="level1a 4 2 3 2 2 2" xfId="3695"/>
    <cellStyle name="level1a 4 2 3 2 2 2 2" xfId="28092"/>
    <cellStyle name="level1a 4 2 3 2 2 3" xfId="28093"/>
    <cellStyle name="level1a 4 2 3 2 3" xfId="3696"/>
    <cellStyle name="level1a 4 2 3 2 3 2" xfId="28094"/>
    <cellStyle name="level1a 4 2 3 2 4" xfId="28095"/>
    <cellStyle name="level1a 4 2 3 3" xfId="3697"/>
    <cellStyle name="level1a 4 2 3 3 2" xfId="3698"/>
    <cellStyle name="level1a 4 2 3 3 2 2" xfId="3699"/>
    <cellStyle name="level1a 4 2 3 3 2 2 2" xfId="28096"/>
    <cellStyle name="level1a 4 2 3 3 2 3" xfId="28097"/>
    <cellStyle name="level1a 4 2 3 3 3" xfId="3700"/>
    <cellStyle name="level1a 4 2 3 3 3 2" xfId="28098"/>
    <cellStyle name="level1a 4 2 3 3 4" xfId="28099"/>
    <cellStyle name="level1a 4 2 3 4" xfId="3701"/>
    <cellStyle name="level1a 4 2 3 4 2" xfId="28100"/>
    <cellStyle name="level1a 4 2 3 5" xfId="3702"/>
    <cellStyle name="level1a 4 2 3 5 2" xfId="28101"/>
    <cellStyle name="level1a 4 2 3 6" xfId="28102"/>
    <cellStyle name="level1a 4 2 4" xfId="3703"/>
    <cellStyle name="level1a 4 2 4 2" xfId="3704"/>
    <cellStyle name="level1a 4 2 4 2 2" xfId="3705"/>
    <cellStyle name="level1a 4 2 4 2 2 2" xfId="3706"/>
    <cellStyle name="level1a 4 2 4 2 2 2 2" xfId="28103"/>
    <cellStyle name="level1a 4 2 4 2 2 3" xfId="28104"/>
    <cellStyle name="level1a 4 2 4 2 3" xfId="3707"/>
    <cellStyle name="level1a 4 2 4 2 3 2" xfId="28105"/>
    <cellStyle name="level1a 4 2 4 2 4" xfId="28106"/>
    <cellStyle name="level1a 4 2 4 3" xfId="3708"/>
    <cellStyle name="level1a 4 2 4 3 2" xfId="3709"/>
    <cellStyle name="level1a 4 2 4 3 2 2" xfId="3710"/>
    <cellStyle name="level1a 4 2 4 3 2 2 2" xfId="28107"/>
    <cellStyle name="level1a 4 2 4 3 2 3" xfId="28108"/>
    <cellStyle name="level1a 4 2 4 3 3" xfId="3711"/>
    <cellStyle name="level1a 4 2 4 3 3 2" xfId="28109"/>
    <cellStyle name="level1a 4 2 4 3 4" xfId="28110"/>
    <cellStyle name="level1a 4 2 4 4" xfId="3712"/>
    <cellStyle name="level1a 4 2 4 4 2" xfId="28111"/>
    <cellStyle name="level1a 4 2 4 5" xfId="3713"/>
    <cellStyle name="level1a 4 2 4 5 2" xfId="3714"/>
    <cellStyle name="level1a 4 2 4 5 2 2" xfId="28112"/>
    <cellStyle name="level1a 4 2 4 5 3" xfId="28113"/>
    <cellStyle name="level1a 4 2 4 6" xfId="3715"/>
    <cellStyle name="level1a 4 2 4 6 2" xfId="28114"/>
    <cellStyle name="level1a 4 2 4 7" xfId="28115"/>
    <cellStyle name="level1a 4 2 5" xfId="3716"/>
    <cellStyle name="level1a 4 2 5 2" xfId="3717"/>
    <cellStyle name="level1a 4 2 5 2 2" xfId="3718"/>
    <cellStyle name="level1a 4 2 5 2 2 2" xfId="3719"/>
    <cellStyle name="level1a 4 2 5 2 2 2 2" xfId="28116"/>
    <cellStyle name="level1a 4 2 5 2 2 3" xfId="28117"/>
    <cellStyle name="level1a 4 2 5 2 3" xfId="3720"/>
    <cellStyle name="level1a 4 2 5 2 3 2" xfId="28118"/>
    <cellStyle name="level1a 4 2 5 2 4" xfId="28119"/>
    <cellStyle name="level1a 4 2 5 3" xfId="3721"/>
    <cellStyle name="level1a 4 2 5 3 2" xfId="3722"/>
    <cellStyle name="level1a 4 2 5 3 2 2" xfId="3723"/>
    <cellStyle name="level1a 4 2 5 3 2 2 2" xfId="28120"/>
    <cellStyle name="level1a 4 2 5 3 2 3" xfId="28121"/>
    <cellStyle name="level1a 4 2 5 3 3" xfId="3724"/>
    <cellStyle name="level1a 4 2 5 3 3 2" xfId="28122"/>
    <cellStyle name="level1a 4 2 5 3 4" xfId="28123"/>
    <cellStyle name="level1a 4 2 5 4" xfId="3725"/>
    <cellStyle name="level1a 4 2 5 4 2" xfId="3726"/>
    <cellStyle name="level1a 4 2 5 4 2 2" xfId="28124"/>
    <cellStyle name="level1a 4 2 5 4 3" xfId="28125"/>
    <cellStyle name="level1a 4 2 5 5" xfId="3727"/>
    <cellStyle name="level1a 4 2 5 5 2" xfId="28126"/>
    <cellStyle name="level1a 4 2 5 6" xfId="28127"/>
    <cellStyle name="level1a 4 2 6" xfId="3728"/>
    <cellStyle name="level1a 4 2 6 2" xfId="3729"/>
    <cellStyle name="level1a 4 2 6 2 2" xfId="3730"/>
    <cellStyle name="level1a 4 2 6 2 2 2" xfId="3731"/>
    <cellStyle name="level1a 4 2 6 2 2 2 2" xfId="28128"/>
    <cellStyle name="level1a 4 2 6 2 2 3" xfId="28129"/>
    <cellStyle name="level1a 4 2 6 2 3" xfId="3732"/>
    <cellStyle name="level1a 4 2 6 2 3 2" xfId="28130"/>
    <cellStyle name="level1a 4 2 6 2 4" xfId="28131"/>
    <cellStyle name="level1a 4 2 6 3" xfId="3733"/>
    <cellStyle name="level1a 4 2 6 3 2" xfId="3734"/>
    <cellStyle name="level1a 4 2 6 3 2 2" xfId="3735"/>
    <cellStyle name="level1a 4 2 6 3 2 2 2" xfId="28132"/>
    <cellStyle name="level1a 4 2 6 3 2 3" xfId="28133"/>
    <cellStyle name="level1a 4 2 6 3 3" xfId="3736"/>
    <cellStyle name="level1a 4 2 6 3 3 2" xfId="28134"/>
    <cellStyle name="level1a 4 2 6 3 4" xfId="28135"/>
    <cellStyle name="level1a 4 2 6 4" xfId="3737"/>
    <cellStyle name="level1a 4 2 6 4 2" xfId="3738"/>
    <cellStyle name="level1a 4 2 6 4 2 2" xfId="28136"/>
    <cellStyle name="level1a 4 2 6 4 3" xfId="28137"/>
    <cellStyle name="level1a 4 2 6 5" xfId="3739"/>
    <cellStyle name="level1a 4 2 6 5 2" xfId="28138"/>
    <cellStyle name="level1a 4 2 6 6" xfId="28139"/>
    <cellStyle name="level1a 4 2 7" xfId="3740"/>
    <cellStyle name="level1a 4 2 7 2" xfId="3741"/>
    <cellStyle name="level1a 4 2 7 2 2" xfId="3742"/>
    <cellStyle name="level1a 4 2 7 2 2 2" xfId="28140"/>
    <cellStyle name="level1a 4 2 7 2 3" xfId="28141"/>
    <cellStyle name="level1a 4 2 7 3" xfId="3743"/>
    <cellStyle name="level1a 4 2 7 3 2" xfId="28142"/>
    <cellStyle name="level1a 4 2 7 4" xfId="28143"/>
    <cellStyle name="level1a 4 2 8" xfId="28144"/>
    <cellStyle name="level1a 4 2_STUD aligned by INSTIT" xfId="3744"/>
    <cellStyle name="level1a 4 3" xfId="3745"/>
    <cellStyle name="level1a 4 3 2" xfId="3746"/>
    <cellStyle name="level1a 4 3 2 2" xfId="3747"/>
    <cellStyle name="level1a 4 3 2 2 2" xfId="3748"/>
    <cellStyle name="level1a 4 3 2 2 2 2" xfId="3749"/>
    <cellStyle name="level1a 4 3 2 2 2 2 2" xfId="28145"/>
    <cellStyle name="level1a 4 3 2 2 2 3" xfId="28146"/>
    <cellStyle name="level1a 4 3 2 2 3" xfId="3750"/>
    <cellStyle name="level1a 4 3 2 2 3 2" xfId="28147"/>
    <cellStyle name="level1a 4 3 2 2 4" xfId="28148"/>
    <cellStyle name="level1a 4 3 2 3" xfId="3751"/>
    <cellStyle name="level1a 4 3 2 3 2" xfId="3752"/>
    <cellStyle name="level1a 4 3 2 3 2 2" xfId="3753"/>
    <cellStyle name="level1a 4 3 2 3 2 2 2" xfId="28149"/>
    <cellStyle name="level1a 4 3 2 3 2 3" xfId="28150"/>
    <cellStyle name="level1a 4 3 2 3 3" xfId="3754"/>
    <cellStyle name="level1a 4 3 2 3 3 2" xfId="28151"/>
    <cellStyle name="level1a 4 3 2 3 4" xfId="28152"/>
    <cellStyle name="level1a 4 3 2 4" xfId="3755"/>
    <cellStyle name="level1a 4 3 2 4 2" xfId="28153"/>
    <cellStyle name="level1a 4 3 2 5" xfId="3756"/>
    <cellStyle name="level1a 4 3 2 5 2" xfId="28154"/>
    <cellStyle name="level1a 4 3 2 6" xfId="28155"/>
    <cellStyle name="level1a 4 3 3" xfId="3757"/>
    <cellStyle name="level1a 4 3 3 2" xfId="3758"/>
    <cellStyle name="level1a 4 3 3 2 2" xfId="3759"/>
    <cellStyle name="level1a 4 3 3 2 2 2" xfId="3760"/>
    <cellStyle name="level1a 4 3 3 2 2 2 2" xfId="28156"/>
    <cellStyle name="level1a 4 3 3 2 2 3" xfId="28157"/>
    <cellStyle name="level1a 4 3 3 2 3" xfId="3761"/>
    <cellStyle name="level1a 4 3 3 2 3 2" xfId="28158"/>
    <cellStyle name="level1a 4 3 3 2 4" xfId="28159"/>
    <cellStyle name="level1a 4 3 3 3" xfId="3762"/>
    <cellStyle name="level1a 4 3 3 3 2" xfId="3763"/>
    <cellStyle name="level1a 4 3 3 3 2 2" xfId="3764"/>
    <cellStyle name="level1a 4 3 3 3 2 2 2" xfId="28160"/>
    <cellStyle name="level1a 4 3 3 3 2 3" xfId="28161"/>
    <cellStyle name="level1a 4 3 3 3 3" xfId="3765"/>
    <cellStyle name="level1a 4 3 3 3 3 2" xfId="28162"/>
    <cellStyle name="level1a 4 3 3 3 4" xfId="28163"/>
    <cellStyle name="level1a 4 3 3 4" xfId="3766"/>
    <cellStyle name="level1a 4 3 3 4 2" xfId="3767"/>
    <cellStyle name="level1a 4 3 3 4 2 2" xfId="28164"/>
    <cellStyle name="level1a 4 3 3 4 3" xfId="28165"/>
    <cellStyle name="level1a 4 3 3 5" xfId="28166"/>
    <cellStyle name="level1a 4 3 4" xfId="3768"/>
    <cellStyle name="level1a 4 3 4 2" xfId="3769"/>
    <cellStyle name="level1a 4 3 4 2 2" xfId="3770"/>
    <cellStyle name="level1a 4 3 4 2 2 2" xfId="3771"/>
    <cellStyle name="level1a 4 3 4 2 2 2 2" xfId="28167"/>
    <cellStyle name="level1a 4 3 4 2 2 3" xfId="28168"/>
    <cellStyle name="level1a 4 3 4 2 3" xfId="3772"/>
    <cellStyle name="level1a 4 3 4 2 3 2" xfId="28169"/>
    <cellStyle name="level1a 4 3 4 2 4" xfId="28170"/>
    <cellStyle name="level1a 4 3 4 3" xfId="3773"/>
    <cellStyle name="level1a 4 3 4 3 2" xfId="3774"/>
    <cellStyle name="level1a 4 3 4 3 2 2" xfId="3775"/>
    <cellStyle name="level1a 4 3 4 3 2 2 2" xfId="28171"/>
    <cellStyle name="level1a 4 3 4 3 2 3" xfId="28172"/>
    <cellStyle name="level1a 4 3 4 3 3" xfId="3776"/>
    <cellStyle name="level1a 4 3 4 3 3 2" xfId="28173"/>
    <cellStyle name="level1a 4 3 4 3 4" xfId="28174"/>
    <cellStyle name="level1a 4 3 4 4" xfId="3777"/>
    <cellStyle name="level1a 4 3 4 4 2" xfId="3778"/>
    <cellStyle name="level1a 4 3 4 4 2 2" xfId="28175"/>
    <cellStyle name="level1a 4 3 4 4 3" xfId="28176"/>
    <cellStyle name="level1a 4 3 4 5" xfId="3779"/>
    <cellStyle name="level1a 4 3 4 5 2" xfId="28177"/>
    <cellStyle name="level1a 4 3 4 6" xfId="28178"/>
    <cellStyle name="level1a 4 3 5" xfId="3780"/>
    <cellStyle name="level1a 4 3 5 2" xfId="3781"/>
    <cellStyle name="level1a 4 3 5 2 2" xfId="3782"/>
    <cellStyle name="level1a 4 3 5 2 2 2" xfId="3783"/>
    <cellStyle name="level1a 4 3 5 2 2 2 2" xfId="28179"/>
    <cellStyle name="level1a 4 3 5 2 2 3" xfId="28180"/>
    <cellStyle name="level1a 4 3 5 2 3" xfId="3784"/>
    <cellStyle name="level1a 4 3 5 2 3 2" xfId="28181"/>
    <cellStyle name="level1a 4 3 5 2 4" xfId="28182"/>
    <cellStyle name="level1a 4 3 5 3" xfId="3785"/>
    <cellStyle name="level1a 4 3 5 3 2" xfId="3786"/>
    <cellStyle name="level1a 4 3 5 3 2 2" xfId="3787"/>
    <cellStyle name="level1a 4 3 5 3 2 2 2" xfId="28183"/>
    <cellStyle name="level1a 4 3 5 3 2 3" xfId="28184"/>
    <cellStyle name="level1a 4 3 5 3 3" xfId="3788"/>
    <cellStyle name="level1a 4 3 5 3 3 2" xfId="28185"/>
    <cellStyle name="level1a 4 3 5 3 4" xfId="28186"/>
    <cellStyle name="level1a 4 3 5 4" xfId="3789"/>
    <cellStyle name="level1a 4 3 5 4 2" xfId="3790"/>
    <cellStyle name="level1a 4 3 5 4 2 2" xfId="28187"/>
    <cellStyle name="level1a 4 3 5 4 3" xfId="28188"/>
    <cellStyle name="level1a 4 3 5 5" xfId="3791"/>
    <cellStyle name="level1a 4 3 5 5 2" xfId="28189"/>
    <cellStyle name="level1a 4 3 5 6" xfId="28190"/>
    <cellStyle name="level1a 4 3 6" xfId="3792"/>
    <cellStyle name="level1a 4 3 6 2" xfId="3793"/>
    <cellStyle name="level1a 4 3 6 2 2" xfId="3794"/>
    <cellStyle name="level1a 4 3 6 2 2 2" xfId="3795"/>
    <cellStyle name="level1a 4 3 6 2 2 2 2" xfId="28191"/>
    <cellStyle name="level1a 4 3 6 2 2 3" xfId="28192"/>
    <cellStyle name="level1a 4 3 6 2 3" xfId="3796"/>
    <cellStyle name="level1a 4 3 6 2 3 2" xfId="28193"/>
    <cellStyle name="level1a 4 3 6 2 4" xfId="28194"/>
    <cellStyle name="level1a 4 3 6 3" xfId="3797"/>
    <cellStyle name="level1a 4 3 6 3 2" xfId="3798"/>
    <cellStyle name="level1a 4 3 6 3 2 2" xfId="3799"/>
    <cellStyle name="level1a 4 3 6 3 2 2 2" xfId="28195"/>
    <cellStyle name="level1a 4 3 6 3 2 3" xfId="28196"/>
    <cellStyle name="level1a 4 3 6 3 3" xfId="3800"/>
    <cellStyle name="level1a 4 3 6 3 3 2" xfId="28197"/>
    <cellStyle name="level1a 4 3 6 3 4" xfId="28198"/>
    <cellStyle name="level1a 4 3 6 4" xfId="3801"/>
    <cellStyle name="level1a 4 3 6 4 2" xfId="3802"/>
    <cellStyle name="level1a 4 3 6 4 2 2" xfId="28199"/>
    <cellStyle name="level1a 4 3 6 4 3" xfId="28200"/>
    <cellStyle name="level1a 4 3 6 5" xfId="3803"/>
    <cellStyle name="level1a 4 3 6 5 2" xfId="28201"/>
    <cellStyle name="level1a 4 3 6 6" xfId="28202"/>
    <cellStyle name="level1a 4 3 7" xfId="3804"/>
    <cellStyle name="level1a 4 3 7 2" xfId="3805"/>
    <cellStyle name="level1a 4 3 7 2 2" xfId="3806"/>
    <cellStyle name="level1a 4 3 7 2 2 2" xfId="28203"/>
    <cellStyle name="level1a 4 3 7 2 3" xfId="28204"/>
    <cellStyle name="level1a 4 3 7 3" xfId="3807"/>
    <cellStyle name="level1a 4 3 7 3 2" xfId="28205"/>
    <cellStyle name="level1a 4 3 7 4" xfId="28206"/>
    <cellStyle name="level1a 4 3 8" xfId="3808"/>
    <cellStyle name="level1a 4 3 8 2" xfId="3809"/>
    <cellStyle name="level1a 4 3 8 2 2" xfId="3810"/>
    <cellStyle name="level1a 4 3 8 2 2 2" xfId="28207"/>
    <cellStyle name="level1a 4 3 8 2 3" xfId="28208"/>
    <cellStyle name="level1a 4 3 8 3" xfId="3811"/>
    <cellStyle name="level1a 4 3 8 3 2" xfId="28209"/>
    <cellStyle name="level1a 4 3 8 4" xfId="28210"/>
    <cellStyle name="level1a 4 3 9" xfId="28211"/>
    <cellStyle name="level1a 4 3_STUD aligned by INSTIT" xfId="3812"/>
    <cellStyle name="level1a 4 4" xfId="3813"/>
    <cellStyle name="level1a 4 4 2" xfId="3814"/>
    <cellStyle name="level1a 4 4 2 2" xfId="3815"/>
    <cellStyle name="level1a 4 4 2 2 2" xfId="3816"/>
    <cellStyle name="level1a 4 4 2 2 2 2" xfId="28212"/>
    <cellStyle name="level1a 4 4 2 2 3" xfId="28213"/>
    <cellStyle name="level1a 4 4 2 3" xfId="3817"/>
    <cellStyle name="level1a 4 4 2 3 2" xfId="28214"/>
    <cellStyle name="level1a 4 4 2 4" xfId="28215"/>
    <cellStyle name="level1a 4 4 3" xfId="3818"/>
    <cellStyle name="level1a 4 4 3 2" xfId="3819"/>
    <cellStyle name="level1a 4 4 3 2 2" xfId="3820"/>
    <cellStyle name="level1a 4 4 3 2 2 2" xfId="28216"/>
    <cellStyle name="level1a 4 4 3 2 3" xfId="28217"/>
    <cellStyle name="level1a 4 4 3 3" xfId="3821"/>
    <cellStyle name="level1a 4 4 3 3 2" xfId="28218"/>
    <cellStyle name="level1a 4 4 3 4" xfId="28219"/>
    <cellStyle name="level1a 4 4 4" xfId="3822"/>
    <cellStyle name="level1a 4 4 4 2" xfId="28220"/>
    <cellStyle name="level1a 4 4 5" xfId="3823"/>
    <cellStyle name="level1a 4 4 5 2" xfId="3824"/>
    <cellStyle name="level1a 4 4 5 2 2" xfId="28221"/>
    <cellStyle name="level1a 4 4 5 3" xfId="28222"/>
    <cellStyle name="level1a 4 4 6" xfId="28223"/>
    <cellStyle name="level1a 4 5" xfId="3825"/>
    <cellStyle name="level1a 4 5 2" xfId="3826"/>
    <cellStyle name="level1a 4 5 2 2" xfId="3827"/>
    <cellStyle name="level1a 4 5 2 2 2" xfId="3828"/>
    <cellStyle name="level1a 4 5 2 2 2 2" xfId="28224"/>
    <cellStyle name="level1a 4 5 2 2 3" xfId="28225"/>
    <cellStyle name="level1a 4 5 2 3" xfId="3829"/>
    <cellStyle name="level1a 4 5 2 3 2" xfId="28226"/>
    <cellStyle name="level1a 4 5 2 4" xfId="28227"/>
    <cellStyle name="level1a 4 5 3" xfId="3830"/>
    <cellStyle name="level1a 4 5 3 2" xfId="3831"/>
    <cellStyle name="level1a 4 5 3 2 2" xfId="3832"/>
    <cellStyle name="level1a 4 5 3 2 2 2" xfId="28228"/>
    <cellStyle name="level1a 4 5 3 2 3" xfId="28229"/>
    <cellStyle name="level1a 4 5 3 3" xfId="3833"/>
    <cellStyle name="level1a 4 5 3 3 2" xfId="28230"/>
    <cellStyle name="level1a 4 5 3 4" xfId="28231"/>
    <cellStyle name="level1a 4 5 4" xfId="3834"/>
    <cellStyle name="level1a 4 5 4 2" xfId="28232"/>
    <cellStyle name="level1a 4 5 5" xfId="3835"/>
    <cellStyle name="level1a 4 5 5 2" xfId="3836"/>
    <cellStyle name="level1a 4 5 5 2 2" xfId="28233"/>
    <cellStyle name="level1a 4 5 5 3" xfId="28234"/>
    <cellStyle name="level1a 4 5 6" xfId="3837"/>
    <cellStyle name="level1a 4 5 6 2" xfId="28235"/>
    <cellStyle name="level1a 4 5 7" xfId="28236"/>
    <cellStyle name="level1a 4 6" xfId="3838"/>
    <cellStyle name="level1a 4 6 2" xfId="3839"/>
    <cellStyle name="level1a 4 6 2 2" xfId="3840"/>
    <cellStyle name="level1a 4 6 2 2 2" xfId="3841"/>
    <cellStyle name="level1a 4 6 2 2 2 2" xfId="28237"/>
    <cellStyle name="level1a 4 6 2 2 3" xfId="28238"/>
    <cellStyle name="level1a 4 6 2 3" xfId="3842"/>
    <cellStyle name="level1a 4 6 2 3 2" xfId="28239"/>
    <cellStyle name="level1a 4 6 2 4" xfId="28240"/>
    <cellStyle name="level1a 4 6 3" xfId="3843"/>
    <cellStyle name="level1a 4 6 3 2" xfId="3844"/>
    <cellStyle name="level1a 4 6 3 2 2" xfId="3845"/>
    <cellStyle name="level1a 4 6 3 2 2 2" xfId="28241"/>
    <cellStyle name="level1a 4 6 3 2 3" xfId="28242"/>
    <cellStyle name="level1a 4 6 3 3" xfId="3846"/>
    <cellStyle name="level1a 4 6 3 3 2" xfId="28243"/>
    <cellStyle name="level1a 4 6 3 4" xfId="28244"/>
    <cellStyle name="level1a 4 6 4" xfId="3847"/>
    <cellStyle name="level1a 4 6 4 2" xfId="28245"/>
    <cellStyle name="level1a 4 6 5" xfId="3848"/>
    <cellStyle name="level1a 4 6 5 2" xfId="28246"/>
    <cellStyle name="level1a 4 6 6" xfId="28247"/>
    <cellStyle name="level1a 4 7" xfId="3849"/>
    <cellStyle name="level1a 4 7 2" xfId="3850"/>
    <cellStyle name="level1a 4 7 2 2" xfId="3851"/>
    <cellStyle name="level1a 4 7 2 2 2" xfId="3852"/>
    <cellStyle name="level1a 4 7 2 2 2 2" xfId="28248"/>
    <cellStyle name="level1a 4 7 2 2 3" xfId="28249"/>
    <cellStyle name="level1a 4 7 2 3" xfId="3853"/>
    <cellStyle name="level1a 4 7 2 3 2" xfId="28250"/>
    <cellStyle name="level1a 4 7 2 4" xfId="28251"/>
    <cellStyle name="level1a 4 7 3" xfId="3854"/>
    <cellStyle name="level1a 4 7 3 2" xfId="3855"/>
    <cellStyle name="level1a 4 7 3 2 2" xfId="3856"/>
    <cellStyle name="level1a 4 7 3 2 2 2" xfId="28252"/>
    <cellStyle name="level1a 4 7 3 2 3" xfId="28253"/>
    <cellStyle name="level1a 4 7 3 3" xfId="3857"/>
    <cellStyle name="level1a 4 7 3 3 2" xfId="28254"/>
    <cellStyle name="level1a 4 7 3 4" xfId="28255"/>
    <cellStyle name="level1a 4 7 4" xfId="3858"/>
    <cellStyle name="level1a 4 7 4 2" xfId="28256"/>
    <cellStyle name="level1a 4 7 5" xfId="3859"/>
    <cellStyle name="level1a 4 7 5 2" xfId="3860"/>
    <cellStyle name="level1a 4 7 5 2 2" xfId="28257"/>
    <cellStyle name="level1a 4 7 5 3" xfId="28258"/>
    <cellStyle name="level1a 4 7 6" xfId="3861"/>
    <cellStyle name="level1a 4 7 6 2" xfId="28259"/>
    <cellStyle name="level1a 4 7 7" xfId="28260"/>
    <cellStyle name="level1a 4 8" xfId="3862"/>
    <cellStyle name="level1a 4 8 2" xfId="3863"/>
    <cellStyle name="level1a 4 8 2 2" xfId="3864"/>
    <cellStyle name="level1a 4 8 2 2 2" xfId="3865"/>
    <cellStyle name="level1a 4 8 2 2 2 2" xfId="28261"/>
    <cellStyle name="level1a 4 8 2 2 3" xfId="28262"/>
    <cellStyle name="level1a 4 8 2 3" xfId="3866"/>
    <cellStyle name="level1a 4 8 2 3 2" xfId="28263"/>
    <cellStyle name="level1a 4 8 2 4" xfId="28264"/>
    <cellStyle name="level1a 4 8 3" xfId="3867"/>
    <cellStyle name="level1a 4 8 3 2" xfId="3868"/>
    <cellStyle name="level1a 4 8 3 2 2" xfId="3869"/>
    <cellStyle name="level1a 4 8 3 2 2 2" xfId="28265"/>
    <cellStyle name="level1a 4 8 3 2 3" xfId="28266"/>
    <cellStyle name="level1a 4 8 3 3" xfId="3870"/>
    <cellStyle name="level1a 4 8 3 3 2" xfId="28267"/>
    <cellStyle name="level1a 4 8 3 4" xfId="28268"/>
    <cellStyle name="level1a 4 8 4" xfId="3871"/>
    <cellStyle name="level1a 4 8 4 2" xfId="3872"/>
    <cellStyle name="level1a 4 8 4 2 2" xfId="28269"/>
    <cellStyle name="level1a 4 8 4 3" xfId="28270"/>
    <cellStyle name="level1a 4 8 5" xfId="3873"/>
    <cellStyle name="level1a 4 8 5 2" xfId="28271"/>
    <cellStyle name="level1a 4 8 6" xfId="28272"/>
    <cellStyle name="level1a 4 9" xfId="3874"/>
    <cellStyle name="level1a 4 9 2" xfId="3875"/>
    <cellStyle name="level1a 4 9 2 2" xfId="3876"/>
    <cellStyle name="level1a 4 9 2 2 2" xfId="28273"/>
    <cellStyle name="level1a 4 9 2 3" xfId="28274"/>
    <cellStyle name="level1a 4 9 3" xfId="3877"/>
    <cellStyle name="level1a 4 9 3 2" xfId="28275"/>
    <cellStyle name="level1a 4 9 4" xfId="28276"/>
    <cellStyle name="level1a 4_STUD aligned by INSTIT" xfId="3878"/>
    <cellStyle name="level1a 5" xfId="24"/>
    <cellStyle name="level1a 5 2" xfId="3879"/>
    <cellStyle name="level1a 5 2 2" xfId="3880"/>
    <cellStyle name="level1a 5 2 2 2" xfId="3881"/>
    <cellStyle name="level1a 5 2 2 2 2" xfId="3882"/>
    <cellStyle name="level1a 5 2 2 2 2 2" xfId="28277"/>
    <cellStyle name="level1a 5 2 2 2 3" xfId="28278"/>
    <cellStyle name="level1a 5 2 2 3" xfId="3883"/>
    <cellStyle name="level1a 5 2 2 3 2" xfId="28279"/>
    <cellStyle name="level1a 5 2 2 4" xfId="28280"/>
    <cellStyle name="level1a 5 2 3" xfId="3884"/>
    <cellStyle name="level1a 5 2 3 2" xfId="3885"/>
    <cellStyle name="level1a 5 2 3 2 2" xfId="3886"/>
    <cellStyle name="level1a 5 2 3 2 2 2" xfId="28281"/>
    <cellStyle name="level1a 5 2 3 2 3" xfId="28282"/>
    <cellStyle name="level1a 5 2 3 3" xfId="3887"/>
    <cellStyle name="level1a 5 2 3 3 2" xfId="28283"/>
    <cellStyle name="level1a 5 2 3 4" xfId="28284"/>
    <cellStyle name="level1a 5 2 4" xfId="3888"/>
    <cellStyle name="level1a 5 2 4 2" xfId="28285"/>
    <cellStyle name="level1a 5 2 5" xfId="3889"/>
    <cellStyle name="level1a 5 2 5 2" xfId="3890"/>
    <cellStyle name="level1a 5 2 5 2 2" xfId="28286"/>
    <cellStyle name="level1a 5 2 5 3" xfId="28287"/>
    <cellStyle name="level1a 5 2 6" xfId="28288"/>
    <cellStyle name="level1a 5 3" xfId="3891"/>
    <cellStyle name="level1a 5 3 2" xfId="3892"/>
    <cellStyle name="level1a 5 3 2 2" xfId="3893"/>
    <cellStyle name="level1a 5 3 2 2 2" xfId="3894"/>
    <cellStyle name="level1a 5 3 2 2 2 2" xfId="28289"/>
    <cellStyle name="level1a 5 3 2 2 3" xfId="28290"/>
    <cellStyle name="level1a 5 3 2 3" xfId="3895"/>
    <cellStyle name="level1a 5 3 2 3 2" xfId="28291"/>
    <cellStyle name="level1a 5 3 2 4" xfId="28292"/>
    <cellStyle name="level1a 5 3 3" xfId="3896"/>
    <cellStyle name="level1a 5 3 3 2" xfId="3897"/>
    <cellStyle name="level1a 5 3 3 2 2" xfId="3898"/>
    <cellStyle name="level1a 5 3 3 2 2 2" xfId="28293"/>
    <cellStyle name="level1a 5 3 3 2 3" xfId="28294"/>
    <cellStyle name="level1a 5 3 3 3" xfId="3899"/>
    <cellStyle name="level1a 5 3 3 3 2" xfId="28295"/>
    <cellStyle name="level1a 5 3 3 4" xfId="28296"/>
    <cellStyle name="level1a 5 3 4" xfId="3900"/>
    <cellStyle name="level1a 5 3 4 2" xfId="28297"/>
    <cellStyle name="level1a 5 3 5" xfId="3901"/>
    <cellStyle name="level1a 5 3 5 2" xfId="28298"/>
    <cellStyle name="level1a 5 3 6" xfId="28299"/>
    <cellStyle name="level1a 5 4" xfId="3902"/>
    <cellStyle name="level1a 5 4 2" xfId="3903"/>
    <cellStyle name="level1a 5 4 2 2" xfId="3904"/>
    <cellStyle name="level1a 5 4 2 2 2" xfId="3905"/>
    <cellStyle name="level1a 5 4 2 2 2 2" xfId="28300"/>
    <cellStyle name="level1a 5 4 2 2 3" xfId="28301"/>
    <cellStyle name="level1a 5 4 2 3" xfId="3906"/>
    <cellStyle name="level1a 5 4 2 3 2" xfId="28302"/>
    <cellStyle name="level1a 5 4 2 4" xfId="28303"/>
    <cellStyle name="level1a 5 4 3" xfId="3907"/>
    <cellStyle name="level1a 5 4 3 2" xfId="3908"/>
    <cellStyle name="level1a 5 4 3 2 2" xfId="3909"/>
    <cellStyle name="level1a 5 4 3 2 2 2" xfId="28304"/>
    <cellStyle name="level1a 5 4 3 2 3" xfId="28305"/>
    <cellStyle name="level1a 5 4 3 3" xfId="3910"/>
    <cellStyle name="level1a 5 4 3 3 2" xfId="28306"/>
    <cellStyle name="level1a 5 4 3 4" xfId="28307"/>
    <cellStyle name="level1a 5 4 4" xfId="3911"/>
    <cellStyle name="level1a 5 4 4 2" xfId="28308"/>
    <cellStyle name="level1a 5 4 5" xfId="3912"/>
    <cellStyle name="level1a 5 4 5 2" xfId="3913"/>
    <cellStyle name="level1a 5 4 5 2 2" xfId="28309"/>
    <cellStyle name="level1a 5 4 5 3" xfId="28310"/>
    <cellStyle name="level1a 5 4 6" xfId="3914"/>
    <cellStyle name="level1a 5 4 6 2" xfId="28311"/>
    <cellStyle name="level1a 5 4 7" xfId="28312"/>
    <cellStyle name="level1a 5 5" xfId="3915"/>
    <cellStyle name="level1a 5 5 2" xfId="3916"/>
    <cellStyle name="level1a 5 5 2 2" xfId="3917"/>
    <cellStyle name="level1a 5 5 2 2 2" xfId="3918"/>
    <cellStyle name="level1a 5 5 2 2 2 2" xfId="28313"/>
    <cellStyle name="level1a 5 5 2 2 3" xfId="28314"/>
    <cellStyle name="level1a 5 5 2 3" xfId="3919"/>
    <cellStyle name="level1a 5 5 2 3 2" xfId="28315"/>
    <cellStyle name="level1a 5 5 2 4" xfId="28316"/>
    <cellStyle name="level1a 5 5 3" xfId="3920"/>
    <cellStyle name="level1a 5 5 3 2" xfId="3921"/>
    <cellStyle name="level1a 5 5 3 2 2" xfId="3922"/>
    <cellStyle name="level1a 5 5 3 2 2 2" xfId="28317"/>
    <cellStyle name="level1a 5 5 3 2 3" xfId="28318"/>
    <cellStyle name="level1a 5 5 3 3" xfId="3923"/>
    <cellStyle name="level1a 5 5 3 3 2" xfId="28319"/>
    <cellStyle name="level1a 5 5 3 4" xfId="28320"/>
    <cellStyle name="level1a 5 5 4" xfId="3924"/>
    <cellStyle name="level1a 5 5 4 2" xfId="3925"/>
    <cellStyle name="level1a 5 5 4 2 2" xfId="28321"/>
    <cellStyle name="level1a 5 5 4 3" xfId="28322"/>
    <cellStyle name="level1a 5 5 5" xfId="3926"/>
    <cellStyle name="level1a 5 5 5 2" xfId="28323"/>
    <cellStyle name="level1a 5 5 6" xfId="28324"/>
    <cellStyle name="level1a 5 6" xfId="3927"/>
    <cellStyle name="level1a 5 6 2" xfId="3928"/>
    <cellStyle name="level1a 5 6 2 2" xfId="3929"/>
    <cellStyle name="level1a 5 6 2 2 2" xfId="3930"/>
    <cellStyle name="level1a 5 6 2 2 2 2" xfId="28325"/>
    <cellStyle name="level1a 5 6 2 2 3" xfId="28326"/>
    <cellStyle name="level1a 5 6 2 3" xfId="3931"/>
    <cellStyle name="level1a 5 6 2 3 2" xfId="28327"/>
    <cellStyle name="level1a 5 6 2 4" xfId="28328"/>
    <cellStyle name="level1a 5 6 3" xfId="3932"/>
    <cellStyle name="level1a 5 6 3 2" xfId="3933"/>
    <cellStyle name="level1a 5 6 3 2 2" xfId="3934"/>
    <cellStyle name="level1a 5 6 3 2 2 2" xfId="28329"/>
    <cellStyle name="level1a 5 6 3 2 3" xfId="28330"/>
    <cellStyle name="level1a 5 6 3 3" xfId="3935"/>
    <cellStyle name="level1a 5 6 3 3 2" xfId="28331"/>
    <cellStyle name="level1a 5 6 3 4" xfId="28332"/>
    <cellStyle name="level1a 5 6 4" xfId="3936"/>
    <cellStyle name="level1a 5 6 4 2" xfId="3937"/>
    <cellStyle name="level1a 5 6 4 2 2" xfId="28333"/>
    <cellStyle name="level1a 5 6 4 3" xfId="28334"/>
    <cellStyle name="level1a 5 6 5" xfId="3938"/>
    <cellStyle name="level1a 5 6 5 2" xfId="28335"/>
    <cellStyle name="level1a 5 6 6" xfId="28336"/>
    <cellStyle name="level1a 5 7" xfId="3939"/>
    <cellStyle name="level1a 5 7 2" xfId="3940"/>
    <cellStyle name="level1a 5 7 2 2" xfId="3941"/>
    <cellStyle name="level1a 5 7 2 2 2" xfId="28337"/>
    <cellStyle name="level1a 5 7 2 3" xfId="28338"/>
    <cellStyle name="level1a 5 7 3" xfId="3942"/>
    <cellStyle name="level1a 5 7 3 2" xfId="28339"/>
    <cellStyle name="level1a 5 7 4" xfId="28340"/>
    <cellStyle name="level1a 5 8" xfId="28341"/>
    <cellStyle name="level1a 5_STUD aligned by INSTIT" xfId="3943"/>
    <cellStyle name="level1a 6" xfId="25"/>
    <cellStyle name="level1a 6 2" xfId="3944"/>
    <cellStyle name="level1a 6 2 2" xfId="3945"/>
    <cellStyle name="level1a 6 2 2 2" xfId="3946"/>
    <cellStyle name="level1a 6 2 2 2 2" xfId="3947"/>
    <cellStyle name="level1a 6 2 2 2 2 2" xfId="28342"/>
    <cellStyle name="level1a 6 2 2 2 3" xfId="28343"/>
    <cellStyle name="level1a 6 2 2 3" xfId="3948"/>
    <cellStyle name="level1a 6 2 2 3 2" xfId="28344"/>
    <cellStyle name="level1a 6 2 2 4" xfId="28345"/>
    <cellStyle name="level1a 6 2 3" xfId="3949"/>
    <cellStyle name="level1a 6 2 3 2" xfId="3950"/>
    <cellStyle name="level1a 6 2 3 2 2" xfId="3951"/>
    <cellStyle name="level1a 6 2 3 2 2 2" xfId="28346"/>
    <cellStyle name="level1a 6 2 3 2 3" xfId="28347"/>
    <cellStyle name="level1a 6 2 3 3" xfId="3952"/>
    <cellStyle name="level1a 6 2 3 3 2" xfId="28348"/>
    <cellStyle name="level1a 6 2 3 4" xfId="28349"/>
    <cellStyle name="level1a 6 2 4" xfId="3953"/>
    <cellStyle name="level1a 6 2 4 2" xfId="28350"/>
    <cellStyle name="level1a 6 2 5" xfId="3954"/>
    <cellStyle name="level1a 6 2 5 2" xfId="3955"/>
    <cellStyle name="level1a 6 2 5 2 2" xfId="28351"/>
    <cellStyle name="level1a 6 2 5 3" xfId="28352"/>
    <cellStyle name="level1a 6 2 6" xfId="3956"/>
    <cellStyle name="level1a 6 2 6 2" xfId="28353"/>
    <cellStyle name="level1a 6 2 7" xfId="28354"/>
    <cellStyle name="level1a 6 3" xfId="3957"/>
    <cellStyle name="level1a 6 3 2" xfId="3958"/>
    <cellStyle name="level1a 6 3 2 2" xfId="3959"/>
    <cellStyle name="level1a 6 3 2 2 2" xfId="3960"/>
    <cellStyle name="level1a 6 3 2 2 2 2" xfId="28355"/>
    <cellStyle name="level1a 6 3 2 2 3" xfId="28356"/>
    <cellStyle name="level1a 6 3 2 3" xfId="3961"/>
    <cellStyle name="level1a 6 3 2 3 2" xfId="28357"/>
    <cellStyle name="level1a 6 3 2 4" xfId="28358"/>
    <cellStyle name="level1a 6 3 3" xfId="3962"/>
    <cellStyle name="level1a 6 3 3 2" xfId="3963"/>
    <cellStyle name="level1a 6 3 3 2 2" xfId="3964"/>
    <cellStyle name="level1a 6 3 3 2 2 2" xfId="28359"/>
    <cellStyle name="level1a 6 3 3 2 3" xfId="28360"/>
    <cellStyle name="level1a 6 3 3 3" xfId="3965"/>
    <cellStyle name="level1a 6 3 3 3 2" xfId="28361"/>
    <cellStyle name="level1a 6 3 3 4" xfId="28362"/>
    <cellStyle name="level1a 6 3 4" xfId="3966"/>
    <cellStyle name="level1a 6 3 4 2" xfId="28363"/>
    <cellStyle name="level1a 6 3 5" xfId="28364"/>
    <cellStyle name="level1a 6 4" xfId="3967"/>
    <cellStyle name="level1a 6 4 2" xfId="3968"/>
    <cellStyle name="level1a 6 4 2 2" xfId="3969"/>
    <cellStyle name="level1a 6 4 2 2 2" xfId="3970"/>
    <cellStyle name="level1a 6 4 2 2 2 2" xfId="28365"/>
    <cellStyle name="level1a 6 4 2 2 3" xfId="28366"/>
    <cellStyle name="level1a 6 4 2 3" xfId="3971"/>
    <cellStyle name="level1a 6 4 2 3 2" xfId="28367"/>
    <cellStyle name="level1a 6 4 2 4" xfId="28368"/>
    <cellStyle name="level1a 6 4 3" xfId="3972"/>
    <cellStyle name="level1a 6 4 3 2" xfId="3973"/>
    <cellStyle name="level1a 6 4 3 2 2" xfId="3974"/>
    <cellStyle name="level1a 6 4 3 2 2 2" xfId="28369"/>
    <cellStyle name="level1a 6 4 3 2 3" xfId="28370"/>
    <cellStyle name="level1a 6 4 3 3" xfId="3975"/>
    <cellStyle name="level1a 6 4 3 3 2" xfId="28371"/>
    <cellStyle name="level1a 6 4 3 4" xfId="28372"/>
    <cellStyle name="level1a 6 4 4" xfId="3976"/>
    <cellStyle name="level1a 6 4 4 2" xfId="3977"/>
    <cellStyle name="level1a 6 4 4 2 2" xfId="28373"/>
    <cellStyle name="level1a 6 4 4 3" xfId="28374"/>
    <cellStyle name="level1a 6 4 5" xfId="3978"/>
    <cellStyle name="level1a 6 4 5 2" xfId="28375"/>
    <cellStyle name="level1a 6 4 6" xfId="28376"/>
    <cellStyle name="level1a 6 5" xfId="3979"/>
    <cellStyle name="level1a 6 5 2" xfId="3980"/>
    <cellStyle name="level1a 6 5 2 2" xfId="3981"/>
    <cellStyle name="level1a 6 5 2 2 2" xfId="3982"/>
    <cellStyle name="level1a 6 5 2 2 2 2" xfId="28377"/>
    <cellStyle name="level1a 6 5 2 2 3" xfId="28378"/>
    <cellStyle name="level1a 6 5 2 3" xfId="3983"/>
    <cellStyle name="level1a 6 5 2 3 2" xfId="28379"/>
    <cellStyle name="level1a 6 5 2 4" xfId="28380"/>
    <cellStyle name="level1a 6 5 3" xfId="3984"/>
    <cellStyle name="level1a 6 5 3 2" xfId="3985"/>
    <cellStyle name="level1a 6 5 3 2 2" xfId="3986"/>
    <cellStyle name="level1a 6 5 3 2 2 2" xfId="28381"/>
    <cellStyle name="level1a 6 5 3 2 3" xfId="28382"/>
    <cellStyle name="level1a 6 5 3 3" xfId="3987"/>
    <cellStyle name="level1a 6 5 3 3 2" xfId="28383"/>
    <cellStyle name="level1a 6 5 3 4" xfId="28384"/>
    <cellStyle name="level1a 6 5 4" xfId="3988"/>
    <cellStyle name="level1a 6 5 4 2" xfId="3989"/>
    <cellStyle name="level1a 6 5 4 2 2" xfId="28385"/>
    <cellStyle name="level1a 6 5 4 3" xfId="28386"/>
    <cellStyle name="level1a 6 5 5" xfId="3990"/>
    <cellStyle name="level1a 6 5 5 2" xfId="28387"/>
    <cellStyle name="level1a 6 5 6" xfId="28388"/>
    <cellStyle name="level1a 6 6" xfId="3991"/>
    <cellStyle name="level1a 6 6 2" xfId="3992"/>
    <cellStyle name="level1a 6 6 2 2" xfId="3993"/>
    <cellStyle name="level1a 6 6 2 2 2" xfId="3994"/>
    <cellStyle name="level1a 6 6 2 2 2 2" xfId="28389"/>
    <cellStyle name="level1a 6 6 2 2 3" xfId="28390"/>
    <cellStyle name="level1a 6 6 2 3" xfId="3995"/>
    <cellStyle name="level1a 6 6 2 3 2" xfId="28391"/>
    <cellStyle name="level1a 6 6 2 4" xfId="28392"/>
    <cellStyle name="level1a 6 6 3" xfId="3996"/>
    <cellStyle name="level1a 6 6 3 2" xfId="3997"/>
    <cellStyle name="level1a 6 6 3 2 2" xfId="3998"/>
    <cellStyle name="level1a 6 6 3 2 2 2" xfId="28393"/>
    <cellStyle name="level1a 6 6 3 2 3" xfId="28394"/>
    <cellStyle name="level1a 6 6 3 3" xfId="3999"/>
    <cellStyle name="level1a 6 6 3 3 2" xfId="28395"/>
    <cellStyle name="level1a 6 6 3 4" xfId="28396"/>
    <cellStyle name="level1a 6 6 4" xfId="4000"/>
    <cellStyle name="level1a 6 6 4 2" xfId="4001"/>
    <cellStyle name="level1a 6 6 4 2 2" xfId="28397"/>
    <cellStyle name="level1a 6 6 4 3" xfId="28398"/>
    <cellStyle name="level1a 6 6 5" xfId="4002"/>
    <cellStyle name="level1a 6 6 5 2" xfId="28399"/>
    <cellStyle name="level1a 6 6 6" xfId="28400"/>
    <cellStyle name="level1a 6 7" xfId="4003"/>
    <cellStyle name="level1a 6 7 2" xfId="4004"/>
    <cellStyle name="level1a 6 7 2 2" xfId="4005"/>
    <cellStyle name="level1a 6 7 2 2 2" xfId="28401"/>
    <cellStyle name="level1a 6 7 2 3" xfId="28402"/>
    <cellStyle name="level1a 6 7 3" xfId="4006"/>
    <cellStyle name="level1a 6 7 3 2" xfId="28403"/>
    <cellStyle name="level1a 6 7 4" xfId="28404"/>
    <cellStyle name="level1a 6 8" xfId="4007"/>
    <cellStyle name="level1a 6 8 2" xfId="4008"/>
    <cellStyle name="level1a 6 8 2 2" xfId="4009"/>
    <cellStyle name="level1a 6 8 2 2 2" xfId="28405"/>
    <cellStyle name="level1a 6 8 2 3" xfId="28406"/>
    <cellStyle name="level1a 6 8 3" xfId="4010"/>
    <cellStyle name="level1a 6 8 3 2" xfId="28407"/>
    <cellStyle name="level1a 6 8 4" xfId="28408"/>
    <cellStyle name="level1a 6 9" xfId="28409"/>
    <cellStyle name="level1a 6_STUD aligned by INSTIT" xfId="4011"/>
    <cellStyle name="level1a 7" xfId="26"/>
    <cellStyle name="level1a 7 2" xfId="4012"/>
    <cellStyle name="level1a 7 2 2" xfId="4013"/>
    <cellStyle name="level1a 7 2 2 2" xfId="4014"/>
    <cellStyle name="level1a 7 2 2 2 2" xfId="28410"/>
    <cellStyle name="level1a 7 2 2 3" xfId="28411"/>
    <cellStyle name="level1a 7 2 3" xfId="4015"/>
    <cellStyle name="level1a 7 2 3 2" xfId="28412"/>
    <cellStyle name="level1a 7 2 4" xfId="28413"/>
    <cellStyle name="level1a 7 3" xfId="4016"/>
    <cellStyle name="level1a 7 3 2" xfId="4017"/>
    <cellStyle name="level1a 7 3 2 2" xfId="4018"/>
    <cellStyle name="level1a 7 3 2 2 2" xfId="28414"/>
    <cellStyle name="level1a 7 3 2 3" xfId="28415"/>
    <cellStyle name="level1a 7 3 3" xfId="4019"/>
    <cellStyle name="level1a 7 3 3 2" xfId="28416"/>
    <cellStyle name="level1a 7 3 4" xfId="28417"/>
    <cellStyle name="level1a 7 4" xfId="4020"/>
    <cellStyle name="level1a 7 4 2" xfId="28418"/>
    <cellStyle name="level1a 7 5" xfId="4021"/>
    <cellStyle name="level1a 7 5 2" xfId="4022"/>
    <cellStyle name="level1a 7 5 2 2" xfId="28419"/>
    <cellStyle name="level1a 7 5 3" xfId="28420"/>
    <cellStyle name="level1a 7 6" xfId="28421"/>
    <cellStyle name="level1a 8" xfId="27"/>
    <cellStyle name="level1a 8 2" xfId="4023"/>
    <cellStyle name="level1a 8 2 2" xfId="4024"/>
    <cellStyle name="level1a 8 2 2 2" xfId="4025"/>
    <cellStyle name="level1a 8 2 2 2 2" xfId="28422"/>
    <cellStyle name="level1a 8 2 2 3" xfId="28423"/>
    <cellStyle name="level1a 8 2 3" xfId="4026"/>
    <cellStyle name="level1a 8 2 3 2" xfId="28424"/>
    <cellStyle name="level1a 8 2 4" xfId="28425"/>
    <cellStyle name="level1a 8 3" xfId="4027"/>
    <cellStyle name="level1a 8 3 2" xfId="4028"/>
    <cellStyle name="level1a 8 3 2 2" xfId="4029"/>
    <cellStyle name="level1a 8 3 2 2 2" xfId="28426"/>
    <cellStyle name="level1a 8 3 2 3" xfId="28427"/>
    <cellStyle name="level1a 8 3 3" xfId="4030"/>
    <cellStyle name="level1a 8 3 3 2" xfId="28428"/>
    <cellStyle name="level1a 8 3 4" xfId="28429"/>
    <cellStyle name="level1a 8 4" xfId="4031"/>
    <cellStyle name="level1a 8 4 2" xfId="28430"/>
    <cellStyle name="level1a 8 5" xfId="4032"/>
    <cellStyle name="level1a 8 5 2" xfId="4033"/>
    <cellStyle name="level1a 8 5 2 2" xfId="28431"/>
    <cellStyle name="level1a 8 5 3" xfId="28432"/>
    <cellStyle name="level1a 8 6" xfId="4034"/>
    <cellStyle name="level1a 8 6 2" xfId="28433"/>
    <cellStyle name="level1a 8 7" xfId="28434"/>
    <cellStyle name="level1a 9" xfId="4035"/>
    <cellStyle name="level1a 9 2" xfId="4036"/>
    <cellStyle name="level1a 9 2 2" xfId="4037"/>
    <cellStyle name="level1a 9 2 2 2" xfId="4038"/>
    <cellStyle name="level1a 9 2 2 2 2" xfId="28435"/>
    <cellStyle name="level1a 9 2 2 3" xfId="28436"/>
    <cellStyle name="level1a 9 2 3" xfId="4039"/>
    <cellStyle name="level1a 9 2 3 2" xfId="28437"/>
    <cellStyle name="level1a 9 2 4" xfId="28438"/>
    <cellStyle name="level1a 9 3" xfId="4040"/>
    <cellStyle name="level1a 9 3 2" xfId="4041"/>
    <cellStyle name="level1a 9 3 2 2" xfId="4042"/>
    <cellStyle name="level1a 9 3 2 2 2" xfId="28439"/>
    <cellStyle name="level1a 9 3 2 3" xfId="28440"/>
    <cellStyle name="level1a 9 3 3" xfId="4043"/>
    <cellStyle name="level1a 9 3 3 2" xfId="28441"/>
    <cellStyle name="level1a 9 3 4" xfId="28442"/>
    <cellStyle name="level1a 9 4" xfId="4044"/>
    <cellStyle name="level1a 9 4 2" xfId="28443"/>
    <cellStyle name="level1a 9 5" xfId="4045"/>
    <cellStyle name="level1a 9 5 2" xfId="28444"/>
    <cellStyle name="level1a 9 6" xfId="28445"/>
    <cellStyle name="level1a_STUD aligned by INSTIT" xfId="4046"/>
    <cellStyle name="level2" xfId="28"/>
    <cellStyle name="level2 2" xfId="4047"/>
    <cellStyle name="level2 2 2" xfId="4048"/>
    <cellStyle name="level2 2 2 2" xfId="4049"/>
    <cellStyle name="level2 3" xfId="4050"/>
    <cellStyle name="level2a" xfId="29"/>
    <cellStyle name="level2a 2" xfId="4051"/>
    <cellStyle name="level2a 2 2" xfId="4052"/>
    <cellStyle name="level2a 2 2 2" xfId="4053"/>
    <cellStyle name="level2a 2 2 2 2" xfId="4054"/>
    <cellStyle name="level2a 2 2 2 2 2" xfId="4055"/>
    <cellStyle name="level2a 2 2 2 2 3" xfId="4056"/>
    <cellStyle name="level2a 2 2 2 3" xfId="4057"/>
    <cellStyle name="level2a 2 2 2_STUD aligned by INSTIT" xfId="4058"/>
    <cellStyle name="level2a 2 2 3" xfId="4059"/>
    <cellStyle name="level2a 2 2 3 2" xfId="4060"/>
    <cellStyle name="level2a 2 2 3 2 2" xfId="4061"/>
    <cellStyle name="level2a 2 2 3 2 3" xfId="4062"/>
    <cellStyle name="level2a 2 2 3 3" xfId="4063"/>
    <cellStyle name="level2a 2 2 3 3 2" xfId="4064"/>
    <cellStyle name="level2a 2 2 3 3 3" xfId="4065"/>
    <cellStyle name="level2a 2 2 3 3 4" xfId="4066"/>
    <cellStyle name="level2a 2 2 3 4" xfId="4067"/>
    <cellStyle name="level2a 2 2 4" xfId="4068"/>
    <cellStyle name="level2a 2 2 4 2" xfId="4069"/>
    <cellStyle name="level2a 2 2 4 3" xfId="4070"/>
    <cellStyle name="level2a 2 2 5" xfId="4071"/>
    <cellStyle name="level2a 2 2 5 2" xfId="4072"/>
    <cellStyle name="level2a 2 2 6" xfId="4073"/>
    <cellStyle name="level2a 2 2_STUD aligned by INSTIT" xfId="4074"/>
    <cellStyle name="level2a 2 3" xfId="4075"/>
    <cellStyle name="level2a 2 3 2" xfId="4076"/>
    <cellStyle name="level2a 2 3 2 2" xfId="4077"/>
    <cellStyle name="level2a 2 3 2 2 2" xfId="4078"/>
    <cellStyle name="level2a 2 3 2 2 3" xfId="4079"/>
    <cellStyle name="level2a 2 3 2 3" xfId="4080"/>
    <cellStyle name="level2a 2 3 2_STUD aligned by INSTIT" xfId="4081"/>
    <cellStyle name="level2a 2 3 3" xfId="4082"/>
    <cellStyle name="level2a 2 3 3 2" xfId="4083"/>
    <cellStyle name="level2a 2 3 3 2 2" xfId="4084"/>
    <cellStyle name="level2a 2 3 3 2 3" xfId="4085"/>
    <cellStyle name="level2a 2 3 3 3" xfId="4086"/>
    <cellStyle name="level2a 2 3 3 3 2" xfId="4087"/>
    <cellStyle name="level2a 2 3 3 3 3" xfId="4088"/>
    <cellStyle name="level2a 2 3 3 3 4" xfId="4089"/>
    <cellStyle name="level2a 2 3 3 4" xfId="4090"/>
    <cellStyle name="level2a 2 3 4" xfId="4091"/>
    <cellStyle name="level2a 2 3 4 2" xfId="4092"/>
    <cellStyle name="level2a 2 3 4 3" xfId="4093"/>
    <cellStyle name="level2a 2 3 5" xfId="4094"/>
    <cellStyle name="level2a 2 3 5 2" xfId="4095"/>
    <cellStyle name="level2a 2 3 6" xfId="4096"/>
    <cellStyle name="level2a 2 3_STUD aligned by INSTIT" xfId="4097"/>
    <cellStyle name="level2a 2 4" xfId="4098"/>
    <cellStyle name="level2a 2 4 2" xfId="4099"/>
    <cellStyle name="level2a 2 5" xfId="4100"/>
    <cellStyle name="level2a 2_STUD aligned by INSTIT" xfId="4101"/>
    <cellStyle name="level2a 3" xfId="4102"/>
    <cellStyle name="level2a 3 2" xfId="4103"/>
    <cellStyle name="level2a 3 2 2" xfId="4104"/>
    <cellStyle name="level2a 3 2 2 2" xfId="4105"/>
    <cellStyle name="level2a 3 2 2 3" xfId="4106"/>
    <cellStyle name="level2a 3 2 3" xfId="4107"/>
    <cellStyle name="level2a 3 2_STUD aligned by INSTIT" xfId="4108"/>
    <cellStyle name="level2a 3 3" xfId="4109"/>
    <cellStyle name="level2a 3 3 2" xfId="4110"/>
    <cellStyle name="level2a 3 3 2 2" xfId="4111"/>
    <cellStyle name="level2a 3 3 2 3" xfId="4112"/>
    <cellStyle name="level2a 3 3 3" xfId="4113"/>
    <cellStyle name="level2a 3 3 3 2" xfId="4114"/>
    <cellStyle name="level2a 3 3 3 3" xfId="4115"/>
    <cellStyle name="level2a 3 3 3 4" xfId="4116"/>
    <cellStyle name="level2a 3 3 4" xfId="4117"/>
    <cellStyle name="level2a 3 4" xfId="4118"/>
    <cellStyle name="level2a 3 4 2" xfId="4119"/>
    <cellStyle name="level2a 3 4 3" xfId="4120"/>
    <cellStyle name="level2a 3 5" xfId="4121"/>
    <cellStyle name="level2a 3 5 2" xfId="4122"/>
    <cellStyle name="level2a 3 6" xfId="4123"/>
    <cellStyle name="level2a 3_STUD aligned by INSTIT" xfId="4124"/>
    <cellStyle name="level2a 4" xfId="4125"/>
    <cellStyle name="level2a 4 2" xfId="4126"/>
    <cellStyle name="level2a 4 2 2" xfId="4127"/>
    <cellStyle name="level2a 4 2 2 2" xfId="4128"/>
    <cellStyle name="level2a 4 2 2 3" xfId="4129"/>
    <cellStyle name="level2a 4 2 3" xfId="4130"/>
    <cellStyle name="level2a 4 2_STUD aligned by INSTIT" xfId="4131"/>
    <cellStyle name="level2a 4 3" xfId="4132"/>
    <cellStyle name="level2a 4 3 2" xfId="4133"/>
    <cellStyle name="level2a 4 3 2 2" xfId="4134"/>
    <cellStyle name="level2a 4 3 2 3" xfId="4135"/>
    <cellStyle name="level2a 4 3 3" xfId="4136"/>
    <cellStyle name="level2a 4 3 3 2" xfId="4137"/>
    <cellStyle name="level2a 4 3 3 3" xfId="4138"/>
    <cellStyle name="level2a 4 3 3 4" xfId="4139"/>
    <cellStyle name="level2a 4 3 4" xfId="4140"/>
    <cellStyle name="level2a 4 4" xfId="4141"/>
    <cellStyle name="level2a 4 4 2" xfId="4142"/>
    <cellStyle name="level2a 4 4 3" xfId="4143"/>
    <cellStyle name="level2a 4 5" xfId="4144"/>
    <cellStyle name="level2a 4 5 2" xfId="4145"/>
    <cellStyle name="level2a 4 6" xfId="4146"/>
    <cellStyle name="level2a 4_STUD aligned by INSTIT" xfId="4147"/>
    <cellStyle name="level2a 5" xfId="4148"/>
    <cellStyle name="level2a 5 2" xfId="4149"/>
    <cellStyle name="level2a 6" xfId="4150"/>
    <cellStyle name="level2a 7" xfId="4151"/>
    <cellStyle name="level2a_STUD aligned by INSTIT" xfId="4152"/>
    <cellStyle name="level3" xfId="30"/>
    <cellStyle name="level3 2" xfId="4153"/>
    <cellStyle name="level3 2 2" xfId="4154"/>
    <cellStyle name="level3 2 2 2" xfId="4155"/>
    <cellStyle name="level3 2 2 2 2" xfId="4156"/>
    <cellStyle name="level3 2 2 2 2 2" xfId="4157"/>
    <cellStyle name="level3 2 2 2 2 2 2" xfId="4158"/>
    <cellStyle name="level3 2 2 2 2 3" xfId="4159"/>
    <cellStyle name="level3 2 2 2 2 3 2" xfId="4160"/>
    <cellStyle name="level3 2 2 2 2 4" xfId="4161"/>
    <cellStyle name="level3 2 2 2 3" xfId="4162"/>
    <cellStyle name="level3 2 2 2 3 2" xfId="4163"/>
    <cellStyle name="level3 2 2 3" xfId="4164"/>
    <cellStyle name="level3 2 2 3 2" xfId="4165"/>
    <cellStyle name="level3 2 2 3 2 2" xfId="4166"/>
    <cellStyle name="level3 2 2 3 3" xfId="4167"/>
    <cellStyle name="level3 2 2 3 3 2" xfId="4168"/>
    <cellStyle name="level3 2 2 4" xfId="4169"/>
    <cellStyle name="level3 2 2 4 2" xfId="4170"/>
    <cellStyle name="level3 2 3" xfId="4171"/>
    <cellStyle name="level3 2 3 2" xfId="4172"/>
    <cellStyle name="level3 2 3 2 2" xfId="4173"/>
    <cellStyle name="level3 2 3 2 2 2" xfId="4174"/>
    <cellStyle name="level3 2 3 2 3" xfId="4175"/>
    <cellStyle name="level3 2 3 2 3 2" xfId="4176"/>
    <cellStyle name="level3 2 3 3" xfId="4177"/>
    <cellStyle name="level3 2 3 3 2" xfId="4178"/>
    <cellStyle name="level3 2 3 3 2 2" xfId="4179"/>
    <cellStyle name="level3 2 3 3 3" xfId="4180"/>
    <cellStyle name="level3 2 3 3 3 2" xfId="4181"/>
    <cellStyle name="level3 2 3 3 4" xfId="4182"/>
    <cellStyle name="level3 2 3 4" xfId="4183"/>
    <cellStyle name="level3 2 3 4 2" xfId="4184"/>
    <cellStyle name="level3 2 4" xfId="4185"/>
    <cellStyle name="level3 2 4 2" xfId="4186"/>
    <cellStyle name="level3 2 4 2 2" xfId="4187"/>
    <cellStyle name="level3 2 4 3" xfId="4188"/>
    <cellStyle name="level3 2 4 3 2" xfId="4189"/>
    <cellStyle name="level3 2 4 4" xfId="4190"/>
    <cellStyle name="level3 2 5" xfId="4191"/>
    <cellStyle name="level3 2 5 2" xfId="4192"/>
    <cellStyle name="level3 3" xfId="4193"/>
    <cellStyle name="level3 3 2" xfId="4194"/>
    <cellStyle name="level3 3 2 2" xfId="4195"/>
    <cellStyle name="level3 3 2 2 2" xfId="4196"/>
    <cellStyle name="level3 3 2 2 2 2" xfId="4197"/>
    <cellStyle name="level3 3 2 2 3" xfId="4198"/>
    <cellStyle name="level3 3 2 2 3 2" xfId="4199"/>
    <cellStyle name="level3 3 2 2 4" xfId="4200"/>
    <cellStyle name="level3 3 2 3" xfId="4201"/>
    <cellStyle name="level3 3 2 3 2" xfId="4202"/>
    <cellStyle name="level3 3 3" xfId="4203"/>
    <cellStyle name="level3 3 3 2" xfId="4204"/>
    <cellStyle name="level3 3 3 2 2" xfId="4205"/>
    <cellStyle name="level3 3 3 3" xfId="4206"/>
    <cellStyle name="level3 3 3 3 2" xfId="4207"/>
    <cellStyle name="level3 3 4" xfId="4208"/>
    <cellStyle name="level3 3 4 2" xfId="4209"/>
    <cellStyle name="level3 4" xfId="4210"/>
    <cellStyle name="level3 4 2" xfId="4211"/>
    <cellStyle name="level3 4 2 2" xfId="4212"/>
    <cellStyle name="level3 4 2 2 2" xfId="4213"/>
    <cellStyle name="level3 4 2 3" xfId="4214"/>
    <cellStyle name="level3 4 2 3 2" xfId="4215"/>
    <cellStyle name="level3 4 3" xfId="4216"/>
    <cellStyle name="level3 4 3 2" xfId="4217"/>
    <cellStyle name="level3 4 3 2 2" xfId="4218"/>
    <cellStyle name="level3 4 3 3" xfId="4219"/>
    <cellStyle name="level3 4 3 3 2" xfId="4220"/>
    <cellStyle name="level3 4 3 4" xfId="4221"/>
    <cellStyle name="level3 4 4" xfId="4222"/>
    <cellStyle name="level3 4 4 2" xfId="4223"/>
    <cellStyle name="level3 5" xfId="4224"/>
    <cellStyle name="level3 5 2" xfId="4225"/>
    <cellStyle name="level3 5 2 2" xfId="4226"/>
    <cellStyle name="level3 5 3" xfId="4227"/>
    <cellStyle name="level3 5 3 2" xfId="4228"/>
    <cellStyle name="level3 5 4" xfId="4229"/>
    <cellStyle name="level3 6" xfId="4230"/>
    <cellStyle name="level3 6 2" xfId="4231"/>
    <cellStyle name="level3_STUD aligned by INSTIT" xfId="4232"/>
    <cellStyle name="Line titles-Rows" xfId="4233"/>
    <cellStyle name="Line titles-Rows 2" xfId="28446"/>
    <cellStyle name="Line titles-Rows 3" xfId="28447"/>
    <cellStyle name="Migliaia (0)_conti99" xfId="31"/>
    <cellStyle name="Normal" xfId="0" builtinId="0"/>
    <cellStyle name="Normal - Style1" xfId="4234"/>
    <cellStyle name="Normal 10" xfId="4235"/>
    <cellStyle name="Normal 10 2" xfId="4236"/>
    <cellStyle name="Normal 10 3" xfId="28448"/>
    <cellStyle name="Normal 10 3 2" xfId="28449"/>
    <cellStyle name="Normal 10 4" xfId="28450"/>
    <cellStyle name="Normal 10 6" xfId="28451"/>
    <cellStyle name="Normal 10_Tertiary Salaries Survey" xfId="4237"/>
    <cellStyle name="Normal 11" xfId="4238"/>
    <cellStyle name="Normal 11 10" xfId="28452"/>
    <cellStyle name="Normal 11 11" xfId="28453"/>
    <cellStyle name="Normal 11 12" xfId="29819"/>
    <cellStyle name="Normal 11 2" xfId="4239"/>
    <cellStyle name="Normal 11 3" xfId="4240"/>
    <cellStyle name="Normal 11 3 2" xfId="4241"/>
    <cellStyle name="Normal 11 3 3" xfId="4242"/>
    <cellStyle name="Normal 11 3_Tertiary Salaries Survey" xfId="4243"/>
    <cellStyle name="Normal 11 4" xfId="4244"/>
    <cellStyle name="Normal 11 5" xfId="4245"/>
    <cellStyle name="Normal 11 6" xfId="4246"/>
    <cellStyle name="Normal 11 7" xfId="4247"/>
    <cellStyle name="Normal 11 7 2" xfId="28454"/>
    <cellStyle name="Normal 11 7 3" xfId="28455"/>
    <cellStyle name="Normal 11 8" xfId="4248"/>
    <cellStyle name="Normal 11 8 2" xfId="28456"/>
    <cellStyle name="Normal 11 8 3" xfId="28457"/>
    <cellStyle name="Normal 11 9" xfId="4249"/>
    <cellStyle name="Normal 11 9 2" xfId="28458"/>
    <cellStyle name="Normal 11 9 3" xfId="28459"/>
    <cellStyle name="Normal 11_STUD aligned by INSTIT" xfId="4250"/>
    <cellStyle name="Normal 12" xfId="4251"/>
    <cellStyle name="Normal 12 2" xfId="4252"/>
    <cellStyle name="Normal 12 3" xfId="4253"/>
    <cellStyle name="Normal 12 3 2" xfId="28460"/>
    <cellStyle name="Normal 12 3 3" xfId="28461"/>
    <cellStyle name="Normal 12 4" xfId="4254"/>
    <cellStyle name="Normal 12 4 2" xfId="28462"/>
    <cellStyle name="Normal 12 4 3" xfId="28463"/>
    <cellStyle name="Normal 12 5" xfId="28464"/>
    <cellStyle name="Normal 12 6" xfId="28465"/>
    <cellStyle name="Normal 12 7" xfId="28466"/>
    <cellStyle name="Normal 12_Tertiary Salaries Survey" xfId="4255"/>
    <cellStyle name="Normal 13" xfId="4256"/>
    <cellStyle name="Normal 13 2" xfId="4257"/>
    <cellStyle name="Normal 13 3" xfId="4258"/>
    <cellStyle name="Normal 13 4" xfId="4259"/>
    <cellStyle name="Normal 13 5" xfId="28467"/>
    <cellStyle name="Normal 13_Tertiary Salaries Survey" xfId="4260"/>
    <cellStyle name="Normal 14" xfId="4261"/>
    <cellStyle name="Normal 14 2" xfId="4262"/>
    <cellStyle name="Normal 14 3" xfId="4263"/>
    <cellStyle name="Normal 14 4" xfId="28468"/>
    <cellStyle name="Normal 14_Tertiary Salaries Survey" xfId="4264"/>
    <cellStyle name="Normal 15" xfId="4265"/>
    <cellStyle name="Normal 15 2" xfId="4266"/>
    <cellStyle name="Normal 15 3" xfId="4267"/>
    <cellStyle name="Normal 15 4" xfId="4268"/>
    <cellStyle name="Normal 15 4 2" xfId="28469"/>
    <cellStyle name="Normal 15 4 3" xfId="28470"/>
    <cellStyle name="Normal 15 5" xfId="4269"/>
    <cellStyle name="Normal 15 5 2" xfId="28471"/>
    <cellStyle name="Normal 15 5 3" xfId="28472"/>
    <cellStyle name="Normal 15 6" xfId="28473"/>
    <cellStyle name="Normal 15 7" xfId="28474"/>
    <cellStyle name="Normal 15_Tertiary Salaries Survey" xfId="4270"/>
    <cellStyle name="Normal 16" xfId="4271"/>
    <cellStyle name="Normal 16 2" xfId="4272"/>
    <cellStyle name="Normal 16 3" xfId="4273"/>
    <cellStyle name="Normal 16 4" xfId="4274"/>
    <cellStyle name="Normal 16 4 2" xfId="28475"/>
    <cellStyle name="Normal 16 4 3" xfId="28476"/>
    <cellStyle name="Normal 16 5" xfId="4275"/>
    <cellStyle name="Normal 16 5 2" xfId="28477"/>
    <cellStyle name="Normal 16 5 3" xfId="28478"/>
    <cellStyle name="Normal 16 6" xfId="28479"/>
    <cellStyle name="Normal 16 6 2" xfId="28480"/>
    <cellStyle name="Normal 16 6 3" xfId="28481"/>
    <cellStyle name="Normal 16 7" xfId="28482"/>
    <cellStyle name="Normal 16 8" xfId="28483"/>
    <cellStyle name="Normal 16_Tertiary Salaries Survey" xfId="4276"/>
    <cellStyle name="Normal 17" xfId="4277"/>
    <cellStyle name="Normal 17 2" xfId="4278"/>
    <cellStyle name="Normal 17 3" xfId="4279"/>
    <cellStyle name="Normal 17 4" xfId="28484"/>
    <cellStyle name="Normal 17_Tertiary Salaries Survey" xfId="4280"/>
    <cellStyle name="Normal 18" xfId="4281"/>
    <cellStyle name="Normal 18 2" xfId="4282"/>
    <cellStyle name="Normal 18 3" xfId="4283"/>
    <cellStyle name="Normal 18 4" xfId="28485"/>
    <cellStyle name="Normal 18_Tertiary Salaries Survey" xfId="4284"/>
    <cellStyle name="Normal 19" xfId="4285"/>
    <cellStyle name="Normal 19 2" xfId="4286"/>
    <cellStyle name="Normal 19 3" xfId="4287"/>
    <cellStyle name="Normal 19 4" xfId="28486"/>
    <cellStyle name="Normal 19_Tertiary Salaries Survey" xfId="4288"/>
    <cellStyle name="Normal 2" xfId="32"/>
    <cellStyle name="Normal 2 10" xfId="33"/>
    <cellStyle name="Normal 2 10 2" xfId="4289"/>
    <cellStyle name="Normal 2 10 2 2" xfId="4290"/>
    <cellStyle name="Normal 2 10 2 2 2" xfId="4291"/>
    <cellStyle name="Normal 2 10 2 2 2 2" xfId="28487"/>
    <cellStyle name="Normal 2 10 2 2 2 3" xfId="28488"/>
    <cellStyle name="Normal 2 10 2 2 3" xfId="4292"/>
    <cellStyle name="Normal 2 10 2 2 3 2" xfId="28489"/>
    <cellStyle name="Normal 2 10 2 2 3 3" xfId="28490"/>
    <cellStyle name="Normal 2 10 2 2 4" xfId="28491"/>
    <cellStyle name="Normal 2 10 2 2 5" xfId="28492"/>
    <cellStyle name="Normal 2 10 2 3" xfId="4293"/>
    <cellStyle name="Normal 2 10 2 3 2" xfId="4294"/>
    <cellStyle name="Normal 2 10 2 3 2 2" xfId="28493"/>
    <cellStyle name="Normal 2 10 2 3 2 3" xfId="28494"/>
    <cellStyle name="Normal 2 10 2 3 3" xfId="4295"/>
    <cellStyle name="Normal 2 10 2 3 3 2" xfId="28495"/>
    <cellStyle name="Normal 2 10 2 3 3 3" xfId="28496"/>
    <cellStyle name="Normal 2 10 2 3 4" xfId="28497"/>
    <cellStyle name="Normal 2 10 2 3 5" xfId="28498"/>
    <cellStyle name="Normal 2 10 2 4" xfId="4296"/>
    <cellStyle name="Normal 2 10 2 4 2" xfId="28499"/>
    <cellStyle name="Normal 2 10 2 4 3" xfId="28500"/>
    <cellStyle name="Normal 2 10 2 5" xfId="4297"/>
    <cellStyle name="Normal 2 10 2 5 2" xfId="28501"/>
    <cellStyle name="Normal 2 10 2 5 3" xfId="28502"/>
    <cellStyle name="Normal 2 10 2 6" xfId="28503"/>
    <cellStyle name="Normal 2 10 2 7" xfId="28504"/>
    <cellStyle name="Normal 2 10 2 8" xfId="28505"/>
    <cellStyle name="Normal 2 10 3" xfId="4298"/>
    <cellStyle name="Normal 2 10 3 2" xfId="4299"/>
    <cellStyle name="Normal 2 10 3 2 2" xfId="28506"/>
    <cellStyle name="Normal 2 10 3 2 3" xfId="28507"/>
    <cellStyle name="Normal 2 10 3 3" xfId="4300"/>
    <cellStyle name="Normal 2 10 3 3 2" xfId="28508"/>
    <cellStyle name="Normal 2 10 3 3 3" xfId="28509"/>
    <cellStyle name="Normal 2 10 3 4" xfId="28510"/>
    <cellStyle name="Normal 2 10 3 5" xfId="28511"/>
    <cellStyle name="Normal 2 10 4" xfId="4301"/>
    <cellStyle name="Normal 2 10 4 2" xfId="4302"/>
    <cellStyle name="Normal 2 10 4 2 2" xfId="28512"/>
    <cellStyle name="Normal 2 10 4 2 3" xfId="28513"/>
    <cellStyle name="Normal 2 10 4 3" xfId="4303"/>
    <cellStyle name="Normal 2 10 4 3 2" xfId="28514"/>
    <cellStyle name="Normal 2 10 4 3 3" xfId="28515"/>
    <cellStyle name="Normal 2 10 4 4" xfId="28516"/>
    <cellStyle name="Normal 2 10 4 5" xfId="28517"/>
    <cellStyle name="Normal 2 10 5" xfId="4304"/>
    <cellStyle name="Normal 2 10 5 2" xfId="4305"/>
    <cellStyle name="Normal 2 10 5 2 2" xfId="28518"/>
    <cellStyle name="Normal 2 10 5 2 3" xfId="28519"/>
    <cellStyle name="Normal 2 10 5 3" xfId="4306"/>
    <cellStyle name="Normal 2 10 5 3 2" xfId="28520"/>
    <cellStyle name="Normal 2 10 5 3 3" xfId="28521"/>
    <cellStyle name="Normal 2 10 5 4" xfId="28522"/>
    <cellStyle name="Normal 2 10 5 5" xfId="28523"/>
    <cellStyle name="Normal 2 10 6" xfId="4307"/>
    <cellStyle name="Normal 2 10 6 2" xfId="28524"/>
    <cellStyle name="Normal 2 10 6 3" xfId="28525"/>
    <cellStyle name="Normal 2 10 7" xfId="4308"/>
    <cellStyle name="Normal 2 10 7 2" xfId="28526"/>
    <cellStyle name="Normal 2 10 7 3" xfId="28527"/>
    <cellStyle name="Normal 2 10 8" xfId="28528"/>
    <cellStyle name="Normal 2 10 9" xfId="28529"/>
    <cellStyle name="Normal 2 11" xfId="34"/>
    <cellStyle name="Normal 2 11 2" xfId="4309"/>
    <cellStyle name="Normal 2 11 2 2" xfId="4310"/>
    <cellStyle name="Normal 2 11 2 2 2" xfId="4311"/>
    <cellStyle name="Normal 2 11 2 2 2 2" xfId="28530"/>
    <cellStyle name="Normal 2 11 2 2 2 3" xfId="28531"/>
    <cellStyle name="Normal 2 11 2 2 3" xfId="4312"/>
    <cellStyle name="Normal 2 11 2 2 3 2" xfId="28532"/>
    <cellStyle name="Normal 2 11 2 2 3 3" xfId="28533"/>
    <cellStyle name="Normal 2 11 2 2 4" xfId="28534"/>
    <cellStyle name="Normal 2 11 2 2 5" xfId="28535"/>
    <cellStyle name="Normal 2 11 2 3" xfId="4313"/>
    <cellStyle name="Normal 2 11 2 3 2" xfId="4314"/>
    <cellStyle name="Normal 2 11 2 3 2 2" xfId="28536"/>
    <cellStyle name="Normal 2 11 2 3 2 3" xfId="28537"/>
    <cellStyle name="Normal 2 11 2 3 3" xfId="4315"/>
    <cellStyle name="Normal 2 11 2 3 3 2" xfId="28538"/>
    <cellStyle name="Normal 2 11 2 3 3 3" xfId="28539"/>
    <cellStyle name="Normal 2 11 2 3 4" xfId="28540"/>
    <cellStyle name="Normal 2 11 2 3 5" xfId="28541"/>
    <cellStyle name="Normal 2 11 2 4" xfId="4316"/>
    <cellStyle name="Normal 2 11 2 4 2" xfId="28542"/>
    <cellStyle name="Normal 2 11 2 4 3" xfId="28543"/>
    <cellStyle name="Normal 2 11 2 5" xfId="4317"/>
    <cellStyle name="Normal 2 11 2 5 2" xfId="28544"/>
    <cellStyle name="Normal 2 11 2 5 3" xfId="28545"/>
    <cellStyle name="Normal 2 11 2 6" xfId="28546"/>
    <cellStyle name="Normal 2 11 2 7" xfId="28547"/>
    <cellStyle name="Normal 2 11 3" xfId="4318"/>
    <cellStyle name="Normal 2 11 3 2" xfId="4319"/>
    <cellStyle name="Normal 2 11 3 2 2" xfId="28548"/>
    <cellStyle name="Normal 2 11 3 2 3" xfId="28549"/>
    <cellStyle name="Normal 2 11 3 3" xfId="4320"/>
    <cellStyle name="Normal 2 11 3 3 2" xfId="28550"/>
    <cellStyle name="Normal 2 11 3 3 3" xfId="28551"/>
    <cellStyle name="Normal 2 11 3 4" xfId="28552"/>
    <cellStyle name="Normal 2 11 3 5" xfId="28553"/>
    <cellStyle name="Normal 2 11 4" xfId="4321"/>
    <cellStyle name="Normal 2 11 4 2" xfId="4322"/>
    <cellStyle name="Normal 2 11 4 2 2" xfId="28554"/>
    <cellStyle name="Normal 2 11 4 2 3" xfId="28555"/>
    <cellStyle name="Normal 2 11 4 3" xfId="4323"/>
    <cellStyle name="Normal 2 11 4 3 2" xfId="28556"/>
    <cellStyle name="Normal 2 11 4 3 3" xfId="28557"/>
    <cellStyle name="Normal 2 11 4 4" xfId="28558"/>
    <cellStyle name="Normal 2 11 4 5" xfId="28559"/>
    <cellStyle name="Normal 2 11 5" xfId="4324"/>
    <cellStyle name="Normal 2 11 5 2" xfId="4325"/>
    <cellStyle name="Normal 2 11 5 2 2" xfId="28560"/>
    <cellStyle name="Normal 2 11 5 2 3" xfId="28561"/>
    <cellStyle name="Normal 2 11 5 3" xfId="4326"/>
    <cellStyle name="Normal 2 11 5 3 2" xfId="28562"/>
    <cellStyle name="Normal 2 11 5 3 3" xfId="28563"/>
    <cellStyle name="Normal 2 11 5 4" xfId="28564"/>
    <cellStyle name="Normal 2 11 5 5" xfId="28565"/>
    <cellStyle name="Normal 2 11 6" xfId="4327"/>
    <cellStyle name="Normal 2 11 6 2" xfId="28566"/>
    <cellStyle name="Normal 2 11 6 3" xfId="28567"/>
    <cellStyle name="Normal 2 11 7" xfId="4328"/>
    <cellStyle name="Normal 2 11 7 2" xfId="28568"/>
    <cellStyle name="Normal 2 11 7 3" xfId="28569"/>
    <cellStyle name="Normal 2 11 8" xfId="28570"/>
    <cellStyle name="Normal 2 11 9" xfId="28571"/>
    <cellStyle name="Normal 2 12" xfId="35"/>
    <cellStyle name="Normal 2 12 2" xfId="4329"/>
    <cellStyle name="Normal 2 12 2 2" xfId="4330"/>
    <cellStyle name="Normal 2 12 2 2 2" xfId="4331"/>
    <cellStyle name="Normal 2 12 2 2 2 2" xfId="28572"/>
    <cellStyle name="Normal 2 12 2 2 2 3" xfId="28573"/>
    <cellStyle name="Normal 2 12 2 2 3" xfId="4332"/>
    <cellStyle name="Normal 2 12 2 2 3 2" xfId="28574"/>
    <cellStyle name="Normal 2 12 2 2 3 3" xfId="28575"/>
    <cellStyle name="Normal 2 12 2 2 4" xfId="28576"/>
    <cellStyle name="Normal 2 12 2 2 5" xfId="28577"/>
    <cellStyle name="Normal 2 12 2 3" xfId="4333"/>
    <cellStyle name="Normal 2 12 2 3 2" xfId="4334"/>
    <cellStyle name="Normal 2 12 2 3 2 2" xfId="28578"/>
    <cellStyle name="Normal 2 12 2 3 2 3" xfId="28579"/>
    <cellStyle name="Normal 2 12 2 3 3" xfId="4335"/>
    <cellStyle name="Normal 2 12 2 3 3 2" xfId="28580"/>
    <cellStyle name="Normal 2 12 2 3 3 3" xfId="28581"/>
    <cellStyle name="Normal 2 12 2 3 4" xfId="28582"/>
    <cellStyle name="Normal 2 12 2 3 5" xfId="28583"/>
    <cellStyle name="Normal 2 12 2 4" xfId="4336"/>
    <cellStyle name="Normal 2 12 2 4 2" xfId="28584"/>
    <cellStyle name="Normal 2 12 2 4 3" xfId="28585"/>
    <cellStyle name="Normal 2 12 2 5" xfId="4337"/>
    <cellStyle name="Normal 2 12 2 5 2" xfId="28586"/>
    <cellStyle name="Normal 2 12 2 5 3" xfId="28587"/>
    <cellStyle name="Normal 2 12 2 6" xfId="28588"/>
    <cellStyle name="Normal 2 12 2 7" xfId="28589"/>
    <cellStyle name="Normal 2 12 3" xfId="4338"/>
    <cellStyle name="Normal 2 12 3 2" xfId="4339"/>
    <cellStyle name="Normal 2 12 3 2 2" xfId="28590"/>
    <cellStyle name="Normal 2 12 3 2 3" xfId="28591"/>
    <cellStyle name="Normal 2 12 3 3" xfId="4340"/>
    <cellStyle name="Normal 2 12 3 3 2" xfId="28592"/>
    <cellStyle name="Normal 2 12 3 3 3" xfId="28593"/>
    <cellStyle name="Normal 2 12 3 4" xfId="28594"/>
    <cellStyle name="Normal 2 12 3 5" xfId="28595"/>
    <cellStyle name="Normal 2 12 4" xfId="4341"/>
    <cellStyle name="Normal 2 12 4 2" xfId="4342"/>
    <cellStyle name="Normal 2 12 4 2 2" xfId="28596"/>
    <cellStyle name="Normal 2 12 4 2 3" xfId="28597"/>
    <cellStyle name="Normal 2 12 4 3" xfId="4343"/>
    <cellStyle name="Normal 2 12 4 3 2" xfId="28598"/>
    <cellStyle name="Normal 2 12 4 3 3" xfId="28599"/>
    <cellStyle name="Normal 2 12 4 4" xfId="28600"/>
    <cellStyle name="Normal 2 12 4 5" xfId="28601"/>
    <cellStyle name="Normal 2 12 5" xfId="4344"/>
    <cellStyle name="Normal 2 12 5 2" xfId="4345"/>
    <cellStyle name="Normal 2 12 5 2 2" xfId="28602"/>
    <cellStyle name="Normal 2 12 5 2 3" xfId="28603"/>
    <cellStyle name="Normal 2 12 5 3" xfId="4346"/>
    <cellStyle name="Normal 2 12 5 3 2" xfId="28604"/>
    <cellStyle name="Normal 2 12 5 3 3" xfId="28605"/>
    <cellStyle name="Normal 2 12 5 4" xfId="28606"/>
    <cellStyle name="Normal 2 12 5 5" xfId="28607"/>
    <cellStyle name="Normal 2 12 6" xfId="4347"/>
    <cellStyle name="Normal 2 12 6 2" xfId="28608"/>
    <cellStyle name="Normal 2 12 6 3" xfId="28609"/>
    <cellStyle name="Normal 2 12 7" xfId="4348"/>
    <cellStyle name="Normal 2 12 7 2" xfId="28610"/>
    <cellStyle name="Normal 2 12 7 3" xfId="28611"/>
    <cellStyle name="Normal 2 12 8" xfId="28612"/>
    <cellStyle name="Normal 2 12 9" xfId="28613"/>
    <cellStyle name="Normal 2 13" xfId="36"/>
    <cellStyle name="Normal 2 13 2" xfId="4349"/>
    <cellStyle name="Normal 2 13 2 2" xfId="4350"/>
    <cellStyle name="Normal 2 13 2 2 2" xfId="4351"/>
    <cellStyle name="Normal 2 13 2 2 2 2" xfId="28614"/>
    <cellStyle name="Normal 2 13 2 2 2 3" xfId="28615"/>
    <cellStyle name="Normal 2 13 2 2 3" xfId="4352"/>
    <cellStyle name="Normal 2 13 2 2 3 2" xfId="28616"/>
    <cellStyle name="Normal 2 13 2 2 3 3" xfId="28617"/>
    <cellStyle name="Normal 2 13 2 2 4" xfId="28618"/>
    <cellStyle name="Normal 2 13 2 2 5" xfId="28619"/>
    <cellStyle name="Normal 2 13 2 3" xfId="4353"/>
    <cellStyle name="Normal 2 13 2 3 2" xfId="4354"/>
    <cellStyle name="Normal 2 13 2 3 2 2" xfId="28620"/>
    <cellStyle name="Normal 2 13 2 3 2 3" xfId="28621"/>
    <cellStyle name="Normal 2 13 2 3 3" xfId="4355"/>
    <cellStyle name="Normal 2 13 2 3 3 2" xfId="28622"/>
    <cellStyle name="Normal 2 13 2 3 3 3" xfId="28623"/>
    <cellStyle name="Normal 2 13 2 3 4" xfId="28624"/>
    <cellStyle name="Normal 2 13 2 3 5" xfId="28625"/>
    <cellStyle name="Normal 2 13 2 4" xfId="4356"/>
    <cellStyle name="Normal 2 13 2 4 2" xfId="28626"/>
    <cellStyle name="Normal 2 13 2 4 3" xfId="28627"/>
    <cellStyle name="Normal 2 13 2 5" xfId="4357"/>
    <cellStyle name="Normal 2 13 2 5 2" xfId="28628"/>
    <cellStyle name="Normal 2 13 2 5 3" xfId="28629"/>
    <cellStyle name="Normal 2 13 2 6" xfId="28630"/>
    <cellStyle name="Normal 2 13 2 7" xfId="28631"/>
    <cellStyle name="Normal 2 13 3" xfId="4358"/>
    <cellStyle name="Normal 2 13 3 2" xfId="4359"/>
    <cellStyle name="Normal 2 13 3 2 2" xfId="28632"/>
    <cellStyle name="Normal 2 13 3 2 3" xfId="28633"/>
    <cellStyle name="Normal 2 13 3 3" xfId="4360"/>
    <cellStyle name="Normal 2 13 3 3 2" xfId="28634"/>
    <cellStyle name="Normal 2 13 3 3 3" xfId="28635"/>
    <cellStyle name="Normal 2 13 3 4" xfId="28636"/>
    <cellStyle name="Normal 2 13 3 5" xfId="28637"/>
    <cellStyle name="Normal 2 13 4" xfId="4361"/>
    <cellStyle name="Normal 2 13 4 2" xfId="4362"/>
    <cellStyle name="Normal 2 13 4 2 2" xfId="28638"/>
    <cellStyle name="Normal 2 13 4 2 3" xfId="28639"/>
    <cellStyle name="Normal 2 13 4 3" xfId="4363"/>
    <cellStyle name="Normal 2 13 4 3 2" xfId="28640"/>
    <cellStyle name="Normal 2 13 4 3 3" xfId="28641"/>
    <cellStyle name="Normal 2 13 4 4" xfId="28642"/>
    <cellStyle name="Normal 2 13 4 5" xfId="28643"/>
    <cellStyle name="Normal 2 13 5" xfId="4364"/>
    <cellStyle name="Normal 2 13 5 2" xfId="4365"/>
    <cellStyle name="Normal 2 13 5 2 2" xfId="28644"/>
    <cellStyle name="Normal 2 13 5 2 3" xfId="28645"/>
    <cellStyle name="Normal 2 13 5 3" xfId="4366"/>
    <cellStyle name="Normal 2 13 5 3 2" xfId="28646"/>
    <cellStyle name="Normal 2 13 5 3 3" xfId="28647"/>
    <cellStyle name="Normal 2 13 5 4" xfId="28648"/>
    <cellStyle name="Normal 2 13 5 5" xfId="28649"/>
    <cellStyle name="Normal 2 13 6" xfId="4367"/>
    <cellStyle name="Normal 2 13 6 2" xfId="28650"/>
    <cellStyle name="Normal 2 13 6 3" xfId="28651"/>
    <cellStyle name="Normal 2 13 7" xfId="4368"/>
    <cellStyle name="Normal 2 13 7 2" xfId="28652"/>
    <cellStyle name="Normal 2 13 7 3" xfId="28653"/>
    <cellStyle name="Normal 2 13 8" xfId="28654"/>
    <cellStyle name="Normal 2 13 9" xfId="28655"/>
    <cellStyle name="Normal 2 14" xfId="37"/>
    <cellStyle name="Normal 2 14 2" xfId="4369"/>
    <cellStyle name="Normal 2 14 2 2" xfId="4370"/>
    <cellStyle name="Normal 2 14 2 2 2" xfId="4371"/>
    <cellStyle name="Normal 2 14 2 2 2 2" xfId="28656"/>
    <cellStyle name="Normal 2 14 2 2 2 3" xfId="28657"/>
    <cellStyle name="Normal 2 14 2 2 3" xfId="4372"/>
    <cellStyle name="Normal 2 14 2 2 3 2" xfId="28658"/>
    <cellStyle name="Normal 2 14 2 2 3 3" xfId="28659"/>
    <cellStyle name="Normal 2 14 2 2 4" xfId="28660"/>
    <cellStyle name="Normal 2 14 2 2 5" xfId="28661"/>
    <cellStyle name="Normal 2 14 2 3" xfId="4373"/>
    <cellStyle name="Normal 2 14 2 3 2" xfId="4374"/>
    <cellStyle name="Normal 2 14 2 3 2 2" xfId="28662"/>
    <cellStyle name="Normal 2 14 2 3 2 3" xfId="28663"/>
    <cellStyle name="Normal 2 14 2 3 3" xfId="4375"/>
    <cellStyle name="Normal 2 14 2 3 3 2" xfId="28664"/>
    <cellStyle name="Normal 2 14 2 3 3 3" xfId="28665"/>
    <cellStyle name="Normal 2 14 2 3 4" xfId="28666"/>
    <cellStyle name="Normal 2 14 2 3 5" xfId="28667"/>
    <cellStyle name="Normal 2 14 2 4" xfId="4376"/>
    <cellStyle name="Normal 2 14 2 4 2" xfId="28668"/>
    <cellStyle name="Normal 2 14 2 4 3" xfId="28669"/>
    <cellStyle name="Normal 2 14 2 5" xfId="4377"/>
    <cellStyle name="Normal 2 14 2 5 2" xfId="28670"/>
    <cellStyle name="Normal 2 14 2 5 3" xfId="28671"/>
    <cellStyle name="Normal 2 14 2 6" xfId="28672"/>
    <cellStyle name="Normal 2 14 2 7" xfId="28673"/>
    <cellStyle name="Normal 2 14 3" xfId="4378"/>
    <cellStyle name="Normal 2 14 3 2" xfId="4379"/>
    <cellStyle name="Normal 2 14 3 2 2" xfId="28674"/>
    <cellStyle name="Normal 2 14 3 2 3" xfId="28675"/>
    <cellStyle name="Normal 2 14 3 3" xfId="4380"/>
    <cellStyle name="Normal 2 14 3 3 2" xfId="28676"/>
    <cellStyle name="Normal 2 14 3 3 3" xfId="28677"/>
    <cellStyle name="Normal 2 14 3 4" xfId="28678"/>
    <cellStyle name="Normal 2 14 3 5" xfId="28679"/>
    <cellStyle name="Normal 2 14 4" xfId="4381"/>
    <cellStyle name="Normal 2 14 4 2" xfId="4382"/>
    <cellStyle name="Normal 2 14 4 2 2" xfId="28680"/>
    <cellStyle name="Normal 2 14 4 2 3" xfId="28681"/>
    <cellStyle name="Normal 2 14 4 3" xfId="4383"/>
    <cellStyle name="Normal 2 14 4 3 2" xfId="28682"/>
    <cellStyle name="Normal 2 14 4 3 3" xfId="28683"/>
    <cellStyle name="Normal 2 14 4 4" xfId="28684"/>
    <cellStyle name="Normal 2 14 4 5" xfId="28685"/>
    <cellStyle name="Normal 2 14 5" xfId="4384"/>
    <cellStyle name="Normal 2 14 5 2" xfId="4385"/>
    <cellStyle name="Normal 2 14 5 2 2" xfId="28686"/>
    <cellStyle name="Normal 2 14 5 2 3" xfId="28687"/>
    <cellStyle name="Normal 2 14 5 3" xfId="4386"/>
    <cellStyle name="Normal 2 14 5 3 2" xfId="28688"/>
    <cellStyle name="Normal 2 14 5 3 3" xfId="28689"/>
    <cellStyle name="Normal 2 14 5 4" xfId="28690"/>
    <cellStyle name="Normal 2 14 5 5" xfId="28691"/>
    <cellStyle name="Normal 2 14 6" xfId="4387"/>
    <cellStyle name="Normal 2 14 6 2" xfId="28692"/>
    <cellStyle name="Normal 2 14 6 3" xfId="28693"/>
    <cellStyle name="Normal 2 14 7" xfId="4388"/>
    <cellStyle name="Normal 2 14 7 2" xfId="28694"/>
    <cellStyle name="Normal 2 14 7 3" xfId="28695"/>
    <cellStyle name="Normal 2 14 8" xfId="28696"/>
    <cellStyle name="Normal 2 14 9" xfId="28697"/>
    <cellStyle name="Normal 2 15" xfId="38"/>
    <cellStyle name="Normal 2 15 2" xfId="4389"/>
    <cellStyle name="Normal 2 15 2 2" xfId="4390"/>
    <cellStyle name="Normal 2 15 2 2 2" xfId="4391"/>
    <cellStyle name="Normal 2 15 2 2 2 2" xfId="28698"/>
    <cellStyle name="Normal 2 15 2 2 2 3" xfId="28699"/>
    <cellStyle name="Normal 2 15 2 2 3" xfId="4392"/>
    <cellStyle name="Normal 2 15 2 2 3 2" xfId="28700"/>
    <cellStyle name="Normal 2 15 2 2 3 3" xfId="28701"/>
    <cellStyle name="Normal 2 15 2 2 4" xfId="28702"/>
    <cellStyle name="Normal 2 15 2 2 5" xfId="28703"/>
    <cellStyle name="Normal 2 15 2 3" xfId="4393"/>
    <cellStyle name="Normal 2 15 2 3 2" xfId="4394"/>
    <cellStyle name="Normal 2 15 2 3 2 2" xfId="28704"/>
    <cellStyle name="Normal 2 15 2 3 2 3" xfId="28705"/>
    <cellStyle name="Normal 2 15 2 3 3" xfId="4395"/>
    <cellStyle name="Normal 2 15 2 3 3 2" xfId="28706"/>
    <cellStyle name="Normal 2 15 2 3 3 3" xfId="28707"/>
    <cellStyle name="Normal 2 15 2 3 4" xfId="28708"/>
    <cellStyle name="Normal 2 15 2 3 5" xfId="28709"/>
    <cellStyle name="Normal 2 15 2 4" xfId="4396"/>
    <cellStyle name="Normal 2 15 2 4 2" xfId="28710"/>
    <cellStyle name="Normal 2 15 2 4 3" xfId="28711"/>
    <cellStyle name="Normal 2 15 2 5" xfId="4397"/>
    <cellStyle name="Normal 2 15 2 5 2" xfId="28712"/>
    <cellStyle name="Normal 2 15 2 5 3" xfId="28713"/>
    <cellStyle name="Normal 2 15 2 6" xfId="28714"/>
    <cellStyle name="Normal 2 15 2 7" xfId="28715"/>
    <cellStyle name="Normal 2 15 3" xfId="4398"/>
    <cellStyle name="Normal 2 15 3 2" xfId="4399"/>
    <cellStyle name="Normal 2 15 3 2 2" xfId="28716"/>
    <cellStyle name="Normal 2 15 3 2 3" xfId="28717"/>
    <cellStyle name="Normal 2 15 3 3" xfId="4400"/>
    <cellStyle name="Normal 2 15 3 3 2" xfId="28718"/>
    <cellStyle name="Normal 2 15 3 3 3" xfId="28719"/>
    <cellStyle name="Normal 2 15 3 4" xfId="28720"/>
    <cellStyle name="Normal 2 15 3 5" xfId="28721"/>
    <cellStyle name="Normal 2 15 4" xfId="4401"/>
    <cellStyle name="Normal 2 15 4 2" xfId="4402"/>
    <cellStyle name="Normal 2 15 4 2 2" xfId="28722"/>
    <cellStyle name="Normal 2 15 4 2 3" xfId="28723"/>
    <cellStyle name="Normal 2 15 4 3" xfId="4403"/>
    <cellStyle name="Normal 2 15 4 3 2" xfId="28724"/>
    <cellStyle name="Normal 2 15 4 3 3" xfId="28725"/>
    <cellStyle name="Normal 2 15 4 4" xfId="28726"/>
    <cellStyle name="Normal 2 15 4 5" xfId="28727"/>
    <cellStyle name="Normal 2 15 5" xfId="4404"/>
    <cellStyle name="Normal 2 15 5 2" xfId="4405"/>
    <cellStyle name="Normal 2 15 5 2 2" xfId="28728"/>
    <cellStyle name="Normal 2 15 5 2 3" xfId="28729"/>
    <cellStyle name="Normal 2 15 5 3" xfId="4406"/>
    <cellStyle name="Normal 2 15 5 3 2" xfId="28730"/>
    <cellStyle name="Normal 2 15 5 3 3" xfId="28731"/>
    <cellStyle name="Normal 2 15 5 4" xfId="28732"/>
    <cellStyle name="Normal 2 15 5 5" xfId="28733"/>
    <cellStyle name="Normal 2 15 6" xfId="4407"/>
    <cellStyle name="Normal 2 15 6 2" xfId="28734"/>
    <cellStyle name="Normal 2 15 6 3" xfId="28735"/>
    <cellStyle name="Normal 2 15 7" xfId="4408"/>
    <cellStyle name="Normal 2 15 7 2" xfId="28736"/>
    <cellStyle name="Normal 2 15 7 3" xfId="28737"/>
    <cellStyle name="Normal 2 15 8" xfId="28738"/>
    <cellStyle name="Normal 2 15 9" xfId="28739"/>
    <cellStyle name="Normal 2 16" xfId="39"/>
    <cellStyle name="Normal 2 16 2" xfId="4409"/>
    <cellStyle name="Normal 2 16 2 2" xfId="4410"/>
    <cellStyle name="Normal 2 16 2 2 2" xfId="4411"/>
    <cellStyle name="Normal 2 16 2 2 2 2" xfId="28740"/>
    <cellStyle name="Normal 2 16 2 2 2 3" xfId="28741"/>
    <cellStyle name="Normal 2 16 2 2 3" xfId="4412"/>
    <cellStyle name="Normal 2 16 2 2 3 2" xfId="28742"/>
    <cellStyle name="Normal 2 16 2 2 3 3" xfId="28743"/>
    <cellStyle name="Normal 2 16 2 2 4" xfId="28744"/>
    <cellStyle name="Normal 2 16 2 2 5" xfId="28745"/>
    <cellStyle name="Normal 2 16 2 3" xfId="4413"/>
    <cellStyle name="Normal 2 16 2 3 2" xfId="4414"/>
    <cellStyle name="Normal 2 16 2 3 2 2" xfId="28746"/>
    <cellStyle name="Normal 2 16 2 3 2 3" xfId="28747"/>
    <cellStyle name="Normal 2 16 2 3 3" xfId="4415"/>
    <cellStyle name="Normal 2 16 2 3 3 2" xfId="28748"/>
    <cellStyle name="Normal 2 16 2 3 3 3" xfId="28749"/>
    <cellStyle name="Normal 2 16 2 3 4" xfId="28750"/>
    <cellStyle name="Normal 2 16 2 3 5" xfId="28751"/>
    <cellStyle name="Normal 2 16 2 4" xfId="4416"/>
    <cellStyle name="Normal 2 16 2 4 2" xfId="28752"/>
    <cellStyle name="Normal 2 16 2 4 3" xfId="28753"/>
    <cellStyle name="Normal 2 16 2 5" xfId="4417"/>
    <cellStyle name="Normal 2 16 2 5 2" xfId="28754"/>
    <cellStyle name="Normal 2 16 2 5 3" xfId="28755"/>
    <cellStyle name="Normal 2 16 2 6" xfId="28756"/>
    <cellStyle name="Normal 2 16 2 7" xfId="28757"/>
    <cellStyle name="Normal 2 16 3" xfId="4418"/>
    <cellStyle name="Normal 2 16 3 2" xfId="4419"/>
    <cellStyle name="Normal 2 16 3 2 2" xfId="28758"/>
    <cellStyle name="Normal 2 16 3 2 3" xfId="28759"/>
    <cellStyle name="Normal 2 16 3 3" xfId="4420"/>
    <cellStyle name="Normal 2 16 3 3 2" xfId="28760"/>
    <cellStyle name="Normal 2 16 3 3 3" xfId="28761"/>
    <cellStyle name="Normal 2 16 3 4" xfId="28762"/>
    <cellStyle name="Normal 2 16 3 5" xfId="28763"/>
    <cellStyle name="Normal 2 16 4" xfId="4421"/>
    <cellStyle name="Normal 2 16 4 2" xfId="4422"/>
    <cellStyle name="Normal 2 16 4 2 2" xfId="28764"/>
    <cellStyle name="Normal 2 16 4 2 3" xfId="28765"/>
    <cellStyle name="Normal 2 16 4 3" xfId="4423"/>
    <cellStyle name="Normal 2 16 4 3 2" xfId="28766"/>
    <cellStyle name="Normal 2 16 4 3 3" xfId="28767"/>
    <cellStyle name="Normal 2 16 4 4" xfId="28768"/>
    <cellStyle name="Normal 2 16 4 5" xfId="28769"/>
    <cellStyle name="Normal 2 16 5" xfId="4424"/>
    <cellStyle name="Normal 2 16 5 2" xfId="4425"/>
    <cellStyle name="Normal 2 16 5 2 2" xfId="28770"/>
    <cellStyle name="Normal 2 16 5 2 3" xfId="28771"/>
    <cellStyle name="Normal 2 16 5 3" xfId="4426"/>
    <cellStyle name="Normal 2 16 5 3 2" xfId="28772"/>
    <cellStyle name="Normal 2 16 5 3 3" xfId="28773"/>
    <cellStyle name="Normal 2 16 5 4" xfId="28774"/>
    <cellStyle name="Normal 2 16 5 5" xfId="28775"/>
    <cellStyle name="Normal 2 16 6" xfId="4427"/>
    <cellStyle name="Normal 2 16 6 2" xfId="28776"/>
    <cellStyle name="Normal 2 16 6 3" xfId="28777"/>
    <cellStyle name="Normal 2 16 7" xfId="4428"/>
    <cellStyle name="Normal 2 16 7 2" xfId="28778"/>
    <cellStyle name="Normal 2 16 7 3" xfId="28779"/>
    <cellStyle name="Normal 2 16 8" xfId="28780"/>
    <cellStyle name="Normal 2 16 9" xfId="28781"/>
    <cellStyle name="Normal 2 17" xfId="40"/>
    <cellStyle name="Normal 2 17 2" xfId="4429"/>
    <cellStyle name="Normal 2 18" xfId="4430"/>
    <cellStyle name="Normal 2 19" xfId="4431"/>
    <cellStyle name="Normal 2 19 2" xfId="4432"/>
    <cellStyle name="Normal 2 19 2 2" xfId="4433"/>
    <cellStyle name="Normal 2 19 2 2 2" xfId="28782"/>
    <cellStyle name="Normal 2 19 2 2 3" xfId="28783"/>
    <cellStyle name="Normal 2 19 2 3" xfId="4434"/>
    <cellStyle name="Normal 2 19 2 3 2" xfId="28784"/>
    <cellStyle name="Normal 2 19 2 3 3" xfId="28785"/>
    <cellStyle name="Normal 2 19 2 4" xfId="28786"/>
    <cellStyle name="Normal 2 19 2 5" xfId="28787"/>
    <cellStyle name="Normal 2 19 3" xfId="4435"/>
    <cellStyle name="Normal 2 19 3 2" xfId="28788"/>
    <cellStyle name="Normal 2 19 3 3" xfId="28789"/>
    <cellStyle name="Normal 2 19 4" xfId="4436"/>
    <cellStyle name="Normal 2 19 4 2" xfId="28790"/>
    <cellStyle name="Normal 2 19 4 3" xfId="28791"/>
    <cellStyle name="Normal 2 19 5" xfId="28792"/>
    <cellStyle name="Normal 2 19 6" xfId="28793"/>
    <cellStyle name="Normal 2 2" xfId="41"/>
    <cellStyle name="Normal 2 2 2" xfId="42"/>
    <cellStyle name="Normal 2 2 2 2" xfId="4437"/>
    <cellStyle name="Normal 2 2 2 2 2" xfId="28794"/>
    <cellStyle name="Normal 2 2 2 3" xfId="4438"/>
    <cellStyle name="Normal 2 2 2 4" xfId="28795"/>
    <cellStyle name="Normal 2 2 2 5" xfId="28796"/>
    <cellStyle name="Normal 2 2 3" xfId="43"/>
    <cellStyle name="Normal 2 2 4" xfId="44"/>
    <cellStyle name="Normal 2 2 5" xfId="45"/>
    <cellStyle name="Normal 2 2 6" xfId="46"/>
    <cellStyle name="Normal 2 2 7" xfId="47"/>
    <cellStyle name="Normal 2 2 8" xfId="48"/>
    <cellStyle name="Normal 2 2 9" xfId="49"/>
    <cellStyle name="Normal 2 2_Tertiary Salaries Survey" xfId="4439"/>
    <cellStyle name="Normal 2 20" xfId="4440"/>
    <cellStyle name="Normal 2 20 2" xfId="4441"/>
    <cellStyle name="Normal 2 20 2 2" xfId="28797"/>
    <cellStyle name="Normal 2 20 2 3" xfId="28798"/>
    <cellStyle name="Normal 2 20 3" xfId="4442"/>
    <cellStyle name="Normal 2 20 3 2" xfId="28799"/>
    <cellStyle name="Normal 2 20 3 3" xfId="28800"/>
    <cellStyle name="Normal 2 20 4" xfId="28801"/>
    <cellStyle name="Normal 2 20 5" xfId="28802"/>
    <cellStyle name="Normal 2 21" xfId="4443"/>
    <cellStyle name="Normal 2 21 2" xfId="28803"/>
    <cellStyle name="Normal 2 21 3" xfId="28804"/>
    <cellStyle name="Normal 2 21 4" xfId="28805"/>
    <cellStyle name="Normal 2 22" xfId="4444"/>
    <cellStyle name="Normal 2 22 2" xfId="28806"/>
    <cellStyle name="Normal 2 22 3" xfId="28807"/>
    <cellStyle name="Normal 2 23" xfId="28808"/>
    <cellStyle name="Normal 2 24" xfId="28809"/>
    <cellStyle name="Normal 2 3" xfId="50"/>
    <cellStyle name="Normal 2 3 2" xfId="4445"/>
    <cellStyle name="Normal 2 3 2 2" xfId="4446"/>
    <cellStyle name="Normal 2 3 2 2 2" xfId="4447"/>
    <cellStyle name="Normal 2 3 2 2 2 2" xfId="28810"/>
    <cellStyle name="Normal 2 3 2 2 2 3" xfId="28811"/>
    <cellStyle name="Normal 2 3 2 2 3" xfId="4448"/>
    <cellStyle name="Normal 2 3 2 2 3 2" xfId="28812"/>
    <cellStyle name="Normal 2 3 2 2 3 3" xfId="28813"/>
    <cellStyle name="Normal 2 3 2 2 4" xfId="28814"/>
    <cellStyle name="Normal 2 3 2 2 5" xfId="28815"/>
    <cellStyle name="Normal 2 3 2 3" xfId="4449"/>
    <cellStyle name="Normal 2 3 2 3 2" xfId="4450"/>
    <cellStyle name="Normal 2 3 2 3 2 2" xfId="28816"/>
    <cellStyle name="Normal 2 3 2 3 2 3" xfId="28817"/>
    <cellStyle name="Normal 2 3 2 3 3" xfId="4451"/>
    <cellStyle name="Normal 2 3 2 3 3 2" xfId="28818"/>
    <cellStyle name="Normal 2 3 2 3 3 3" xfId="28819"/>
    <cellStyle name="Normal 2 3 2 3 4" xfId="28820"/>
    <cellStyle name="Normal 2 3 2 3 5" xfId="28821"/>
    <cellStyle name="Normal 2 3 2 4" xfId="4452"/>
    <cellStyle name="Normal 2 3 2 4 2" xfId="28822"/>
    <cellStyle name="Normal 2 3 2 4 3" xfId="28823"/>
    <cellStyle name="Normal 2 3 2 5" xfId="4453"/>
    <cellStyle name="Normal 2 3 2 5 2" xfId="28824"/>
    <cellStyle name="Normal 2 3 2 5 3" xfId="28825"/>
    <cellStyle name="Normal 2 3 2 6" xfId="28826"/>
    <cellStyle name="Normal 2 3 2 7" xfId="28827"/>
    <cellStyle name="Normal 2 3 3" xfId="4454"/>
    <cellStyle name="Normal 2 3 3 2" xfId="4455"/>
    <cellStyle name="Normal 2 3 3 2 2" xfId="28828"/>
    <cellStyle name="Normal 2 3 3 2 3" xfId="28829"/>
    <cellStyle name="Normal 2 3 3 3" xfId="4456"/>
    <cellStyle name="Normal 2 3 3 3 2" xfId="28830"/>
    <cellStyle name="Normal 2 3 3 3 3" xfId="28831"/>
    <cellStyle name="Normal 2 3 3 4" xfId="28832"/>
    <cellStyle name="Normal 2 3 3 5" xfId="28833"/>
    <cellStyle name="Normal 2 3 4" xfId="4457"/>
    <cellStyle name="Normal 2 3 5" xfId="28834"/>
    <cellStyle name="Normal 2 3_Tertiary Salaries Survey" xfId="4458"/>
    <cellStyle name="Normal 2 4" xfId="51"/>
    <cellStyle name="Normal 2 4 10" xfId="28835"/>
    <cellStyle name="Normal 2 4 11" xfId="28836"/>
    <cellStyle name="Normal 2 4 2" xfId="146"/>
    <cellStyle name="Normal 2 4 2 2" xfId="4459"/>
    <cellStyle name="Normal 2 4 2 2 2" xfId="4460"/>
    <cellStyle name="Normal 2 4 2 2 2 2" xfId="4461"/>
    <cellStyle name="Normal 2 4 2 2 2 2 2" xfId="28837"/>
    <cellStyle name="Normal 2 4 2 2 2 2 3" xfId="28838"/>
    <cellStyle name="Normal 2 4 2 2 2 3" xfId="4462"/>
    <cellStyle name="Normal 2 4 2 2 2 3 2" xfId="28839"/>
    <cellStyle name="Normal 2 4 2 2 2 3 3" xfId="28840"/>
    <cellStyle name="Normal 2 4 2 2 2 4" xfId="28841"/>
    <cellStyle name="Normal 2 4 2 2 2 5" xfId="28842"/>
    <cellStyle name="Normal 2 4 2 2 3" xfId="4463"/>
    <cellStyle name="Normal 2 4 2 2 3 2" xfId="4464"/>
    <cellStyle name="Normal 2 4 2 2 3 2 2" xfId="28843"/>
    <cellStyle name="Normal 2 4 2 2 3 2 3" xfId="28844"/>
    <cellStyle name="Normal 2 4 2 2 3 3" xfId="4465"/>
    <cellStyle name="Normal 2 4 2 2 3 3 2" xfId="28845"/>
    <cellStyle name="Normal 2 4 2 2 3 3 3" xfId="28846"/>
    <cellStyle name="Normal 2 4 2 2 3 4" xfId="28847"/>
    <cellStyle name="Normal 2 4 2 2 3 5" xfId="28848"/>
    <cellStyle name="Normal 2 4 2 2 4" xfId="4466"/>
    <cellStyle name="Normal 2 4 2 2 4 2" xfId="28849"/>
    <cellStyle name="Normal 2 4 2 2 4 3" xfId="28850"/>
    <cellStyle name="Normal 2 4 2 2 5" xfId="4467"/>
    <cellStyle name="Normal 2 4 2 2 5 2" xfId="28851"/>
    <cellStyle name="Normal 2 4 2 2 5 3" xfId="28852"/>
    <cellStyle name="Normal 2 4 2 2 6" xfId="28853"/>
    <cellStyle name="Normal 2 4 2 2 7" xfId="28854"/>
    <cellStyle name="Normal 2 4 2 2 8" xfId="28855"/>
    <cellStyle name="Normal 2 4 2 3" xfId="4468"/>
    <cellStyle name="Normal 2 4 2 3 2" xfId="4469"/>
    <cellStyle name="Normal 2 4 2 3 2 2" xfId="28856"/>
    <cellStyle name="Normal 2 4 2 3 2 3" xfId="28857"/>
    <cellStyle name="Normal 2 4 2 3 3" xfId="4470"/>
    <cellStyle name="Normal 2 4 2 3 3 2" xfId="28858"/>
    <cellStyle name="Normal 2 4 2 3 3 3" xfId="28859"/>
    <cellStyle name="Normal 2 4 2 3 4" xfId="28860"/>
    <cellStyle name="Normal 2 4 2 3 5" xfId="28861"/>
    <cellStyle name="Normal 2 4 2 4" xfId="4471"/>
    <cellStyle name="Normal 2 4 2 4 2" xfId="4472"/>
    <cellStyle name="Normal 2 4 2 4 2 2" xfId="28862"/>
    <cellStyle name="Normal 2 4 2 4 2 3" xfId="28863"/>
    <cellStyle name="Normal 2 4 2 4 3" xfId="4473"/>
    <cellStyle name="Normal 2 4 2 4 3 2" xfId="28864"/>
    <cellStyle name="Normal 2 4 2 4 3 3" xfId="28865"/>
    <cellStyle name="Normal 2 4 2 4 4" xfId="28866"/>
    <cellStyle name="Normal 2 4 2 4 5" xfId="28867"/>
    <cellStyle name="Normal 2 4 2 5" xfId="4474"/>
    <cellStyle name="Normal 2 4 2 5 2" xfId="28868"/>
    <cellStyle name="Normal 2 4 2 5 3" xfId="28869"/>
    <cellStyle name="Normal 2 4 2 6" xfId="4475"/>
    <cellStyle name="Normal 2 4 2 6 2" xfId="28870"/>
    <cellStyle name="Normal 2 4 2 6 3" xfId="28871"/>
    <cellStyle name="Normal 2 4 2 7" xfId="28872"/>
    <cellStyle name="Normal 2 4 2 8" xfId="28873"/>
    <cellStyle name="Normal 2 4 3" xfId="4476"/>
    <cellStyle name="Normal 2 4 3 2" xfId="4477"/>
    <cellStyle name="Normal 2 4 3 2 2" xfId="4478"/>
    <cellStyle name="Normal 2 4 3 2 2 2" xfId="28874"/>
    <cellStyle name="Normal 2 4 3 2 2 3" xfId="28875"/>
    <cellStyle name="Normal 2 4 3 2 3" xfId="4479"/>
    <cellStyle name="Normal 2 4 3 2 3 2" xfId="28876"/>
    <cellStyle name="Normal 2 4 3 2 3 3" xfId="28877"/>
    <cellStyle name="Normal 2 4 3 2 4" xfId="28878"/>
    <cellStyle name="Normal 2 4 3 2 5" xfId="28879"/>
    <cellStyle name="Normal 2 4 3 3" xfId="4480"/>
    <cellStyle name="Normal 2 4 3 3 2" xfId="4481"/>
    <cellStyle name="Normal 2 4 3 3 2 2" xfId="28880"/>
    <cellStyle name="Normal 2 4 3 3 2 3" xfId="28881"/>
    <cellStyle name="Normal 2 4 3 3 3" xfId="4482"/>
    <cellStyle name="Normal 2 4 3 3 3 2" xfId="28882"/>
    <cellStyle name="Normal 2 4 3 3 3 3" xfId="28883"/>
    <cellStyle name="Normal 2 4 3 3 4" xfId="28884"/>
    <cellStyle name="Normal 2 4 3 3 5" xfId="28885"/>
    <cellStyle name="Normal 2 4 3 4" xfId="4483"/>
    <cellStyle name="Normal 2 4 3 4 2" xfId="28886"/>
    <cellStyle name="Normal 2 4 3 4 3" xfId="28887"/>
    <cellStyle name="Normal 2 4 3 5" xfId="4484"/>
    <cellStyle name="Normal 2 4 3 5 2" xfId="28888"/>
    <cellStyle name="Normal 2 4 3 5 3" xfId="28889"/>
    <cellStyle name="Normal 2 4 3 6" xfId="28890"/>
    <cellStyle name="Normal 2 4 3 7" xfId="28891"/>
    <cellStyle name="Normal 2 4 4" xfId="4485"/>
    <cellStyle name="Normal 2 4 4 2" xfId="4486"/>
    <cellStyle name="Normal 2 4 4 2 2" xfId="4487"/>
    <cellStyle name="Normal 2 4 4 2 2 2" xfId="28892"/>
    <cellStyle name="Normal 2 4 4 2 2 3" xfId="28893"/>
    <cellStyle name="Normal 2 4 4 2 3" xfId="4488"/>
    <cellStyle name="Normal 2 4 4 2 3 2" xfId="28894"/>
    <cellStyle name="Normal 2 4 4 2 3 3" xfId="28895"/>
    <cellStyle name="Normal 2 4 4 2 4" xfId="28896"/>
    <cellStyle name="Normal 2 4 4 2 5" xfId="28897"/>
    <cellStyle name="Normal 2 4 4 3" xfId="4489"/>
    <cellStyle name="Normal 2 4 4 3 2" xfId="4490"/>
    <cellStyle name="Normal 2 4 4 3 2 2" xfId="28898"/>
    <cellStyle name="Normal 2 4 4 3 2 3" xfId="28899"/>
    <cellStyle name="Normal 2 4 4 3 3" xfId="4491"/>
    <cellStyle name="Normal 2 4 4 3 3 2" xfId="28900"/>
    <cellStyle name="Normal 2 4 4 3 3 3" xfId="28901"/>
    <cellStyle name="Normal 2 4 4 3 4" xfId="28902"/>
    <cellStyle name="Normal 2 4 4 3 5" xfId="28903"/>
    <cellStyle name="Normal 2 4 4 4" xfId="4492"/>
    <cellStyle name="Normal 2 4 4 4 2" xfId="28904"/>
    <cellStyle name="Normal 2 4 4 4 3" xfId="28905"/>
    <cellStyle name="Normal 2 4 4 5" xfId="4493"/>
    <cellStyle name="Normal 2 4 4 5 2" xfId="28906"/>
    <cellStyle name="Normal 2 4 4 5 3" xfId="28907"/>
    <cellStyle name="Normal 2 4 4 6" xfId="28908"/>
    <cellStyle name="Normal 2 4 4 7" xfId="28909"/>
    <cellStyle name="Normal 2 4 5" xfId="4494"/>
    <cellStyle name="Normal 2 4 5 2" xfId="4495"/>
    <cellStyle name="Normal 2 4 5 2 2" xfId="28910"/>
    <cellStyle name="Normal 2 4 5 2 3" xfId="28911"/>
    <cellStyle name="Normal 2 4 5 3" xfId="4496"/>
    <cellStyle name="Normal 2 4 5 3 2" xfId="28912"/>
    <cellStyle name="Normal 2 4 5 3 3" xfId="28913"/>
    <cellStyle name="Normal 2 4 5 4" xfId="28914"/>
    <cellStyle name="Normal 2 4 5 5" xfId="28915"/>
    <cellStyle name="Normal 2 4 6" xfId="4497"/>
    <cellStyle name="Normal 2 4 6 2" xfId="4498"/>
    <cellStyle name="Normal 2 4 6 2 2" xfId="28916"/>
    <cellStyle name="Normal 2 4 6 2 3" xfId="28917"/>
    <cellStyle name="Normal 2 4 6 3" xfId="4499"/>
    <cellStyle name="Normal 2 4 6 3 2" xfId="28918"/>
    <cellStyle name="Normal 2 4 6 3 3" xfId="28919"/>
    <cellStyle name="Normal 2 4 6 4" xfId="28920"/>
    <cellStyle name="Normal 2 4 6 5" xfId="28921"/>
    <cellStyle name="Normal 2 4 7" xfId="4500"/>
    <cellStyle name="Normal 2 4 7 2" xfId="4501"/>
    <cellStyle name="Normal 2 4 7 2 2" xfId="28922"/>
    <cellStyle name="Normal 2 4 7 2 3" xfId="28923"/>
    <cellStyle name="Normal 2 4 7 3" xfId="4502"/>
    <cellStyle name="Normal 2 4 7 3 2" xfId="28924"/>
    <cellStyle name="Normal 2 4 7 3 3" xfId="28925"/>
    <cellStyle name="Normal 2 4 7 4" xfId="28926"/>
    <cellStyle name="Normal 2 4 7 5" xfId="28927"/>
    <cellStyle name="Normal 2 4 8" xfId="28928"/>
    <cellStyle name="Normal 2 4 8 2" xfId="28929"/>
    <cellStyle name="Normal 2 4 8 3" xfId="28930"/>
    <cellStyle name="Normal 2 4 9" xfId="24115"/>
    <cellStyle name="Normal 2 4_EAG2010_D6_April 28" xfId="4503"/>
    <cellStyle name="Normal 2 5" xfId="52"/>
    <cellStyle name="Normal 2 5 2" xfId="4504"/>
    <cellStyle name="Normal 2 5 2 2" xfId="4505"/>
    <cellStyle name="Normal 2 5 2 2 2" xfId="4506"/>
    <cellStyle name="Normal 2 5 2 2 2 2" xfId="28931"/>
    <cellStyle name="Normal 2 5 2 2 2 3" xfId="28932"/>
    <cellStyle name="Normal 2 5 2 2 3" xfId="4507"/>
    <cellStyle name="Normal 2 5 2 2 3 2" xfId="28933"/>
    <cellStyle name="Normal 2 5 2 2 3 3" xfId="28934"/>
    <cellStyle name="Normal 2 5 2 2 4" xfId="28935"/>
    <cellStyle name="Normal 2 5 2 2 5" xfId="28936"/>
    <cellStyle name="Normal 2 5 2 3" xfId="4508"/>
    <cellStyle name="Normal 2 5 2 3 2" xfId="4509"/>
    <cellStyle name="Normal 2 5 2 3 2 2" xfId="28937"/>
    <cellStyle name="Normal 2 5 2 3 2 3" xfId="28938"/>
    <cellStyle name="Normal 2 5 2 3 3" xfId="4510"/>
    <cellStyle name="Normal 2 5 2 3 3 2" xfId="28939"/>
    <cellStyle name="Normal 2 5 2 3 3 3" xfId="28940"/>
    <cellStyle name="Normal 2 5 2 3 4" xfId="28941"/>
    <cellStyle name="Normal 2 5 2 3 5" xfId="28942"/>
    <cellStyle name="Normal 2 5 2 4" xfId="4511"/>
    <cellStyle name="Normal 2 5 2 4 2" xfId="28943"/>
    <cellStyle name="Normal 2 5 2 4 3" xfId="28944"/>
    <cellStyle name="Normal 2 5 2 5" xfId="4512"/>
    <cellStyle name="Normal 2 5 2 5 2" xfId="28945"/>
    <cellStyle name="Normal 2 5 2 5 3" xfId="28946"/>
    <cellStyle name="Normal 2 5 2 6" xfId="28947"/>
    <cellStyle name="Normal 2 5 2 7" xfId="28948"/>
    <cellStyle name="Normal 2 5 3" xfId="4513"/>
    <cellStyle name="Normal 2 5 3 2" xfId="4514"/>
    <cellStyle name="Normal 2 5 3 2 2" xfId="28949"/>
    <cellStyle name="Normal 2 5 3 2 3" xfId="28950"/>
    <cellStyle name="Normal 2 5 3 3" xfId="4515"/>
    <cellStyle name="Normal 2 5 3 3 2" xfId="28951"/>
    <cellStyle name="Normal 2 5 3 3 3" xfId="28952"/>
    <cellStyle name="Normal 2 5 3 4" xfId="28953"/>
    <cellStyle name="Normal 2 5 3 5" xfId="28954"/>
    <cellStyle name="Normal 2 5 4" xfId="4516"/>
    <cellStyle name="Normal 2 5 4 2" xfId="4517"/>
    <cellStyle name="Normal 2 5 4 2 2" xfId="28955"/>
    <cellStyle name="Normal 2 5 4 2 3" xfId="28956"/>
    <cellStyle name="Normal 2 5 4 3" xfId="4518"/>
    <cellStyle name="Normal 2 5 4 3 2" xfId="28957"/>
    <cellStyle name="Normal 2 5 4 3 3" xfId="28958"/>
    <cellStyle name="Normal 2 5 4 4" xfId="28959"/>
    <cellStyle name="Normal 2 5 4 5" xfId="28960"/>
    <cellStyle name="Normal 2 5 5" xfId="4519"/>
    <cellStyle name="Normal 2 5 5 2" xfId="4520"/>
    <cellStyle name="Normal 2 5 5 2 2" xfId="28961"/>
    <cellStyle name="Normal 2 5 5 2 3" xfId="28962"/>
    <cellStyle name="Normal 2 5 5 3" xfId="4521"/>
    <cellStyle name="Normal 2 5 5 3 2" xfId="28963"/>
    <cellStyle name="Normal 2 5 5 3 3" xfId="28964"/>
    <cellStyle name="Normal 2 5 5 4" xfId="28965"/>
    <cellStyle name="Normal 2 5 5 5" xfId="28966"/>
    <cellStyle name="Normal 2 5 6" xfId="28967"/>
    <cellStyle name="Normal 2 6" xfId="53"/>
    <cellStyle name="Normal 2 6 2" xfId="4522"/>
    <cellStyle name="Normal 2 6 2 2" xfId="4523"/>
    <cellStyle name="Normal 2 6 2 2 2" xfId="4524"/>
    <cellStyle name="Normal 2 6 2 2 2 2" xfId="28968"/>
    <cellStyle name="Normal 2 6 2 2 2 3" xfId="28969"/>
    <cellStyle name="Normal 2 6 2 2 3" xfId="4525"/>
    <cellStyle name="Normal 2 6 2 2 3 2" xfId="28970"/>
    <cellStyle name="Normal 2 6 2 2 3 3" xfId="28971"/>
    <cellStyle name="Normal 2 6 2 2 4" xfId="28972"/>
    <cellStyle name="Normal 2 6 2 2 5" xfId="28973"/>
    <cellStyle name="Normal 2 6 2 3" xfId="4526"/>
    <cellStyle name="Normal 2 6 2 3 2" xfId="4527"/>
    <cellStyle name="Normal 2 6 2 3 2 2" xfId="28974"/>
    <cellStyle name="Normal 2 6 2 3 2 3" xfId="28975"/>
    <cellStyle name="Normal 2 6 2 3 3" xfId="4528"/>
    <cellStyle name="Normal 2 6 2 3 3 2" xfId="28976"/>
    <cellStyle name="Normal 2 6 2 3 3 3" xfId="28977"/>
    <cellStyle name="Normal 2 6 2 3 4" xfId="28978"/>
    <cellStyle name="Normal 2 6 2 3 5" xfId="28979"/>
    <cellStyle name="Normal 2 6 2 4" xfId="4529"/>
    <cellStyle name="Normal 2 6 2 4 2" xfId="28980"/>
    <cellStyle name="Normal 2 6 2 4 3" xfId="28981"/>
    <cellStyle name="Normal 2 6 2 5" xfId="4530"/>
    <cellStyle name="Normal 2 6 2 5 2" xfId="28982"/>
    <cellStyle name="Normal 2 6 2 5 3" xfId="28983"/>
    <cellStyle name="Normal 2 6 2 6" xfId="28984"/>
    <cellStyle name="Normal 2 6 2 7" xfId="28985"/>
    <cellStyle name="Normal 2 6 3" xfId="4531"/>
    <cellStyle name="Normal 2 6 3 2" xfId="4532"/>
    <cellStyle name="Normal 2 6 3 2 2" xfId="28986"/>
    <cellStyle name="Normal 2 6 3 2 3" xfId="28987"/>
    <cellStyle name="Normal 2 6 3 3" xfId="4533"/>
    <cellStyle name="Normal 2 6 3 3 2" xfId="28988"/>
    <cellStyle name="Normal 2 6 3 3 3" xfId="28989"/>
    <cellStyle name="Normal 2 6 3 4" xfId="28990"/>
    <cellStyle name="Normal 2 6 3 5" xfId="28991"/>
    <cellStyle name="Normal 2 6 4" xfId="4534"/>
    <cellStyle name="Normal 2 6 4 2" xfId="4535"/>
    <cellStyle name="Normal 2 6 4 2 2" xfId="28992"/>
    <cellStyle name="Normal 2 6 4 2 3" xfId="28993"/>
    <cellStyle name="Normal 2 6 4 3" xfId="4536"/>
    <cellStyle name="Normal 2 6 4 3 2" xfId="28994"/>
    <cellStyle name="Normal 2 6 4 3 3" xfId="28995"/>
    <cellStyle name="Normal 2 6 4 4" xfId="28996"/>
    <cellStyle name="Normal 2 6 4 5" xfId="28997"/>
    <cellStyle name="Normal 2 6 5" xfId="4537"/>
    <cellStyle name="Normal 2 6 5 2" xfId="4538"/>
    <cellStyle name="Normal 2 6 5 2 2" xfId="28998"/>
    <cellStyle name="Normal 2 6 5 2 3" xfId="28999"/>
    <cellStyle name="Normal 2 6 5 3" xfId="4539"/>
    <cellStyle name="Normal 2 6 5 3 2" xfId="29000"/>
    <cellStyle name="Normal 2 6 5 3 3" xfId="29001"/>
    <cellStyle name="Normal 2 6 5 4" xfId="29002"/>
    <cellStyle name="Normal 2 6 5 5" xfId="29003"/>
    <cellStyle name="Normal 2 6 6" xfId="29004"/>
    <cellStyle name="Normal 2 7" xfId="54"/>
    <cellStyle name="Normal 2 7 2" xfId="4540"/>
    <cellStyle name="Normal 2 7 2 2" xfId="4541"/>
    <cellStyle name="Normal 2 7 2 2 2" xfId="4542"/>
    <cellStyle name="Normal 2 7 2 2 2 2" xfId="29005"/>
    <cellStyle name="Normal 2 7 2 2 2 3" xfId="29006"/>
    <cellStyle name="Normal 2 7 2 2 3" xfId="4543"/>
    <cellStyle name="Normal 2 7 2 2 3 2" xfId="29007"/>
    <cellStyle name="Normal 2 7 2 2 3 3" xfId="29008"/>
    <cellStyle name="Normal 2 7 2 2 4" xfId="29009"/>
    <cellStyle name="Normal 2 7 2 2 5" xfId="29010"/>
    <cellStyle name="Normal 2 7 2 3" xfId="4544"/>
    <cellStyle name="Normal 2 7 2 3 2" xfId="4545"/>
    <cellStyle name="Normal 2 7 2 3 2 2" xfId="29011"/>
    <cellStyle name="Normal 2 7 2 3 2 3" xfId="29012"/>
    <cellStyle name="Normal 2 7 2 3 3" xfId="4546"/>
    <cellStyle name="Normal 2 7 2 3 3 2" xfId="29013"/>
    <cellStyle name="Normal 2 7 2 3 3 3" xfId="29014"/>
    <cellStyle name="Normal 2 7 2 3 4" xfId="29015"/>
    <cellStyle name="Normal 2 7 2 3 5" xfId="29016"/>
    <cellStyle name="Normal 2 7 2 4" xfId="4547"/>
    <cellStyle name="Normal 2 7 2 4 2" xfId="29017"/>
    <cellStyle name="Normal 2 7 2 4 3" xfId="29018"/>
    <cellStyle name="Normal 2 7 2 5" xfId="4548"/>
    <cellStyle name="Normal 2 7 2 5 2" xfId="29019"/>
    <cellStyle name="Normal 2 7 2 5 3" xfId="29020"/>
    <cellStyle name="Normal 2 7 2 6" xfId="29021"/>
    <cellStyle name="Normal 2 7 2 7" xfId="29022"/>
    <cellStyle name="Normal 2 7 3" xfId="4549"/>
    <cellStyle name="Normal 2 7 3 2" xfId="4550"/>
    <cellStyle name="Normal 2 7 3 2 2" xfId="29023"/>
    <cellStyle name="Normal 2 7 3 2 3" xfId="29024"/>
    <cellStyle name="Normal 2 7 3 3" xfId="4551"/>
    <cellStyle name="Normal 2 7 3 3 2" xfId="29025"/>
    <cellStyle name="Normal 2 7 3 3 3" xfId="29026"/>
    <cellStyle name="Normal 2 7 3 4" xfId="29027"/>
    <cellStyle name="Normal 2 7 3 5" xfId="29028"/>
    <cellStyle name="Normal 2 7 4" xfId="4552"/>
    <cellStyle name="Normal 2 7 4 2" xfId="4553"/>
    <cellStyle name="Normal 2 7 4 2 2" xfId="29029"/>
    <cellStyle name="Normal 2 7 4 2 3" xfId="29030"/>
    <cellStyle name="Normal 2 7 4 3" xfId="4554"/>
    <cellStyle name="Normal 2 7 4 3 2" xfId="29031"/>
    <cellStyle name="Normal 2 7 4 3 3" xfId="29032"/>
    <cellStyle name="Normal 2 7 4 4" xfId="29033"/>
    <cellStyle name="Normal 2 7 4 5" xfId="29034"/>
    <cellStyle name="Normal 2 7 5" xfId="4555"/>
    <cellStyle name="Normal 2 7 5 2" xfId="4556"/>
    <cellStyle name="Normal 2 7 5 2 2" xfId="29035"/>
    <cellStyle name="Normal 2 7 5 2 3" xfId="29036"/>
    <cellStyle name="Normal 2 7 5 3" xfId="4557"/>
    <cellStyle name="Normal 2 7 5 3 2" xfId="29037"/>
    <cellStyle name="Normal 2 7 5 3 3" xfId="29038"/>
    <cellStyle name="Normal 2 7 5 4" xfId="29039"/>
    <cellStyle name="Normal 2 7 5 5" xfId="29040"/>
    <cellStyle name="Normal 2 7 6" xfId="29041"/>
    <cellStyle name="Normal 2 8" xfId="55"/>
    <cellStyle name="Normal 2 8 2" xfId="4558"/>
    <cellStyle name="Normal 2 8 2 2" xfId="4559"/>
    <cellStyle name="Normal 2 8 2 2 2" xfId="4560"/>
    <cellStyle name="Normal 2 8 2 2 2 2" xfId="29042"/>
    <cellStyle name="Normal 2 8 2 2 2 3" xfId="29043"/>
    <cellStyle name="Normal 2 8 2 2 3" xfId="4561"/>
    <cellStyle name="Normal 2 8 2 2 3 2" xfId="29044"/>
    <cellStyle name="Normal 2 8 2 2 3 3" xfId="29045"/>
    <cellStyle name="Normal 2 8 2 2 4" xfId="29046"/>
    <cellStyle name="Normal 2 8 2 2 5" xfId="29047"/>
    <cellStyle name="Normal 2 8 2 3" xfId="4562"/>
    <cellStyle name="Normal 2 8 2 3 2" xfId="4563"/>
    <cellStyle name="Normal 2 8 2 3 2 2" xfId="29048"/>
    <cellStyle name="Normal 2 8 2 3 2 3" xfId="29049"/>
    <cellStyle name="Normal 2 8 2 3 3" xfId="4564"/>
    <cellStyle name="Normal 2 8 2 3 3 2" xfId="29050"/>
    <cellStyle name="Normal 2 8 2 3 3 3" xfId="29051"/>
    <cellStyle name="Normal 2 8 2 3 4" xfId="29052"/>
    <cellStyle name="Normal 2 8 2 3 5" xfId="29053"/>
    <cellStyle name="Normal 2 8 3" xfId="4565"/>
    <cellStyle name="Normal 2 8 3 2" xfId="4566"/>
    <cellStyle name="Normal 2 8 3 2 2" xfId="29054"/>
    <cellStyle name="Normal 2 8 3 2 3" xfId="29055"/>
    <cellStyle name="Normal 2 8 3 3" xfId="4567"/>
    <cellStyle name="Normal 2 8 3 3 2" xfId="29056"/>
    <cellStyle name="Normal 2 8 3 3 3" xfId="29057"/>
    <cellStyle name="Normal 2 8 3 4" xfId="29058"/>
    <cellStyle name="Normal 2 8 3 5" xfId="29059"/>
    <cellStyle name="Normal 2 8 4" xfId="4568"/>
    <cellStyle name="Normal 2 8 4 2" xfId="4569"/>
    <cellStyle name="Normal 2 8 4 2 2" xfId="29060"/>
    <cellStyle name="Normal 2 8 4 2 3" xfId="29061"/>
    <cellStyle name="Normal 2 8 4 3" xfId="4570"/>
    <cellStyle name="Normal 2 8 4 3 2" xfId="29062"/>
    <cellStyle name="Normal 2 8 4 3 3" xfId="29063"/>
    <cellStyle name="Normal 2 8 4 4" xfId="29064"/>
    <cellStyle name="Normal 2 8 4 5" xfId="29065"/>
    <cellStyle name="Normal 2 8 5" xfId="4571"/>
    <cellStyle name="Normal 2 8 5 2" xfId="4572"/>
    <cellStyle name="Normal 2 8 5 2 2" xfId="29066"/>
    <cellStyle name="Normal 2 8 5 2 3" xfId="29067"/>
    <cellStyle name="Normal 2 8 5 3" xfId="4573"/>
    <cellStyle name="Normal 2 8 5 3 2" xfId="29068"/>
    <cellStyle name="Normal 2 8 5 3 3" xfId="29069"/>
    <cellStyle name="Normal 2 8 5 4" xfId="29070"/>
    <cellStyle name="Normal 2 8 5 5" xfId="29071"/>
    <cellStyle name="Normal 2 8 6" xfId="29072"/>
    <cellStyle name="Normal 2 9" xfId="56"/>
    <cellStyle name="Normal 2 9 2" xfId="4574"/>
    <cellStyle name="Normal 2 9 2 2" xfId="4575"/>
    <cellStyle name="Normal 2 9 2 2 2" xfId="4576"/>
    <cellStyle name="Normal 2 9 2 2 2 2" xfId="29073"/>
    <cellStyle name="Normal 2 9 2 2 2 3" xfId="29074"/>
    <cellStyle name="Normal 2 9 2 2 3" xfId="4577"/>
    <cellStyle name="Normal 2 9 2 2 3 2" xfId="29075"/>
    <cellStyle name="Normal 2 9 2 2 3 3" xfId="29076"/>
    <cellStyle name="Normal 2 9 2 2 4" xfId="29077"/>
    <cellStyle name="Normal 2 9 2 2 5" xfId="29078"/>
    <cellStyle name="Normal 2 9 2 3" xfId="4578"/>
    <cellStyle name="Normal 2 9 2 3 2" xfId="4579"/>
    <cellStyle name="Normal 2 9 2 3 2 2" xfId="29079"/>
    <cellStyle name="Normal 2 9 2 3 2 3" xfId="29080"/>
    <cellStyle name="Normal 2 9 2 3 3" xfId="4580"/>
    <cellStyle name="Normal 2 9 2 3 3 2" xfId="29081"/>
    <cellStyle name="Normal 2 9 2 3 3 3" xfId="29082"/>
    <cellStyle name="Normal 2 9 2 3 4" xfId="29083"/>
    <cellStyle name="Normal 2 9 2 3 5" xfId="29084"/>
    <cellStyle name="Normal 2 9 2 4" xfId="4581"/>
    <cellStyle name="Normal 2 9 2 4 2" xfId="29085"/>
    <cellStyle name="Normal 2 9 2 4 3" xfId="29086"/>
    <cellStyle name="Normal 2 9 2 5" xfId="4582"/>
    <cellStyle name="Normal 2 9 2 5 2" xfId="29087"/>
    <cellStyle name="Normal 2 9 2 5 3" xfId="29088"/>
    <cellStyle name="Normal 2 9 2 6" xfId="29089"/>
    <cellStyle name="Normal 2 9 2 7" xfId="29090"/>
    <cellStyle name="Normal 2 9 3" xfId="4583"/>
    <cellStyle name="Normal 2 9 3 2" xfId="4584"/>
    <cellStyle name="Normal 2 9 3 2 2" xfId="29091"/>
    <cellStyle name="Normal 2 9 3 2 3" xfId="29092"/>
    <cellStyle name="Normal 2 9 3 3" xfId="4585"/>
    <cellStyle name="Normal 2 9 3 3 2" xfId="29093"/>
    <cellStyle name="Normal 2 9 3 3 3" xfId="29094"/>
    <cellStyle name="Normal 2 9 3 4" xfId="29095"/>
    <cellStyle name="Normal 2 9 3 5" xfId="29096"/>
    <cellStyle name="Normal 2 9 4" xfId="4586"/>
    <cellStyle name="Normal 2 9 4 2" xfId="4587"/>
    <cellStyle name="Normal 2 9 4 2 2" xfId="29097"/>
    <cellStyle name="Normal 2 9 4 2 3" xfId="29098"/>
    <cellStyle name="Normal 2 9 4 3" xfId="4588"/>
    <cellStyle name="Normal 2 9 4 3 2" xfId="29099"/>
    <cellStyle name="Normal 2 9 4 3 3" xfId="29100"/>
    <cellStyle name="Normal 2 9 4 4" xfId="29101"/>
    <cellStyle name="Normal 2 9 4 5" xfId="29102"/>
    <cellStyle name="Normal 2 9 5" xfId="4589"/>
    <cellStyle name="Normal 2 9 5 2" xfId="4590"/>
    <cellStyle name="Normal 2 9 5 2 2" xfId="29103"/>
    <cellStyle name="Normal 2 9 5 2 3" xfId="29104"/>
    <cellStyle name="Normal 2 9 5 3" xfId="4591"/>
    <cellStyle name="Normal 2 9 5 3 2" xfId="29105"/>
    <cellStyle name="Normal 2 9 5 3 3" xfId="29106"/>
    <cellStyle name="Normal 2 9 5 4" xfId="29107"/>
    <cellStyle name="Normal 2 9 5 5" xfId="29108"/>
    <cellStyle name="Normal 2 9 6" xfId="4592"/>
    <cellStyle name="Normal 2 9 6 2" xfId="29109"/>
    <cellStyle name="Normal 2 9 6 3" xfId="29110"/>
    <cellStyle name="Normal 2 9 7" xfId="4593"/>
    <cellStyle name="Normal 2 9 7 2" xfId="29111"/>
    <cellStyle name="Normal 2 9 7 3" xfId="29112"/>
    <cellStyle name="Normal 2 9 8" xfId="29113"/>
    <cellStyle name="Normal 2 9 9" xfId="29114"/>
    <cellStyle name="Normal 2_AUG_TabChap2" xfId="4594"/>
    <cellStyle name="Normal 20" xfId="4595"/>
    <cellStyle name="Normal 20 2" xfId="29115"/>
    <cellStyle name="Normal 21" xfId="4596"/>
    <cellStyle name="Normal 21 2" xfId="29116"/>
    <cellStyle name="Normal 22" xfId="4597"/>
    <cellStyle name="Normal 22 2" xfId="29117"/>
    <cellStyle name="Normal 23" xfId="4598"/>
    <cellStyle name="Normal 24" xfId="4599"/>
    <cellStyle name="Normal 25" xfId="4600"/>
    <cellStyle name="Normal 25 2" xfId="4601"/>
    <cellStyle name="Normal 25 2 2" xfId="29118"/>
    <cellStyle name="Normal 25 2 3" xfId="29119"/>
    <cellStyle name="Normal 25 3" xfId="4602"/>
    <cellStyle name="Normal 25 3 2" xfId="29120"/>
    <cellStyle name="Normal 25 3 3" xfId="29121"/>
    <cellStyle name="Normal 25 4" xfId="29122"/>
    <cellStyle name="Normal 25 5" xfId="29123"/>
    <cellStyle name="Normal 26" xfId="4603"/>
    <cellStyle name="Normal 27" xfId="24114"/>
    <cellStyle name="Normal 27 2" xfId="29124"/>
    <cellStyle name="Normal 27 3" xfId="29125"/>
    <cellStyle name="Normal 27 4" xfId="29818"/>
    <cellStyle name="Normal 28" xfId="24113"/>
    <cellStyle name="Normal 29" xfId="24116"/>
    <cellStyle name="Normal 3" xfId="57"/>
    <cellStyle name="Normal 3 2" xfId="4604"/>
    <cellStyle name="Normal 3 2 2" xfId="4605"/>
    <cellStyle name="Normal 3 2 2 2" xfId="4606"/>
    <cellStyle name="Normal 3 2 2 2 2" xfId="4607"/>
    <cellStyle name="Normal 3 2 2 2 3" xfId="4608"/>
    <cellStyle name="Normal 3 2 2 3" xfId="4609"/>
    <cellStyle name="Normal 3 2 2 3 2" xfId="4610"/>
    <cellStyle name="Normal 3 2 2 3 2 2" xfId="29126"/>
    <cellStyle name="Normal 3 2 2 3 2 3" xfId="29127"/>
    <cellStyle name="Normal 3 2 2 3 3" xfId="4611"/>
    <cellStyle name="Normal 3 2 2 3 3 2" xfId="29128"/>
    <cellStyle name="Normal 3 2 2 3 3 3" xfId="29129"/>
    <cellStyle name="Normal 3 2 2 3 4" xfId="29130"/>
    <cellStyle name="Normal 3 2 2 3 5" xfId="29131"/>
    <cellStyle name="Normal 3 2 2 4" xfId="4612"/>
    <cellStyle name="Normal 3 2 2 5" xfId="4613"/>
    <cellStyle name="Normal 3 2 2_Tertiary Salaries Survey" xfId="4614"/>
    <cellStyle name="Normal 3 2 3" xfId="4615"/>
    <cellStyle name="Normal 3 2_Tertiary Salaries Survey" xfId="4616"/>
    <cellStyle name="Normal 3 3" xfId="4617"/>
    <cellStyle name="Normal 3 3 2" xfId="144"/>
    <cellStyle name="Normal 3 4" xfId="4618"/>
    <cellStyle name="Normal 3 5" xfId="4619"/>
    <cellStyle name="Normal 3 6" xfId="4620"/>
    <cellStyle name="Normal 3_Tertiary Salaries Survey" xfId="4621"/>
    <cellStyle name="Normal 30" xfId="29132"/>
    <cellStyle name="Normal 31" xfId="29133"/>
    <cellStyle name="Normal 32" xfId="29134"/>
    <cellStyle name="Normal 33" xfId="29135"/>
    <cellStyle name="Normal 34" xfId="29136"/>
    <cellStyle name="Normal 35" xfId="29137"/>
    <cellStyle name="Normal 36" xfId="29138"/>
    <cellStyle name="Normal 37" xfId="29816"/>
    <cellStyle name="Normal 38" xfId="29817"/>
    <cellStyle name="Normal 4" xfId="58"/>
    <cellStyle name="Normal 4 10" xfId="4622"/>
    <cellStyle name="Normal 4 11" xfId="29139"/>
    <cellStyle name="Normal 4 2" xfId="4623"/>
    <cellStyle name="Normal 4 2 2" xfId="4624"/>
    <cellStyle name="Normal 4 2 2 10" xfId="29140"/>
    <cellStyle name="Normal 4 2 2 11" xfId="29141"/>
    <cellStyle name="Normal 4 2 2 2" xfId="4625"/>
    <cellStyle name="Normal 4 2 2 2 2" xfId="4626"/>
    <cellStyle name="Normal 4 2 2 2 2 2" xfId="4627"/>
    <cellStyle name="Normal 4 2 2 2 2 3" xfId="4628"/>
    <cellStyle name="Normal 4 2 2 2 2_Tertiary Salaries Survey" xfId="4629"/>
    <cellStyle name="Normal 4 2 2 2 3" xfId="4630"/>
    <cellStyle name="Normal 4 2 2 2 4" xfId="4631"/>
    <cellStyle name="Normal 4 2 2 2 5" xfId="4632"/>
    <cellStyle name="Normal 4 2 2 2_STUD aligned by INSTIT" xfId="4633"/>
    <cellStyle name="Normal 4 2 2 3" xfId="4634"/>
    <cellStyle name="Normal 4 2 2 3 2" xfId="4635"/>
    <cellStyle name="Normal 4 2 2 3 3" xfId="4636"/>
    <cellStyle name="Normal 4 2 2 3_Tertiary Salaries Survey" xfId="4637"/>
    <cellStyle name="Normal 4 2 2 4" xfId="4638"/>
    <cellStyle name="Normal 4 2 2 5" xfId="4639"/>
    <cellStyle name="Normal 4 2 2 6" xfId="4640"/>
    <cellStyle name="Normal 4 2 2 7" xfId="4641"/>
    <cellStyle name="Normal 4 2 2 7 2" xfId="29142"/>
    <cellStyle name="Normal 4 2 2 7 3" xfId="29143"/>
    <cellStyle name="Normal 4 2 2 8" xfId="4642"/>
    <cellStyle name="Normal 4 2 2 8 2" xfId="29144"/>
    <cellStyle name="Normal 4 2 2 8 3" xfId="29145"/>
    <cellStyle name="Normal 4 2 2 9" xfId="4643"/>
    <cellStyle name="Normal 4 2 2 9 2" xfId="29146"/>
    <cellStyle name="Normal 4 2 2 9 3" xfId="29147"/>
    <cellStyle name="Normal 4 2 2_STUD aligned by INSTIT" xfId="4644"/>
    <cellStyle name="Normal 4 2 3" xfId="4645"/>
    <cellStyle name="Normal 4 2 3 2" xfId="4646"/>
    <cellStyle name="Normal 4 2 3 2 2" xfId="4647"/>
    <cellStyle name="Normal 4 2 3 2 3" xfId="4648"/>
    <cellStyle name="Normal 4 2 3 2_Tertiary Salaries Survey" xfId="4649"/>
    <cellStyle name="Normal 4 2 3 3" xfId="4650"/>
    <cellStyle name="Normal 4 2 3 4" xfId="4651"/>
    <cellStyle name="Normal 4 2 3 5" xfId="4652"/>
    <cellStyle name="Normal 4 2 3_STUD aligned by INSTIT" xfId="4653"/>
    <cellStyle name="Normal 4 2 4" xfId="4654"/>
    <cellStyle name="Normal 4 2 4 2" xfId="4655"/>
    <cellStyle name="Normal 4 2 4 3" xfId="4656"/>
    <cellStyle name="Normal 4 2 4_Tertiary Salaries Survey" xfId="4657"/>
    <cellStyle name="Normal 4 2 5" xfId="4658"/>
    <cellStyle name="Normal 4 2 6" xfId="4659"/>
    <cellStyle name="Normal 4 2 7" xfId="4660"/>
    <cellStyle name="Normal 4 2_STUD aligned by INSTIT" xfId="4661"/>
    <cellStyle name="Normal 4 3" xfId="4662"/>
    <cellStyle name="Normal 4 3 2" xfId="4663"/>
    <cellStyle name="Normal 4 3 2 2" xfId="29148"/>
    <cellStyle name="Normal 4 3 2 3" xfId="29149"/>
    <cellStyle name="Normal 4 3 3" xfId="4664"/>
    <cellStyle name="Normal 4 3 3 2" xfId="29150"/>
    <cellStyle name="Normal 4 3 3 3" xfId="29151"/>
    <cellStyle name="Normal 4 3 4" xfId="29152"/>
    <cellStyle name="Normal 4 3 5" xfId="29153"/>
    <cellStyle name="Normal 4 4" xfId="4665"/>
    <cellStyle name="Normal 4 5" xfId="4666"/>
    <cellStyle name="Normal 4 6" xfId="4667"/>
    <cellStyle name="Normal 4 7" xfId="4668"/>
    <cellStyle name="Normal 4 8" xfId="4669"/>
    <cellStyle name="Normal 4 9" xfId="4670"/>
    <cellStyle name="Normal 4_Tertiary Salaries Survey" xfId="4671"/>
    <cellStyle name="Normal 5" xfId="145"/>
    <cellStyle name="Normal 5 2" xfId="4672"/>
    <cellStyle name="Normal 5 2 2" xfId="4673"/>
    <cellStyle name="Normal 5 2 3" xfId="4674"/>
    <cellStyle name="Normal 5 2 4" xfId="4675"/>
    <cellStyle name="Normal 5 2 4 2" xfId="4676"/>
    <cellStyle name="Normal 5 2 4 2 2" xfId="29154"/>
    <cellStyle name="Normal 5 2 4 2 3" xfId="29155"/>
    <cellStyle name="Normal 5 2 4 3" xfId="4677"/>
    <cellStyle name="Normal 5 2 4 3 2" xfId="29156"/>
    <cellStyle name="Normal 5 2 4 3 3" xfId="29157"/>
    <cellStyle name="Normal 5 2 4 4" xfId="29158"/>
    <cellStyle name="Normal 5 2 4 5" xfId="29159"/>
    <cellStyle name="Normal 5 2_Tertiary Salaries Survey" xfId="4678"/>
    <cellStyle name="Normal 5 3" xfId="4679"/>
    <cellStyle name="Normal 5 4" xfId="4680"/>
    <cellStyle name="Normal 5 5" xfId="4681"/>
    <cellStyle name="Normal 5_Tertiary Salaries Survey" xfId="4682"/>
    <cellStyle name="Normal 6" xfId="4683"/>
    <cellStyle name="Normal 6 10" xfId="4684"/>
    <cellStyle name="Normal 6 10 2" xfId="4685"/>
    <cellStyle name="Normal 6 10 2 2" xfId="29160"/>
    <cellStyle name="Normal 6 10 2 3" xfId="29161"/>
    <cellStyle name="Normal 6 10 3" xfId="4686"/>
    <cellStyle name="Normal 6 10 3 2" xfId="29162"/>
    <cellStyle name="Normal 6 10 3 3" xfId="29163"/>
    <cellStyle name="Normal 6 10 4" xfId="29164"/>
    <cellStyle name="Normal 6 10 5" xfId="29165"/>
    <cellStyle name="Normal 6 11" xfId="29166"/>
    <cellStyle name="Normal 6 2" xfId="4687"/>
    <cellStyle name="Normal 6 2 2" xfId="4688"/>
    <cellStyle name="Normal 6 2 2 2" xfId="4689"/>
    <cellStyle name="Normal 6 2 2 2 2" xfId="4690"/>
    <cellStyle name="Normal 6 2 2 2 2 2" xfId="4691"/>
    <cellStyle name="Normal 6 2 2 2 2 3" xfId="4692"/>
    <cellStyle name="Normal 6 2 2 2 2_Tertiary Salaries Survey" xfId="4693"/>
    <cellStyle name="Normal 6 2 2 2 3" xfId="4694"/>
    <cellStyle name="Normal 6 2 2 2 4" xfId="4695"/>
    <cellStyle name="Normal 6 2 2 2 5" xfId="4696"/>
    <cellStyle name="Normal 6 2 2 2_STUD aligned by INSTIT" xfId="4697"/>
    <cellStyle name="Normal 6 2 2 3" xfId="4698"/>
    <cellStyle name="Normal 6 2 2 3 2" xfId="4699"/>
    <cellStyle name="Normal 6 2 2 3 3" xfId="4700"/>
    <cellStyle name="Normal 6 2 2 3_Tertiary Salaries Survey" xfId="4701"/>
    <cellStyle name="Normal 6 2 2 4" xfId="4702"/>
    <cellStyle name="Normal 6 2 2 5" xfId="4703"/>
    <cellStyle name="Normal 6 2 2 6" xfId="4704"/>
    <cellStyle name="Normal 6 2 2_STUD aligned by INSTIT" xfId="4705"/>
    <cellStyle name="Normal 6 2 3" xfId="4706"/>
    <cellStyle name="Normal 6 2 3 2" xfId="4707"/>
    <cellStyle name="Normal 6 2 3 2 2" xfId="4708"/>
    <cellStyle name="Normal 6 2 3 2 3" xfId="4709"/>
    <cellStyle name="Normal 6 2 3 2_Tertiary Salaries Survey" xfId="4710"/>
    <cellStyle name="Normal 6 2 3 3" xfId="4711"/>
    <cellStyle name="Normal 6 2 3 4" xfId="4712"/>
    <cellStyle name="Normal 6 2 3 5" xfId="4713"/>
    <cellStyle name="Normal 6 2 3_STUD aligned by INSTIT" xfId="4714"/>
    <cellStyle name="Normal 6 2 4" xfId="4715"/>
    <cellStyle name="Normal 6 2 4 2" xfId="4716"/>
    <cellStyle name="Normal 6 2 4 3" xfId="4717"/>
    <cellStyle name="Normal 6 2 4_Tertiary Salaries Survey" xfId="4718"/>
    <cellStyle name="Normal 6 2 5" xfId="4719"/>
    <cellStyle name="Normal 6 2 6" xfId="4720"/>
    <cellStyle name="Normal 6 2 7" xfId="4721"/>
    <cellStyle name="Normal 6 2_STUD aligned by INSTIT" xfId="4722"/>
    <cellStyle name="Normal 6 3" xfId="4723"/>
    <cellStyle name="Normal 6 3 2" xfId="4724"/>
    <cellStyle name="Normal 6 3 2 2" xfId="4725"/>
    <cellStyle name="Normal 6 3 2 2 2" xfId="4726"/>
    <cellStyle name="Normal 6 3 2 2 3" xfId="4727"/>
    <cellStyle name="Normal 6 3 2 2_Tertiary Salaries Survey" xfId="4728"/>
    <cellStyle name="Normal 6 3 2 3" xfId="4729"/>
    <cellStyle name="Normal 6 3 2 4" xfId="4730"/>
    <cellStyle name="Normal 6 3 2 5" xfId="4731"/>
    <cellStyle name="Normal 6 3 2_STUD aligned by INSTIT" xfId="4732"/>
    <cellStyle name="Normal 6 3 3" xfId="4733"/>
    <cellStyle name="Normal 6 3 3 2" xfId="4734"/>
    <cellStyle name="Normal 6 3 3 3" xfId="4735"/>
    <cellStyle name="Normal 6 3 3_Tertiary Salaries Survey" xfId="4736"/>
    <cellStyle name="Normal 6 3 4" xfId="4737"/>
    <cellStyle name="Normal 6 3 5" xfId="4738"/>
    <cellStyle name="Normal 6 3 6" xfId="4739"/>
    <cellStyle name="Normal 6 3_STUD aligned by INSTIT" xfId="4740"/>
    <cellStyle name="Normal 6 4" xfId="4741"/>
    <cellStyle name="Normal 6 4 2" xfId="4742"/>
    <cellStyle name="Normal 6 4 2 2" xfId="4743"/>
    <cellStyle name="Normal 6 4 2 3" xfId="4744"/>
    <cellStyle name="Normal 6 4 2_Tertiary Salaries Survey" xfId="4745"/>
    <cellStyle name="Normal 6 4 3" xfId="4746"/>
    <cellStyle name="Normal 6 4 4" xfId="4747"/>
    <cellStyle name="Normal 6 4 5" xfId="4748"/>
    <cellStyle name="Normal 6 4_STUD aligned by INSTIT" xfId="4749"/>
    <cellStyle name="Normal 6 5" xfId="4750"/>
    <cellStyle name="Normal 6 5 2" xfId="4751"/>
    <cellStyle name="Normal 6 5 3" xfId="4752"/>
    <cellStyle name="Normal 6 5_Tertiary Salaries Survey" xfId="4753"/>
    <cellStyle name="Normal 6 6" xfId="4754"/>
    <cellStyle name="Normal 6 7" xfId="4755"/>
    <cellStyle name="Normal 6 8" xfId="4756"/>
    <cellStyle name="Normal 6 9" xfId="4757"/>
    <cellStyle name="Normal 6_STUD aligned by INSTIT" xfId="4758"/>
    <cellStyle name="Normal 7" xfId="4759"/>
    <cellStyle name="Normal 7 2" xfId="4760"/>
    <cellStyle name="Normal 7 2 2" xfId="4761"/>
    <cellStyle name="Normal 7 2 2 2" xfId="29167"/>
    <cellStyle name="Normal 7 2 2 3" xfId="29168"/>
    <cellStyle name="Normal 7 2 3" xfId="4762"/>
    <cellStyle name="Normal 7 2 3 2" xfId="29169"/>
    <cellStyle name="Normal 7 2 3 3" xfId="29170"/>
    <cellStyle name="Normal 7 2 4" xfId="29171"/>
    <cellStyle name="Normal 7 2 5" xfId="29172"/>
    <cellStyle name="Normal 7 3" xfId="4763"/>
    <cellStyle name="Normal 7 3 2" xfId="29173"/>
    <cellStyle name="Normal 7 4" xfId="29174"/>
    <cellStyle name="Normal 79" xfId="29815"/>
    <cellStyle name="Normal 8" xfId="4764"/>
    <cellStyle name="Normal 8 10" xfId="4765"/>
    <cellStyle name="Normal 8 11" xfId="4766"/>
    <cellStyle name="Normal 8 11 2" xfId="29175"/>
    <cellStyle name="Normal 8 12" xfId="29176"/>
    <cellStyle name="Normal 8 2" xfId="4767"/>
    <cellStyle name="Normal 8 2 2" xfId="4768"/>
    <cellStyle name="Normal 8 2 2 2" xfId="4769"/>
    <cellStyle name="Normal 8 2 2 2 2" xfId="4770"/>
    <cellStyle name="Normal 8 2 2 2 3" xfId="4771"/>
    <cellStyle name="Normal 8 2 2 2_Tertiary Salaries Survey" xfId="4772"/>
    <cellStyle name="Normal 8 2 2 3" xfId="4773"/>
    <cellStyle name="Normal 8 2 2 4" xfId="4774"/>
    <cellStyle name="Normal 8 2 2 5" xfId="4775"/>
    <cellStyle name="Normal 8 2 2_STUD aligned by INSTIT" xfId="4776"/>
    <cellStyle name="Normal 8 2 3" xfId="4777"/>
    <cellStyle name="Normal 8 2 3 2" xfId="4778"/>
    <cellStyle name="Normal 8 2 3 3" xfId="4779"/>
    <cellStyle name="Normal 8 2 3_Tertiary Salaries Survey" xfId="4780"/>
    <cellStyle name="Normal 8 2 4" xfId="4781"/>
    <cellStyle name="Normal 8 2 5" xfId="4782"/>
    <cellStyle name="Normal 8 2 6" xfId="4783"/>
    <cellStyle name="Normal 8 2_STUD aligned by INSTIT" xfId="4784"/>
    <cellStyle name="Normal 8 3" xfId="4785"/>
    <cellStyle name="Normal 8 3 2" xfId="4786"/>
    <cellStyle name="Normal 8 3 2 2" xfId="4787"/>
    <cellStyle name="Normal 8 3 2 3" xfId="4788"/>
    <cellStyle name="Normal 8 3 2_Tertiary Salaries Survey" xfId="4789"/>
    <cellStyle name="Normal 8 3 3" xfId="4790"/>
    <cellStyle name="Normal 8 3 4" xfId="4791"/>
    <cellStyle name="Normal 8 3 5" xfId="4792"/>
    <cellStyle name="Normal 8 3_STUD aligned by INSTIT" xfId="4793"/>
    <cellStyle name="Normal 8 4" xfId="4794"/>
    <cellStyle name="Normal 8 4 2" xfId="4795"/>
    <cellStyle name="Normal 8 4 3" xfId="4796"/>
    <cellStyle name="Normal 8 4_Tertiary Salaries Survey" xfId="4797"/>
    <cellStyle name="Normal 8 5" xfId="4798"/>
    <cellStyle name="Normal 8 6" xfId="4799"/>
    <cellStyle name="Normal 8 7" xfId="4800"/>
    <cellStyle name="Normal 8 8" xfId="4801"/>
    <cellStyle name="Normal 8 9" xfId="4802"/>
    <cellStyle name="Normal 8_STUD aligned by INSTIT" xfId="4803"/>
    <cellStyle name="Normal 9" xfId="4804"/>
    <cellStyle name="Normal 9 2" xfId="4805"/>
    <cellStyle name="Normal 9 3" xfId="4806"/>
    <cellStyle name="Normal 9 4" xfId="29177"/>
    <cellStyle name="Normál_8gradk" xfId="4807"/>
    <cellStyle name="Normal_C_D1" xfId="59"/>
    <cellStyle name="Normal_C1.1a" xfId="60"/>
    <cellStyle name="Normal_T_D6" xfId="61"/>
    <cellStyle name="Normal_TrendNew" xfId="62"/>
    <cellStyle name="Normal-blank" xfId="4808"/>
    <cellStyle name="Normal-bottom" xfId="4809"/>
    <cellStyle name="Normal-center" xfId="4810"/>
    <cellStyle name="Normal-droit" xfId="4811"/>
    <cellStyle name="Normale 2" xfId="4812"/>
    <cellStyle name="Normale 3" xfId="4813"/>
    <cellStyle name="Normal-top" xfId="4814"/>
    <cellStyle name="Note 10 2" xfId="4815"/>
    <cellStyle name="Note 10 2 2" xfId="4816"/>
    <cellStyle name="Note 10 2 2 2" xfId="4817"/>
    <cellStyle name="Note 10 2 2 3" xfId="4818"/>
    <cellStyle name="Note 10 2 2 4" xfId="29178"/>
    <cellStyle name="Note 10 2 2 5" xfId="29179"/>
    <cellStyle name="Note 10 2 3" xfId="4819"/>
    <cellStyle name="Note 10 2 3 2" xfId="4820"/>
    <cellStyle name="Note 10 2 3 3" xfId="29180"/>
    <cellStyle name="Note 10 2 3 4" xfId="29181"/>
    <cellStyle name="Note 10 2 4" xfId="4821"/>
    <cellStyle name="Note 10 2 5" xfId="29182"/>
    <cellStyle name="Note 10 2 6" xfId="29183"/>
    <cellStyle name="Note 10 3" xfId="4822"/>
    <cellStyle name="Note 10 3 2" xfId="4823"/>
    <cellStyle name="Note 10 3 2 2" xfId="4824"/>
    <cellStyle name="Note 10 3 2 3" xfId="4825"/>
    <cellStyle name="Note 10 3 2 4" xfId="29184"/>
    <cellStyle name="Note 10 3 2 5" xfId="29185"/>
    <cellStyle name="Note 10 3 3" xfId="4826"/>
    <cellStyle name="Note 10 3 3 2" xfId="4827"/>
    <cellStyle name="Note 10 3 3 3" xfId="29186"/>
    <cellStyle name="Note 10 3 3 4" xfId="29187"/>
    <cellStyle name="Note 10 3 4" xfId="4828"/>
    <cellStyle name="Note 10 3 5" xfId="29188"/>
    <cellStyle name="Note 10 3 6" xfId="29189"/>
    <cellStyle name="Note 10 4" xfId="4829"/>
    <cellStyle name="Note 10 4 2" xfId="4830"/>
    <cellStyle name="Note 10 4 2 2" xfId="4831"/>
    <cellStyle name="Note 10 4 2 3" xfId="4832"/>
    <cellStyle name="Note 10 4 2 4" xfId="29190"/>
    <cellStyle name="Note 10 4 2 5" xfId="29191"/>
    <cellStyle name="Note 10 4 3" xfId="4833"/>
    <cellStyle name="Note 10 4 3 2" xfId="4834"/>
    <cellStyle name="Note 10 4 3 3" xfId="29192"/>
    <cellStyle name="Note 10 4 3 4" xfId="29193"/>
    <cellStyle name="Note 10 4 4" xfId="4835"/>
    <cellStyle name="Note 10 4 5" xfId="29194"/>
    <cellStyle name="Note 10 4 6" xfId="29195"/>
    <cellStyle name="Note 10 5" xfId="4836"/>
    <cellStyle name="Note 10 5 2" xfId="4837"/>
    <cellStyle name="Note 10 5 2 2" xfId="4838"/>
    <cellStyle name="Note 10 5 2 3" xfId="4839"/>
    <cellStyle name="Note 10 5 2 4" xfId="29196"/>
    <cellStyle name="Note 10 5 2 5" xfId="29197"/>
    <cellStyle name="Note 10 5 3" xfId="4840"/>
    <cellStyle name="Note 10 5 3 2" xfId="4841"/>
    <cellStyle name="Note 10 5 3 3" xfId="29198"/>
    <cellStyle name="Note 10 5 3 4" xfId="29199"/>
    <cellStyle name="Note 10 5 4" xfId="4842"/>
    <cellStyle name="Note 10 5 5" xfId="29200"/>
    <cellStyle name="Note 10 5 6" xfId="29201"/>
    <cellStyle name="Note 10 6" xfId="4843"/>
    <cellStyle name="Note 10 6 2" xfId="4844"/>
    <cellStyle name="Note 10 6 2 2" xfId="4845"/>
    <cellStyle name="Note 10 6 2 3" xfId="4846"/>
    <cellStyle name="Note 10 6 2 4" xfId="29202"/>
    <cellStyle name="Note 10 6 2 5" xfId="29203"/>
    <cellStyle name="Note 10 6 3" xfId="4847"/>
    <cellStyle name="Note 10 6 3 2" xfId="4848"/>
    <cellStyle name="Note 10 6 3 3" xfId="29204"/>
    <cellStyle name="Note 10 6 3 4" xfId="29205"/>
    <cellStyle name="Note 10 6 4" xfId="4849"/>
    <cellStyle name="Note 10 6 5" xfId="29206"/>
    <cellStyle name="Note 10 6 6" xfId="29207"/>
    <cellStyle name="Note 10 7" xfId="4850"/>
    <cellStyle name="Note 10 7 2" xfId="4851"/>
    <cellStyle name="Note 10 7 2 2" xfId="4852"/>
    <cellStyle name="Note 10 7 2 3" xfId="4853"/>
    <cellStyle name="Note 10 7 2 4" xfId="29208"/>
    <cellStyle name="Note 10 7 2 5" xfId="29209"/>
    <cellStyle name="Note 10 7 3" xfId="4854"/>
    <cellStyle name="Note 10 7 3 2" xfId="4855"/>
    <cellStyle name="Note 10 7 3 3" xfId="29210"/>
    <cellStyle name="Note 10 7 3 4" xfId="29211"/>
    <cellStyle name="Note 10 7 4" xfId="4856"/>
    <cellStyle name="Note 10 7 5" xfId="29212"/>
    <cellStyle name="Note 10 7 6" xfId="29213"/>
    <cellStyle name="Note 11 2" xfId="4857"/>
    <cellStyle name="Note 11 2 2" xfId="4858"/>
    <cellStyle name="Note 11 2 2 2" xfId="4859"/>
    <cellStyle name="Note 11 2 2 3" xfId="4860"/>
    <cellStyle name="Note 11 2 2 4" xfId="29214"/>
    <cellStyle name="Note 11 2 2 5" xfId="29215"/>
    <cellStyle name="Note 11 2 3" xfId="4861"/>
    <cellStyle name="Note 11 2 3 2" xfId="4862"/>
    <cellStyle name="Note 11 2 3 3" xfId="29216"/>
    <cellStyle name="Note 11 2 3 4" xfId="29217"/>
    <cellStyle name="Note 11 2 4" xfId="4863"/>
    <cellStyle name="Note 11 2 5" xfId="29218"/>
    <cellStyle name="Note 11 2 6" xfId="29219"/>
    <cellStyle name="Note 11 3" xfId="4864"/>
    <cellStyle name="Note 11 3 2" xfId="4865"/>
    <cellStyle name="Note 11 3 2 2" xfId="4866"/>
    <cellStyle name="Note 11 3 2 3" xfId="4867"/>
    <cellStyle name="Note 11 3 2 4" xfId="29220"/>
    <cellStyle name="Note 11 3 2 5" xfId="29221"/>
    <cellStyle name="Note 11 3 3" xfId="4868"/>
    <cellStyle name="Note 11 3 3 2" xfId="4869"/>
    <cellStyle name="Note 11 3 3 3" xfId="29222"/>
    <cellStyle name="Note 11 3 3 4" xfId="29223"/>
    <cellStyle name="Note 11 3 4" xfId="4870"/>
    <cellStyle name="Note 11 3 5" xfId="29224"/>
    <cellStyle name="Note 11 3 6" xfId="29225"/>
    <cellStyle name="Note 11 4" xfId="4871"/>
    <cellStyle name="Note 11 4 2" xfId="4872"/>
    <cellStyle name="Note 11 4 2 2" xfId="4873"/>
    <cellStyle name="Note 11 4 2 3" xfId="4874"/>
    <cellStyle name="Note 11 4 2 4" xfId="29226"/>
    <cellStyle name="Note 11 4 2 5" xfId="29227"/>
    <cellStyle name="Note 11 4 3" xfId="4875"/>
    <cellStyle name="Note 11 4 3 2" xfId="4876"/>
    <cellStyle name="Note 11 4 3 3" xfId="29228"/>
    <cellStyle name="Note 11 4 3 4" xfId="29229"/>
    <cellStyle name="Note 11 4 4" xfId="4877"/>
    <cellStyle name="Note 11 4 5" xfId="29230"/>
    <cellStyle name="Note 11 4 6" xfId="29231"/>
    <cellStyle name="Note 11 5" xfId="4878"/>
    <cellStyle name="Note 11 5 2" xfId="4879"/>
    <cellStyle name="Note 11 5 2 2" xfId="4880"/>
    <cellStyle name="Note 11 5 2 3" xfId="4881"/>
    <cellStyle name="Note 11 5 2 4" xfId="29232"/>
    <cellStyle name="Note 11 5 2 5" xfId="29233"/>
    <cellStyle name="Note 11 5 3" xfId="4882"/>
    <cellStyle name="Note 11 5 3 2" xfId="4883"/>
    <cellStyle name="Note 11 5 3 3" xfId="29234"/>
    <cellStyle name="Note 11 5 3 4" xfId="29235"/>
    <cellStyle name="Note 11 5 4" xfId="4884"/>
    <cellStyle name="Note 11 5 5" xfId="29236"/>
    <cellStyle name="Note 11 5 6" xfId="29237"/>
    <cellStyle name="Note 11 6" xfId="4885"/>
    <cellStyle name="Note 11 6 2" xfId="4886"/>
    <cellStyle name="Note 11 6 2 2" xfId="4887"/>
    <cellStyle name="Note 11 6 2 3" xfId="4888"/>
    <cellStyle name="Note 11 6 2 4" xfId="29238"/>
    <cellStyle name="Note 11 6 2 5" xfId="29239"/>
    <cellStyle name="Note 11 6 3" xfId="4889"/>
    <cellStyle name="Note 11 6 3 2" xfId="4890"/>
    <cellStyle name="Note 11 6 3 3" xfId="29240"/>
    <cellStyle name="Note 11 6 3 4" xfId="29241"/>
    <cellStyle name="Note 11 6 4" xfId="4891"/>
    <cellStyle name="Note 11 6 5" xfId="29242"/>
    <cellStyle name="Note 11 6 6" xfId="29243"/>
    <cellStyle name="Note 12 2" xfId="4892"/>
    <cellStyle name="Note 12 2 2" xfId="4893"/>
    <cellStyle name="Note 12 2 2 2" xfId="4894"/>
    <cellStyle name="Note 12 2 2 3" xfId="4895"/>
    <cellStyle name="Note 12 2 2 4" xfId="29244"/>
    <cellStyle name="Note 12 2 2 5" xfId="29245"/>
    <cellStyle name="Note 12 2 3" xfId="4896"/>
    <cellStyle name="Note 12 2 3 2" xfId="4897"/>
    <cellStyle name="Note 12 2 3 3" xfId="29246"/>
    <cellStyle name="Note 12 2 3 4" xfId="29247"/>
    <cellStyle name="Note 12 2 4" xfId="4898"/>
    <cellStyle name="Note 12 2 5" xfId="29248"/>
    <cellStyle name="Note 12 2 6" xfId="29249"/>
    <cellStyle name="Note 12 3" xfId="4899"/>
    <cellStyle name="Note 12 3 2" xfId="4900"/>
    <cellStyle name="Note 12 3 2 2" xfId="4901"/>
    <cellStyle name="Note 12 3 2 3" xfId="4902"/>
    <cellStyle name="Note 12 3 2 4" xfId="29250"/>
    <cellStyle name="Note 12 3 2 5" xfId="29251"/>
    <cellStyle name="Note 12 3 3" xfId="4903"/>
    <cellStyle name="Note 12 3 3 2" xfId="4904"/>
    <cellStyle name="Note 12 3 3 3" xfId="29252"/>
    <cellStyle name="Note 12 3 3 4" xfId="29253"/>
    <cellStyle name="Note 12 3 4" xfId="4905"/>
    <cellStyle name="Note 12 3 5" xfId="29254"/>
    <cellStyle name="Note 12 3 6" xfId="29255"/>
    <cellStyle name="Note 12 4" xfId="4906"/>
    <cellStyle name="Note 12 4 2" xfId="4907"/>
    <cellStyle name="Note 12 4 2 2" xfId="4908"/>
    <cellStyle name="Note 12 4 2 3" xfId="4909"/>
    <cellStyle name="Note 12 4 2 4" xfId="29256"/>
    <cellStyle name="Note 12 4 2 5" xfId="29257"/>
    <cellStyle name="Note 12 4 3" xfId="4910"/>
    <cellStyle name="Note 12 4 3 2" xfId="4911"/>
    <cellStyle name="Note 12 4 3 3" xfId="29258"/>
    <cellStyle name="Note 12 4 3 4" xfId="29259"/>
    <cellStyle name="Note 12 4 4" xfId="4912"/>
    <cellStyle name="Note 12 4 5" xfId="29260"/>
    <cellStyle name="Note 12 4 6" xfId="29261"/>
    <cellStyle name="Note 12 5" xfId="4913"/>
    <cellStyle name="Note 12 5 2" xfId="4914"/>
    <cellStyle name="Note 12 5 2 2" xfId="4915"/>
    <cellStyle name="Note 12 5 2 3" xfId="4916"/>
    <cellStyle name="Note 12 5 2 4" xfId="29262"/>
    <cellStyle name="Note 12 5 2 5" xfId="29263"/>
    <cellStyle name="Note 12 5 3" xfId="4917"/>
    <cellStyle name="Note 12 5 3 2" xfId="4918"/>
    <cellStyle name="Note 12 5 3 3" xfId="29264"/>
    <cellStyle name="Note 12 5 3 4" xfId="29265"/>
    <cellStyle name="Note 12 5 4" xfId="4919"/>
    <cellStyle name="Note 12 5 5" xfId="29266"/>
    <cellStyle name="Note 12 5 6" xfId="29267"/>
    <cellStyle name="Note 13 2" xfId="4920"/>
    <cellStyle name="Note 13 2 2" xfId="4921"/>
    <cellStyle name="Note 13 2 2 2" xfId="4922"/>
    <cellStyle name="Note 13 2 2 3" xfId="4923"/>
    <cellStyle name="Note 13 2 2 4" xfId="29268"/>
    <cellStyle name="Note 13 2 2 5" xfId="29269"/>
    <cellStyle name="Note 13 2 3" xfId="4924"/>
    <cellStyle name="Note 13 2 3 2" xfId="4925"/>
    <cellStyle name="Note 13 2 3 3" xfId="29270"/>
    <cellStyle name="Note 13 2 3 4" xfId="29271"/>
    <cellStyle name="Note 13 2 4" xfId="4926"/>
    <cellStyle name="Note 13 2 5" xfId="29272"/>
    <cellStyle name="Note 13 2 6" xfId="29273"/>
    <cellStyle name="Note 14 2" xfId="4927"/>
    <cellStyle name="Note 14 2 2" xfId="4928"/>
    <cellStyle name="Note 14 2 2 2" xfId="4929"/>
    <cellStyle name="Note 14 2 2 3" xfId="4930"/>
    <cellStyle name="Note 14 2 2 4" xfId="29274"/>
    <cellStyle name="Note 14 2 2 5" xfId="29275"/>
    <cellStyle name="Note 14 2 3" xfId="4931"/>
    <cellStyle name="Note 14 2 3 2" xfId="4932"/>
    <cellStyle name="Note 14 2 3 3" xfId="29276"/>
    <cellStyle name="Note 14 2 3 4" xfId="29277"/>
    <cellStyle name="Note 14 2 4" xfId="4933"/>
    <cellStyle name="Note 14 2 5" xfId="29278"/>
    <cellStyle name="Note 14 2 6" xfId="29279"/>
    <cellStyle name="Note 15 2" xfId="4934"/>
    <cellStyle name="Note 15 2 2" xfId="4935"/>
    <cellStyle name="Note 15 2 2 2" xfId="4936"/>
    <cellStyle name="Note 15 2 2 3" xfId="4937"/>
    <cellStyle name="Note 15 2 2 4" xfId="29280"/>
    <cellStyle name="Note 15 2 2 5" xfId="29281"/>
    <cellStyle name="Note 15 2 3" xfId="4938"/>
    <cellStyle name="Note 15 2 3 2" xfId="4939"/>
    <cellStyle name="Note 15 2 3 3" xfId="29282"/>
    <cellStyle name="Note 15 2 3 4" xfId="29283"/>
    <cellStyle name="Note 15 2 4" xfId="4940"/>
    <cellStyle name="Note 15 2 5" xfId="29284"/>
    <cellStyle name="Note 15 2 6" xfId="29285"/>
    <cellStyle name="Note 2 2" xfId="4941"/>
    <cellStyle name="Note 2 2 2" xfId="4942"/>
    <cellStyle name="Note 2 2 2 2" xfId="4943"/>
    <cellStyle name="Note 2 2 2 3" xfId="4944"/>
    <cellStyle name="Note 2 2 2 4" xfId="29286"/>
    <cellStyle name="Note 2 2 2 5" xfId="29287"/>
    <cellStyle name="Note 2 2 3" xfId="4945"/>
    <cellStyle name="Note 2 2 3 2" xfId="4946"/>
    <cellStyle name="Note 2 2 3 3" xfId="29288"/>
    <cellStyle name="Note 2 2 3 4" xfId="29289"/>
    <cellStyle name="Note 2 2 4" xfId="4947"/>
    <cellStyle name="Note 2 2 5" xfId="29290"/>
    <cellStyle name="Note 2 2 6" xfId="29291"/>
    <cellStyle name="Note 2 3" xfId="4948"/>
    <cellStyle name="Note 2 3 2" xfId="4949"/>
    <cellStyle name="Note 2 3 2 2" xfId="4950"/>
    <cellStyle name="Note 2 3 2 3" xfId="4951"/>
    <cellStyle name="Note 2 3 2 4" xfId="29292"/>
    <cellStyle name="Note 2 3 2 5" xfId="29293"/>
    <cellStyle name="Note 2 3 3" xfId="4952"/>
    <cellStyle name="Note 2 3 3 2" xfId="4953"/>
    <cellStyle name="Note 2 3 3 3" xfId="29294"/>
    <cellStyle name="Note 2 3 3 4" xfId="29295"/>
    <cellStyle name="Note 2 3 4" xfId="4954"/>
    <cellStyle name="Note 2 3 5" xfId="29296"/>
    <cellStyle name="Note 2 3 6" xfId="29297"/>
    <cellStyle name="Note 2 4" xfId="4955"/>
    <cellStyle name="Note 2 4 2" xfId="4956"/>
    <cellStyle name="Note 2 4 2 2" xfId="4957"/>
    <cellStyle name="Note 2 4 2 3" xfId="4958"/>
    <cellStyle name="Note 2 4 2 4" xfId="29298"/>
    <cellStyle name="Note 2 4 2 5" xfId="29299"/>
    <cellStyle name="Note 2 4 3" xfId="4959"/>
    <cellStyle name="Note 2 4 3 2" xfId="4960"/>
    <cellStyle name="Note 2 4 3 3" xfId="29300"/>
    <cellStyle name="Note 2 4 3 4" xfId="29301"/>
    <cellStyle name="Note 2 4 4" xfId="4961"/>
    <cellStyle name="Note 2 4 5" xfId="29302"/>
    <cellStyle name="Note 2 4 6" xfId="29303"/>
    <cellStyle name="Note 2 5" xfId="4962"/>
    <cellStyle name="Note 2 5 2" xfId="4963"/>
    <cellStyle name="Note 2 5 2 2" xfId="4964"/>
    <cellStyle name="Note 2 5 2 3" xfId="4965"/>
    <cellStyle name="Note 2 5 2 4" xfId="29304"/>
    <cellStyle name="Note 2 5 2 5" xfId="29305"/>
    <cellStyle name="Note 2 5 3" xfId="4966"/>
    <cellStyle name="Note 2 5 3 2" xfId="4967"/>
    <cellStyle name="Note 2 5 3 3" xfId="29306"/>
    <cellStyle name="Note 2 5 3 4" xfId="29307"/>
    <cellStyle name="Note 2 5 4" xfId="4968"/>
    <cellStyle name="Note 2 5 5" xfId="29308"/>
    <cellStyle name="Note 2 5 6" xfId="29309"/>
    <cellStyle name="Note 2 6" xfId="4969"/>
    <cellStyle name="Note 2 6 2" xfId="4970"/>
    <cellStyle name="Note 2 6 2 2" xfId="4971"/>
    <cellStyle name="Note 2 6 2 3" xfId="4972"/>
    <cellStyle name="Note 2 6 2 4" xfId="29310"/>
    <cellStyle name="Note 2 6 2 5" xfId="29311"/>
    <cellStyle name="Note 2 6 3" xfId="4973"/>
    <cellStyle name="Note 2 6 3 2" xfId="4974"/>
    <cellStyle name="Note 2 6 3 3" xfId="29312"/>
    <cellStyle name="Note 2 6 3 4" xfId="29313"/>
    <cellStyle name="Note 2 6 4" xfId="4975"/>
    <cellStyle name="Note 2 6 5" xfId="29314"/>
    <cellStyle name="Note 2 6 6" xfId="29315"/>
    <cellStyle name="Note 2 7" xfId="4976"/>
    <cellStyle name="Note 2 7 2" xfId="4977"/>
    <cellStyle name="Note 2 7 2 2" xfId="4978"/>
    <cellStyle name="Note 2 7 2 3" xfId="4979"/>
    <cellStyle name="Note 2 7 2 4" xfId="29316"/>
    <cellStyle name="Note 2 7 2 5" xfId="29317"/>
    <cellStyle name="Note 2 7 3" xfId="4980"/>
    <cellStyle name="Note 2 7 3 2" xfId="4981"/>
    <cellStyle name="Note 2 7 3 3" xfId="29318"/>
    <cellStyle name="Note 2 7 3 4" xfId="29319"/>
    <cellStyle name="Note 2 7 4" xfId="4982"/>
    <cellStyle name="Note 2 7 5" xfId="29320"/>
    <cellStyle name="Note 2 7 6" xfId="29321"/>
    <cellStyle name="Note 2 8" xfId="4983"/>
    <cellStyle name="Note 2 8 2" xfId="4984"/>
    <cellStyle name="Note 2 8 2 2" xfId="4985"/>
    <cellStyle name="Note 2 8 2 3" xfId="4986"/>
    <cellStyle name="Note 2 8 2 4" xfId="29322"/>
    <cellStyle name="Note 2 8 2 5" xfId="29323"/>
    <cellStyle name="Note 2 8 3" xfId="4987"/>
    <cellStyle name="Note 2 8 3 2" xfId="4988"/>
    <cellStyle name="Note 2 8 3 3" xfId="29324"/>
    <cellStyle name="Note 2 8 3 4" xfId="29325"/>
    <cellStyle name="Note 2 8 4" xfId="4989"/>
    <cellStyle name="Note 2 8 5" xfId="29326"/>
    <cellStyle name="Note 2 8 6" xfId="29327"/>
    <cellStyle name="Note 3 2" xfId="4990"/>
    <cellStyle name="Note 3 2 2" xfId="4991"/>
    <cellStyle name="Note 3 2 2 2" xfId="4992"/>
    <cellStyle name="Note 3 2 2 3" xfId="4993"/>
    <cellStyle name="Note 3 2 2 4" xfId="29328"/>
    <cellStyle name="Note 3 2 2 5" xfId="29329"/>
    <cellStyle name="Note 3 2 3" xfId="4994"/>
    <cellStyle name="Note 3 2 3 2" xfId="4995"/>
    <cellStyle name="Note 3 2 3 3" xfId="29330"/>
    <cellStyle name="Note 3 2 3 4" xfId="29331"/>
    <cellStyle name="Note 3 2 4" xfId="4996"/>
    <cellStyle name="Note 3 2 5" xfId="29332"/>
    <cellStyle name="Note 3 2 6" xfId="29333"/>
    <cellStyle name="Note 3 3" xfId="4997"/>
    <cellStyle name="Note 3 3 2" xfId="4998"/>
    <cellStyle name="Note 3 3 2 2" xfId="4999"/>
    <cellStyle name="Note 3 3 2 3" xfId="5000"/>
    <cellStyle name="Note 3 3 2 4" xfId="29334"/>
    <cellStyle name="Note 3 3 2 5" xfId="29335"/>
    <cellStyle name="Note 3 3 3" xfId="5001"/>
    <cellStyle name="Note 3 3 3 2" xfId="5002"/>
    <cellStyle name="Note 3 3 3 3" xfId="29336"/>
    <cellStyle name="Note 3 3 3 4" xfId="29337"/>
    <cellStyle name="Note 3 3 4" xfId="5003"/>
    <cellStyle name="Note 3 3 5" xfId="29338"/>
    <cellStyle name="Note 3 3 6" xfId="29339"/>
    <cellStyle name="Note 3 4" xfId="5004"/>
    <cellStyle name="Note 3 4 2" xfId="5005"/>
    <cellStyle name="Note 3 4 2 2" xfId="5006"/>
    <cellStyle name="Note 3 4 2 3" xfId="5007"/>
    <cellStyle name="Note 3 4 2 4" xfId="29340"/>
    <cellStyle name="Note 3 4 2 5" xfId="29341"/>
    <cellStyle name="Note 3 4 3" xfId="5008"/>
    <cellStyle name="Note 3 4 3 2" xfId="5009"/>
    <cellStyle name="Note 3 4 3 3" xfId="29342"/>
    <cellStyle name="Note 3 4 3 4" xfId="29343"/>
    <cellStyle name="Note 3 4 4" xfId="5010"/>
    <cellStyle name="Note 3 4 5" xfId="29344"/>
    <cellStyle name="Note 3 4 6" xfId="29345"/>
    <cellStyle name="Note 3 5" xfId="5011"/>
    <cellStyle name="Note 3 5 2" xfId="5012"/>
    <cellStyle name="Note 3 5 2 2" xfId="5013"/>
    <cellStyle name="Note 3 5 2 3" xfId="5014"/>
    <cellStyle name="Note 3 5 2 4" xfId="29346"/>
    <cellStyle name="Note 3 5 2 5" xfId="29347"/>
    <cellStyle name="Note 3 5 3" xfId="5015"/>
    <cellStyle name="Note 3 5 3 2" xfId="5016"/>
    <cellStyle name="Note 3 5 3 3" xfId="29348"/>
    <cellStyle name="Note 3 5 3 4" xfId="29349"/>
    <cellStyle name="Note 3 5 4" xfId="5017"/>
    <cellStyle name="Note 3 5 5" xfId="29350"/>
    <cellStyle name="Note 3 5 6" xfId="29351"/>
    <cellStyle name="Note 3 6" xfId="5018"/>
    <cellStyle name="Note 3 6 2" xfId="5019"/>
    <cellStyle name="Note 3 6 2 2" xfId="5020"/>
    <cellStyle name="Note 3 6 2 3" xfId="5021"/>
    <cellStyle name="Note 3 6 2 4" xfId="29352"/>
    <cellStyle name="Note 3 6 2 5" xfId="29353"/>
    <cellStyle name="Note 3 6 3" xfId="5022"/>
    <cellStyle name="Note 3 6 3 2" xfId="5023"/>
    <cellStyle name="Note 3 6 3 3" xfId="29354"/>
    <cellStyle name="Note 3 6 3 4" xfId="29355"/>
    <cellStyle name="Note 3 6 4" xfId="5024"/>
    <cellStyle name="Note 3 6 5" xfId="29356"/>
    <cellStyle name="Note 3 6 6" xfId="29357"/>
    <cellStyle name="Note 3 7" xfId="5025"/>
    <cellStyle name="Note 3 7 2" xfId="5026"/>
    <cellStyle name="Note 3 7 2 2" xfId="5027"/>
    <cellStyle name="Note 3 7 2 3" xfId="5028"/>
    <cellStyle name="Note 3 7 2 4" xfId="29358"/>
    <cellStyle name="Note 3 7 2 5" xfId="29359"/>
    <cellStyle name="Note 3 7 3" xfId="5029"/>
    <cellStyle name="Note 3 7 3 2" xfId="5030"/>
    <cellStyle name="Note 3 7 3 3" xfId="29360"/>
    <cellStyle name="Note 3 7 3 4" xfId="29361"/>
    <cellStyle name="Note 3 7 4" xfId="5031"/>
    <cellStyle name="Note 3 7 5" xfId="29362"/>
    <cellStyle name="Note 3 7 6" xfId="29363"/>
    <cellStyle name="Note 3 8" xfId="5032"/>
    <cellStyle name="Note 3 8 2" xfId="5033"/>
    <cellStyle name="Note 3 8 2 2" xfId="5034"/>
    <cellStyle name="Note 3 8 2 3" xfId="5035"/>
    <cellStyle name="Note 3 8 2 4" xfId="29364"/>
    <cellStyle name="Note 3 8 2 5" xfId="29365"/>
    <cellStyle name="Note 3 8 3" xfId="5036"/>
    <cellStyle name="Note 3 8 3 2" xfId="5037"/>
    <cellStyle name="Note 3 8 3 3" xfId="29366"/>
    <cellStyle name="Note 3 8 3 4" xfId="29367"/>
    <cellStyle name="Note 3 8 4" xfId="5038"/>
    <cellStyle name="Note 3 8 5" xfId="29368"/>
    <cellStyle name="Note 3 8 6" xfId="29369"/>
    <cellStyle name="Note 4 2" xfId="5039"/>
    <cellStyle name="Note 4 2 2" xfId="5040"/>
    <cellStyle name="Note 4 2 2 2" xfId="5041"/>
    <cellStyle name="Note 4 2 2 3" xfId="5042"/>
    <cellStyle name="Note 4 2 2 4" xfId="29370"/>
    <cellStyle name="Note 4 2 2 5" xfId="29371"/>
    <cellStyle name="Note 4 2 3" xfId="5043"/>
    <cellStyle name="Note 4 2 3 2" xfId="5044"/>
    <cellStyle name="Note 4 2 3 3" xfId="29372"/>
    <cellStyle name="Note 4 2 3 4" xfId="29373"/>
    <cellStyle name="Note 4 2 4" xfId="5045"/>
    <cellStyle name="Note 4 2 5" xfId="29374"/>
    <cellStyle name="Note 4 2 6" xfId="29375"/>
    <cellStyle name="Note 4 3" xfId="5046"/>
    <cellStyle name="Note 4 3 2" xfId="5047"/>
    <cellStyle name="Note 4 3 2 2" xfId="5048"/>
    <cellStyle name="Note 4 3 2 3" xfId="5049"/>
    <cellStyle name="Note 4 3 2 4" xfId="29376"/>
    <cellStyle name="Note 4 3 2 5" xfId="29377"/>
    <cellStyle name="Note 4 3 3" xfId="5050"/>
    <cellStyle name="Note 4 3 3 2" xfId="5051"/>
    <cellStyle name="Note 4 3 3 3" xfId="29378"/>
    <cellStyle name="Note 4 3 3 4" xfId="29379"/>
    <cellStyle name="Note 4 3 4" xfId="5052"/>
    <cellStyle name="Note 4 3 5" xfId="29380"/>
    <cellStyle name="Note 4 3 6" xfId="29381"/>
    <cellStyle name="Note 4 4" xfId="5053"/>
    <cellStyle name="Note 4 4 2" xfId="5054"/>
    <cellStyle name="Note 4 4 2 2" xfId="5055"/>
    <cellStyle name="Note 4 4 2 3" xfId="5056"/>
    <cellStyle name="Note 4 4 2 4" xfId="29382"/>
    <cellStyle name="Note 4 4 2 5" xfId="29383"/>
    <cellStyle name="Note 4 4 3" xfId="5057"/>
    <cellStyle name="Note 4 4 3 2" xfId="5058"/>
    <cellStyle name="Note 4 4 3 3" xfId="29384"/>
    <cellStyle name="Note 4 4 3 4" xfId="29385"/>
    <cellStyle name="Note 4 4 4" xfId="5059"/>
    <cellStyle name="Note 4 4 5" xfId="29386"/>
    <cellStyle name="Note 4 4 6" xfId="29387"/>
    <cellStyle name="Note 4 5" xfId="5060"/>
    <cellStyle name="Note 4 5 2" xfId="5061"/>
    <cellStyle name="Note 4 5 2 2" xfId="5062"/>
    <cellStyle name="Note 4 5 2 3" xfId="5063"/>
    <cellStyle name="Note 4 5 2 4" xfId="29388"/>
    <cellStyle name="Note 4 5 2 5" xfId="29389"/>
    <cellStyle name="Note 4 5 3" xfId="5064"/>
    <cellStyle name="Note 4 5 3 2" xfId="5065"/>
    <cellStyle name="Note 4 5 3 3" xfId="29390"/>
    <cellStyle name="Note 4 5 3 4" xfId="29391"/>
    <cellStyle name="Note 4 5 4" xfId="5066"/>
    <cellStyle name="Note 4 5 5" xfId="29392"/>
    <cellStyle name="Note 4 5 6" xfId="29393"/>
    <cellStyle name="Note 4 6" xfId="5067"/>
    <cellStyle name="Note 4 6 2" xfId="5068"/>
    <cellStyle name="Note 4 6 2 2" xfId="5069"/>
    <cellStyle name="Note 4 6 2 3" xfId="5070"/>
    <cellStyle name="Note 4 6 2 4" xfId="29394"/>
    <cellStyle name="Note 4 6 2 5" xfId="29395"/>
    <cellStyle name="Note 4 6 3" xfId="5071"/>
    <cellStyle name="Note 4 6 3 2" xfId="5072"/>
    <cellStyle name="Note 4 6 3 3" xfId="29396"/>
    <cellStyle name="Note 4 6 3 4" xfId="29397"/>
    <cellStyle name="Note 4 6 4" xfId="5073"/>
    <cellStyle name="Note 4 6 5" xfId="29398"/>
    <cellStyle name="Note 4 6 6" xfId="29399"/>
    <cellStyle name="Note 4 7" xfId="5074"/>
    <cellStyle name="Note 4 7 2" xfId="5075"/>
    <cellStyle name="Note 4 7 2 2" xfId="5076"/>
    <cellStyle name="Note 4 7 2 3" xfId="5077"/>
    <cellStyle name="Note 4 7 2 4" xfId="29400"/>
    <cellStyle name="Note 4 7 2 5" xfId="29401"/>
    <cellStyle name="Note 4 7 3" xfId="5078"/>
    <cellStyle name="Note 4 7 3 2" xfId="5079"/>
    <cellStyle name="Note 4 7 3 3" xfId="29402"/>
    <cellStyle name="Note 4 7 3 4" xfId="29403"/>
    <cellStyle name="Note 4 7 4" xfId="5080"/>
    <cellStyle name="Note 4 7 5" xfId="29404"/>
    <cellStyle name="Note 4 7 6" xfId="29405"/>
    <cellStyle name="Note 4 8" xfId="5081"/>
    <cellStyle name="Note 4 8 2" xfId="5082"/>
    <cellStyle name="Note 4 8 2 2" xfId="5083"/>
    <cellStyle name="Note 4 8 2 3" xfId="5084"/>
    <cellStyle name="Note 4 8 2 4" xfId="29406"/>
    <cellStyle name="Note 4 8 2 5" xfId="29407"/>
    <cellStyle name="Note 4 8 3" xfId="5085"/>
    <cellStyle name="Note 4 8 3 2" xfId="5086"/>
    <cellStyle name="Note 4 8 3 3" xfId="29408"/>
    <cellStyle name="Note 4 8 3 4" xfId="29409"/>
    <cellStyle name="Note 4 8 4" xfId="5087"/>
    <cellStyle name="Note 4 8 5" xfId="29410"/>
    <cellStyle name="Note 4 8 6" xfId="29411"/>
    <cellStyle name="Note 5 2" xfId="5088"/>
    <cellStyle name="Note 5 2 2" xfId="5089"/>
    <cellStyle name="Note 5 2 2 2" xfId="5090"/>
    <cellStyle name="Note 5 2 2 3" xfId="5091"/>
    <cellStyle name="Note 5 2 2 4" xfId="29412"/>
    <cellStyle name="Note 5 2 2 5" xfId="29413"/>
    <cellStyle name="Note 5 2 3" xfId="5092"/>
    <cellStyle name="Note 5 2 3 2" xfId="5093"/>
    <cellStyle name="Note 5 2 3 3" xfId="29414"/>
    <cellStyle name="Note 5 2 3 4" xfId="29415"/>
    <cellStyle name="Note 5 2 4" xfId="5094"/>
    <cellStyle name="Note 5 2 5" xfId="29416"/>
    <cellStyle name="Note 5 2 6" xfId="29417"/>
    <cellStyle name="Note 5 3" xfId="5095"/>
    <cellStyle name="Note 5 3 2" xfId="5096"/>
    <cellStyle name="Note 5 3 2 2" xfId="5097"/>
    <cellStyle name="Note 5 3 2 3" xfId="5098"/>
    <cellStyle name="Note 5 3 2 4" xfId="29418"/>
    <cellStyle name="Note 5 3 2 5" xfId="29419"/>
    <cellStyle name="Note 5 3 3" xfId="5099"/>
    <cellStyle name="Note 5 3 3 2" xfId="5100"/>
    <cellStyle name="Note 5 3 3 3" xfId="29420"/>
    <cellStyle name="Note 5 3 3 4" xfId="29421"/>
    <cellStyle name="Note 5 3 4" xfId="5101"/>
    <cellStyle name="Note 5 3 5" xfId="29422"/>
    <cellStyle name="Note 5 3 6" xfId="29423"/>
    <cellStyle name="Note 5 4" xfId="5102"/>
    <cellStyle name="Note 5 4 2" xfId="5103"/>
    <cellStyle name="Note 5 4 2 2" xfId="5104"/>
    <cellStyle name="Note 5 4 2 3" xfId="5105"/>
    <cellStyle name="Note 5 4 2 4" xfId="29424"/>
    <cellStyle name="Note 5 4 2 5" xfId="29425"/>
    <cellStyle name="Note 5 4 3" xfId="5106"/>
    <cellStyle name="Note 5 4 3 2" xfId="5107"/>
    <cellStyle name="Note 5 4 3 3" xfId="29426"/>
    <cellStyle name="Note 5 4 3 4" xfId="29427"/>
    <cellStyle name="Note 5 4 4" xfId="5108"/>
    <cellStyle name="Note 5 4 5" xfId="29428"/>
    <cellStyle name="Note 5 4 6" xfId="29429"/>
    <cellStyle name="Note 5 5" xfId="5109"/>
    <cellStyle name="Note 5 5 2" xfId="5110"/>
    <cellStyle name="Note 5 5 2 2" xfId="5111"/>
    <cellStyle name="Note 5 5 2 3" xfId="5112"/>
    <cellStyle name="Note 5 5 2 4" xfId="29430"/>
    <cellStyle name="Note 5 5 2 5" xfId="29431"/>
    <cellStyle name="Note 5 5 3" xfId="5113"/>
    <cellStyle name="Note 5 5 3 2" xfId="5114"/>
    <cellStyle name="Note 5 5 3 3" xfId="29432"/>
    <cellStyle name="Note 5 5 3 4" xfId="29433"/>
    <cellStyle name="Note 5 5 4" xfId="5115"/>
    <cellStyle name="Note 5 5 5" xfId="29434"/>
    <cellStyle name="Note 5 5 6" xfId="29435"/>
    <cellStyle name="Note 5 6" xfId="5116"/>
    <cellStyle name="Note 5 6 2" xfId="5117"/>
    <cellStyle name="Note 5 6 2 2" xfId="5118"/>
    <cellStyle name="Note 5 6 2 3" xfId="5119"/>
    <cellStyle name="Note 5 6 2 4" xfId="29436"/>
    <cellStyle name="Note 5 6 2 5" xfId="29437"/>
    <cellStyle name="Note 5 6 3" xfId="5120"/>
    <cellStyle name="Note 5 6 3 2" xfId="5121"/>
    <cellStyle name="Note 5 6 3 3" xfId="29438"/>
    <cellStyle name="Note 5 6 3 4" xfId="29439"/>
    <cellStyle name="Note 5 6 4" xfId="5122"/>
    <cellStyle name="Note 5 6 5" xfId="29440"/>
    <cellStyle name="Note 5 6 6" xfId="29441"/>
    <cellStyle name="Note 5 7" xfId="5123"/>
    <cellStyle name="Note 5 7 2" xfId="5124"/>
    <cellStyle name="Note 5 7 2 2" xfId="5125"/>
    <cellStyle name="Note 5 7 2 3" xfId="5126"/>
    <cellStyle name="Note 5 7 2 4" xfId="29442"/>
    <cellStyle name="Note 5 7 2 5" xfId="29443"/>
    <cellStyle name="Note 5 7 3" xfId="5127"/>
    <cellStyle name="Note 5 7 3 2" xfId="5128"/>
    <cellStyle name="Note 5 7 3 3" xfId="29444"/>
    <cellStyle name="Note 5 7 3 4" xfId="29445"/>
    <cellStyle name="Note 5 7 4" xfId="5129"/>
    <cellStyle name="Note 5 7 5" xfId="29446"/>
    <cellStyle name="Note 5 7 6" xfId="29447"/>
    <cellStyle name="Note 5 8" xfId="5130"/>
    <cellStyle name="Note 5 8 2" xfId="5131"/>
    <cellStyle name="Note 5 8 2 2" xfId="5132"/>
    <cellStyle name="Note 5 8 2 3" xfId="5133"/>
    <cellStyle name="Note 5 8 2 4" xfId="29448"/>
    <cellStyle name="Note 5 8 2 5" xfId="29449"/>
    <cellStyle name="Note 5 8 3" xfId="5134"/>
    <cellStyle name="Note 5 8 3 2" xfId="5135"/>
    <cellStyle name="Note 5 8 3 3" xfId="29450"/>
    <cellStyle name="Note 5 8 3 4" xfId="29451"/>
    <cellStyle name="Note 5 8 4" xfId="5136"/>
    <cellStyle name="Note 5 8 5" xfId="29452"/>
    <cellStyle name="Note 5 8 6" xfId="29453"/>
    <cellStyle name="Note 6 2" xfId="5137"/>
    <cellStyle name="Note 6 2 2" xfId="5138"/>
    <cellStyle name="Note 6 2 2 2" xfId="5139"/>
    <cellStyle name="Note 6 2 2 3" xfId="5140"/>
    <cellStyle name="Note 6 2 2 4" xfId="29454"/>
    <cellStyle name="Note 6 2 2 5" xfId="29455"/>
    <cellStyle name="Note 6 2 3" xfId="5141"/>
    <cellStyle name="Note 6 2 3 2" xfId="5142"/>
    <cellStyle name="Note 6 2 3 3" xfId="29456"/>
    <cellStyle name="Note 6 2 3 4" xfId="29457"/>
    <cellStyle name="Note 6 2 4" xfId="5143"/>
    <cellStyle name="Note 6 2 5" xfId="29458"/>
    <cellStyle name="Note 6 2 6" xfId="29459"/>
    <cellStyle name="Note 6 3" xfId="5144"/>
    <cellStyle name="Note 6 3 2" xfId="5145"/>
    <cellStyle name="Note 6 3 2 2" xfId="5146"/>
    <cellStyle name="Note 6 3 2 3" xfId="5147"/>
    <cellStyle name="Note 6 3 2 4" xfId="29460"/>
    <cellStyle name="Note 6 3 2 5" xfId="29461"/>
    <cellStyle name="Note 6 3 3" xfId="5148"/>
    <cellStyle name="Note 6 3 3 2" xfId="5149"/>
    <cellStyle name="Note 6 3 3 3" xfId="29462"/>
    <cellStyle name="Note 6 3 3 4" xfId="29463"/>
    <cellStyle name="Note 6 3 4" xfId="5150"/>
    <cellStyle name="Note 6 3 5" xfId="29464"/>
    <cellStyle name="Note 6 3 6" xfId="29465"/>
    <cellStyle name="Note 6 4" xfId="5151"/>
    <cellStyle name="Note 6 4 2" xfId="5152"/>
    <cellStyle name="Note 6 4 2 2" xfId="5153"/>
    <cellStyle name="Note 6 4 2 3" xfId="5154"/>
    <cellStyle name="Note 6 4 2 4" xfId="29466"/>
    <cellStyle name="Note 6 4 2 5" xfId="29467"/>
    <cellStyle name="Note 6 4 3" xfId="5155"/>
    <cellStyle name="Note 6 4 3 2" xfId="5156"/>
    <cellStyle name="Note 6 4 3 3" xfId="29468"/>
    <cellStyle name="Note 6 4 3 4" xfId="29469"/>
    <cellStyle name="Note 6 4 4" xfId="5157"/>
    <cellStyle name="Note 6 4 5" xfId="29470"/>
    <cellStyle name="Note 6 4 6" xfId="29471"/>
    <cellStyle name="Note 6 5" xfId="5158"/>
    <cellStyle name="Note 6 5 2" xfId="5159"/>
    <cellStyle name="Note 6 5 2 2" xfId="5160"/>
    <cellStyle name="Note 6 5 2 3" xfId="5161"/>
    <cellStyle name="Note 6 5 2 4" xfId="29472"/>
    <cellStyle name="Note 6 5 2 5" xfId="29473"/>
    <cellStyle name="Note 6 5 3" xfId="5162"/>
    <cellStyle name="Note 6 5 3 2" xfId="5163"/>
    <cellStyle name="Note 6 5 3 3" xfId="29474"/>
    <cellStyle name="Note 6 5 3 4" xfId="29475"/>
    <cellStyle name="Note 6 5 4" xfId="5164"/>
    <cellStyle name="Note 6 5 5" xfId="29476"/>
    <cellStyle name="Note 6 5 6" xfId="29477"/>
    <cellStyle name="Note 6 6" xfId="5165"/>
    <cellStyle name="Note 6 6 2" xfId="5166"/>
    <cellStyle name="Note 6 6 2 2" xfId="5167"/>
    <cellStyle name="Note 6 6 2 3" xfId="5168"/>
    <cellStyle name="Note 6 6 2 4" xfId="29478"/>
    <cellStyle name="Note 6 6 2 5" xfId="29479"/>
    <cellStyle name="Note 6 6 3" xfId="5169"/>
    <cellStyle name="Note 6 6 3 2" xfId="5170"/>
    <cellStyle name="Note 6 6 3 3" xfId="29480"/>
    <cellStyle name="Note 6 6 3 4" xfId="29481"/>
    <cellStyle name="Note 6 6 4" xfId="5171"/>
    <cellStyle name="Note 6 6 5" xfId="29482"/>
    <cellStyle name="Note 6 6 6" xfId="29483"/>
    <cellStyle name="Note 6 7" xfId="5172"/>
    <cellStyle name="Note 6 7 2" xfId="5173"/>
    <cellStyle name="Note 6 7 2 2" xfId="5174"/>
    <cellStyle name="Note 6 7 2 3" xfId="5175"/>
    <cellStyle name="Note 6 7 2 4" xfId="29484"/>
    <cellStyle name="Note 6 7 2 5" xfId="29485"/>
    <cellStyle name="Note 6 7 3" xfId="5176"/>
    <cellStyle name="Note 6 7 3 2" xfId="5177"/>
    <cellStyle name="Note 6 7 3 3" xfId="29486"/>
    <cellStyle name="Note 6 7 3 4" xfId="29487"/>
    <cellStyle name="Note 6 7 4" xfId="5178"/>
    <cellStyle name="Note 6 7 5" xfId="29488"/>
    <cellStyle name="Note 6 7 6" xfId="29489"/>
    <cellStyle name="Note 6 8" xfId="5179"/>
    <cellStyle name="Note 6 8 2" xfId="5180"/>
    <cellStyle name="Note 6 8 2 2" xfId="5181"/>
    <cellStyle name="Note 6 8 2 3" xfId="5182"/>
    <cellStyle name="Note 6 8 2 4" xfId="29490"/>
    <cellStyle name="Note 6 8 2 5" xfId="29491"/>
    <cellStyle name="Note 6 8 3" xfId="5183"/>
    <cellStyle name="Note 6 8 3 2" xfId="5184"/>
    <cellStyle name="Note 6 8 3 3" xfId="29492"/>
    <cellStyle name="Note 6 8 3 4" xfId="29493"/>
    <cellStyle name="Note 6 8 4" xfId="5185"/>
    <cellStyle name="Note 6 8 5" xfId="29494"/>
    <cellStyle name="Note 6 8 6" xfId="29495"/>
    <cellStyle name="Note 7 2" xfId="5186"/>
    <cellStyle name="Note 7 2 2" xfId="5187"/>
    <cellStyle name="Note 7 2 2 2" xfId="5188"/>
    <cellStyle name="Note 7 2 2 3" xfId="5189"/>
    <cellStyle name="Note 7 2 2 4" xfId="29496"/>
    <cellStyle name="Note 7 2 2 5" xfId="29497"/>
    <cellStyle name="Note 7 2 3" xfId="5190"/>
    <cellStyle name="Note 7 2 3 2" xfId="5191"/>
    <cellStyle name="Note 7 2 3 3" xfId="29498"/>
    <cellStyle name="Note 7 2 3 4" xfId="29499"/>
    <cellStyle name="Note 7 2 4" xfId="5192"/>
    <cellStyle name="Note 7 2 5" xfId="29500"/>
    <cellStyle name="Note 7 2 6" xfId="29501"/>
    <cellStyle name="Note 7 3" xfId="5193"/>
    <cellStyle name="Note 7 3 2" xfId="5194"/>
    <cellStyle name="Note 7 3 2 2" xfId="5195"/>
    <cellStyle name="Note 7 3 2 3" xfId="5196"/>
    <cellStyle name="Note 7 3 2 4" xfId="29502"/>
    <cellStyle name="Note 7 3 2 5" xfId="29503"/>
    <cellStyle name="Note 7 3 3" xfId="5197"/>
    <cellStyle name="Note 7 3 3 2" xfId="5198"/>
    <cellStyle name="Note 7 3 3 3" xfId="29504"/>
    <cellStyle name="Note 7 3 3 4" xfId="29505"/>
    <cellStyle name="Note 7 3 4" xfId="5199"/>
    <cellStyle name="Note 7 3 5" xfId="29506"/>
    <cellStyle name="Note 7 3 6" xfId="29507"/>
    <cellStyle name="Note 7 4" xfId="5200"/>
    <cellStyle name="Note 7 4 2" xfId="5201"/>
    <cellStyle name="Note 7 4 2 2" xfId="5202"/>
    <cellStyle name="Note 7 4 2 3" xfId="5203"/>
    <cellStyle name="Note 7 4 2 4" xfId="29508"/>
    <cellStyle name="Note 7 4 2 5" xfId="29509"/>
    <cellStyle name="Note 7 4 3" xfId="5204"/>
    <cellStyle name="Note 7 4 3 2" xfId="5205"/>
    <cellStyle name="Note 7 4 3 3" xfId="29510"/>
    <cellStyle name="Note 7 4 3 4" xfId="29511"/>
    <cellStyle name="Note 7 4 4" xfId="5206"/>
    <cellStyle name="Note 7 4 5" xfId="29512"/>
    <cellStyle name="Note 7 4 6" xfId="29513"/>
    <cellStyle name="Note 7 5" xfId="5207"/>
    <cellStyle name="Note 7 5 2" xfId="5208"/>
    <cellStyle name="Note 7 5 2 2" xfId="5209"/>
    <cellStyle name="Note 7 5 2 3" xfId="5210"/>
    <cellStyle name="Note 7 5 2 4" xfId="29514"/>
    <cellStyle name="Note 7 5 2 5" xfId="29515"/>
    <cellStyle name="Note 7 5 3" xfId="5211"/>
    <cellStyle name="Note 7 5 3 2" xfId="5212"/>
    <cellStyle name="Note 7 5 3 3" xfId="29516"/>
    <cellStyle name="Note 7 5 3 4" xfId="29517"/>
    <cellStyle name="Note 7 5 4" xfId="5213"/>
    <cellStyle name="Note 7 5 5" xfId="29518"/>
    <cellStyle name="Note 7 5 6" xfId="29519"/>
    <cellStyle name="Note 7 6" xfId="5214"/>
    <cellStyle name="Note 7 6 2" xfId="5215"/>
    <cellStyle name="Note 7 6 2 2" xfId="5216"/>
    <cellStyle name="Note 7 6 2 3" xfId="5217"/>
    <cellStyle name="Note 7 6 2 4" xfId="29520"/>
    <cellStyle name="Note 7 6 2 5" xfId="29521"/>
    <cellStyle name="Note 7 6 3" xfId="5218"/>
    <cellStyle name="Note 7 6 3 2" xfId="5219"/>
    <cellStyle name="Note 7 6 3 3" xfId="29522"/>
    <cellStyle name="Note 7 6 3 4" xfId="29523"/>
    <cellStyle name="Note 7 6 4" xfId="5220"/>
    <cellStyle name="Note 7 6 5" xfId="29524"/>
    <cellStyle name="Note 7 6 6" xfId="29525"/>
    <cellStyle name="Note 7 7" xfId="5221"/>
    <cellStyle name="Note 7 7 2" xfId="5222"/>
    <cellStyle name="Note 7 7 2 2" xfId="5223"/>
    <cellStyle name="Note 7 7 2 3" xfId="5224"/>
    <cellStyle name="Note 7 7 2 4" xfId="29526"/>
    <cellStyle name="Note 7 7 2 5" xfId="29527"/>
    <cellStyle name="Note 7 7 3" xfId="5225"/>
    <cellStyle name="Note 7 7 3 2" xfId="5226"/>
    <cellStyle name="Note 7 7 3 3" xfId="29528"/>
    <cellStyle name="Note 7 7 3 4" xfId="29529"/>
    <cellStyle name="Note 7 7 4" xfId="5227"/>
    <cellStyle name="Note 7 7 5" xfId="29530"/>
    <cellStyle name="Note 7 7 6" xfId="29531"/>
    <cellStyle name="Note 7 8" xfId="5228"/>
    <cellStyle name="Note 7 8 2" xfId="5229"/>
    <cellStyle name="Note 7 8 2 2" xfId="5230"/>
    <cellStyle name="Note 7 8 2 3" xfId="5231"/>
    <cellStyle name="Note 7 8 2 4" xfId="29532"/>
    <cellStyle name="Note 7 8 2 5" xfId="29533"/>
    <cellStyle name="Note 7 8 3" xfId="5232"/>
    <cellStyle name="Note 7 8 3 2" xfId="5233"/>
    <cellStyle name="Note 7 8 3 3" xfId="29534"/>
    <cellStyle name="Note 7 8 3 4" xfId="29535"/>
    <cellStyle name="Note 7 8 4" xfId="5234"/>
    <cellStyle name="Note 7 8 5" xfId="29536"/>
    <cellStyle name="Note 7 8 6" xfId="29537"/>
    <cellStyle name="Note 8 2" xfId="5235"/>
    <cellStyle name="Note 8 2 2" xfId="5236"/>
    <cellStyle name="Note 8 2 2 2" xfId="5237"/>
    <cellStyle name="Note 8 2 2 3" xfId="5238"/>
    <cellStyle name="Note 8 2 2 4" xfId="29538"/>
    <cellStyle name="Note 8 2 2 5" xfId="29539"/>
    <cellStyle name="Note 8 2 3" xfId="5239"/>
    <cellStyle name="Note 8 2 3 2" xfId="5240"/>
    <cellStyle name="Note 8 2 3 3" xfId="29540"/>
    <cellStyle name="Note 8 2 3 4" xfId="29541"/>
    <cellStyle name="Note 8 2 4" xfId="5241"/>
    <cellStyle name="Note 8 2 5" xfId="29542"/>
    <cellStyle name="Note 8 2 6" xfId="29543"/>
    <cellStyle name="Note 8 3" xfId="5242"/>
    <cellStyle name="Note 8 3 2" xfId="5243"/>
    <cellStyle name="Note 8 3 2 2" xfId="5244"/>
    <cellStyle name="Note 8 3 2 3" xfId="5245"/>
    <cellStyle name="Note 8 3 2 4" xfId="29544"/>
    <cellStyle name="Note 8 3 2 5" xfId="29545"/>
    <cellStyle name="Note 8 3 3" xfId="5246"/>
    <cellStyle name="Note 8 3 3 2" xfId="5247"/>
    <cellStyle name="Note 8 3 3 3" xfId="29546"/>
    <cellStyle name="Note 8 3 3 4" xfId="29547"/>
    <cellStyle name="Note 8 3 4" xfId="5248"/>
    <cellStyle name="Note 8 3 5" xfId="29548"/>
    <cellStyle name="Note 8 3 6" xfId="29549"/>
    <cellStyle name="Note 8 4" xfId="5249"/>
    <cellStyle name="Note 8 4 2" xfId="5250"/>
    <cellStyle name="Note 8 4 2 2" xfId="5251"/>
    <cellStyle name="Note 8 4 2 3" xfId="5252"/>
    <cellStyle name="Note 8 4 2 4" xfId="29550"/>
    <cellStyle name="Note 8 4 2 5" xfId="29551"/>
    <cellStyle name="Note 8 4 3" xfId="5253"/>
    <cellStyle name="Note 8 4 3 2" xfId="5254"/>
    <cellStyle name="Note 8 4 3 3" xfId="29552"/>
    <cellStyle name="Note 8 4 3 4" xfId="29553"/>
    <cellStyle name="Note 8 4 4" xfId="5255"/>
    <cellStyle name="Note 8 4 5" xfId="29554"/>
    <cellStyle name="Note 8 4 6" xfId="29555"/>
    <cellStyle name="Note 8 5" xfId="5256"/>
    <cellStyle name="Note 8 5 2" xfId="5257"/>
    <cellStyle name="Note 8 5 2 2" xfId="5258"/>
    <cellStyle name="Note 8 5 2 3" xfId="5259"/>
    <cellStyle name="Note 8 5 2 4" xfId="29556"/>
    <cellStyle name="Note 8 5 2 5" xfId="29557"/>
    <cellStyle name="Note 8 5 3" xfId="5260"/>
    <cellStyle name="Note 8 5 3 2" xfId="5261"/>
    <cellStyle name="Note 8 5 3 3" xfId="29558"/>
    <cellStyle name="Note 8 5 3 4" xfId="29559"/>
    <cellStyle name="Note 8 5 4" xfId="5262"/>
    <cellStyle name="Note 8 5 5" xfId="29560"/>
    <cellStyle name="Note 8 5 6" xfId="29561"/>
    <cellStyle name="Note 8 6" xfId="5263"/>
    <cellStyle name="Note 8 6 2" xfId="5264"/>
    <cellStyle name="Note 8 6 2 2" xfId="5265"/>
    <cellStyle name="Note 8 6 2 3" xfId="5266"/>
    <cellStyle name="Note 8 6 2 4" xfId="29562"/>
    <cellStyle name="Note 8 6 2 5" xfId="29563"/>
    <cellStyle name="Note 8 6 3" xfId="5267"/>
    <cellStyle name="Note 8 6 3 2" xfId="5268"/>
    <cellStyle name="Note 8 6 3 3" xfId="29564"/>
    <cellStyle name="Note 8 6 3 4" xfId="29565"/>
    <cellStyle name="Note 8 6 4" xfId="5269"/>
    <cellStyle name="Note 8 6 5" xfId="29566"/>
    <cellStyle name="Note 8 6 6" xfId="29567"/>
    <cellStyle name="Note 8 7" xfId="5270"/>
    <cellStyle name="Note 8 7 2" xfId="5271"/>
    <cellStyle name="Note 8 7 2 2" xfId="5272"/>
    <cellStyle name="Note 8 7 2 3" xfId="5273"/>
    <cellStyle name="Note 8 7 2 4" xfId="29568"/>
    <cellStyle name="Note 8 7 2 5" xfId="29569"/>
    <cellStyle name="Note 8 7 3" xfId="5274"/>
    <cellStyle name="Note 8 7 3 2" xfId="5275"/>
    <cellStyle name="Note 8 7 3 3" xfId="29570"/>
    <cellStyle name="Note 8 7 3 4" xfId="29571"/>
    <cellStyle name="Note 8 7 4" xfId="5276"/>
    <cellStyle name="Note 8 7 5" xfId="29572"/>
    <cellStyle name="Note 8 7 6" xfId="29573"/>
    <cellStyle name="Note 8 8" xfId="5277"/>
    <cellStyle name="Note 8 8 2" xfId="5278"/>
    <cellStyle name="Note 8 8 2 2" xfId="5279"/>
    <cellStyle name="Note 8 8 2 3" xfId="5280"/>
    <cellStyle name="Note 8 8 2 4" xfId="29574"/>
    <cellStyle name="Note 8 8 2 5" xfId="29575"/>
    <cellStyle name="Note 8 8 3" xfId="5281"/>
    <cellStyle name="Note 8 8 3 2" xfId="5282"/>
    <cellStyle name="Note 8 8 3 3" xfId="29576"/>
    <cellStyle name="Note 8 8 3 4" xfId="29577"/>
    <cellStyle name="Note 8 8 4" xfId="5283"/>
    <cellStyle name="Note 8 8 5" xfId="29578"/>
    <cellStyle name="Note 8 8 6" xfId="29579"/>
    <cellStyle name="Note 9 2" xfId="5284"/>
    <cellStyle name="Note 9 2 2" xfId="5285"/>
    <cellStyle name="Note 9 2 2 2" xfId="5286"/>
    <cellStyle name="Note 9 2 2 3" xfId="5287"/>
    <cellStyle name="Note 9 2 2 4" xfId="29580"/>
    <cellStyle name="Note 9 2 2 5" xfId="29581"/>
    <cellStyle name="Note 9 2 3" xfId="5288"/>
    <cellStyle name="Note 9 2 3 2" xfId="5289"/>
    <cellStyle name="Note 9 2 3 3" xfId="29582"/>
    <cellStyle name="Note 9 2 3 4" xfId="29583"/>
    <cellStyle name="Note 9 2 4" xfId="5290"/>
    <cellStyle name="Note 9 2 5" xfId="29584"/>
    <cellStyle name="Note 9 2 6" xfId="29585"/>
    <cellStyle name="Note 9 3" xfId="5291"/>
    <cellStyle name="Note 9 3 2" xfId="5292"/>
    <cellStyle name="Note 9 3 2 2" xfId="5293"/>
    <cellStyle name="Note 9 3 2 3" xfId="5294"/>
    <cellStyle name="Note 9 3 2 4" xfId="29586"/>
    <cellStyle name="Note 9 3 2 5" xfId="29587"/>
    <cellStyle name="Note 9 3 3" xfId="5295"/>
    <cellStyle name="Note 9 3 3 2" xfId="5296"/>
    <cellStyle name="Note 9 3 3 3" xfId="29588"/>
    <cellStyle name="Note 9 3 3 4" xfId="29589"/>
    <cellStyle name="Note 9 3 4" xfId="5297"/>
    <cellStyle name="Note 9 3 5" xfId="29590"/>
    <cellStyle name="Note 9 3 6" xfId="29591"/>
    <cellStyle name="Note 9 4" xfId="5298"/>
    <cellStyle name="Note 9 4 2" xfId="5299"/>
    <cellStyle name="Note 9 4 2 2" xfId="5300"/>
    <cellStyle name="Note 9 4 2 3" xfId="5301"/>
    <cellStyle name="Note 9 4 2 4" xfId="29592"/>
    <cellStyle name="Note 9 4 2 5" xfId="29593"/>
    <cellStyle name="Note 9 4 3" xfId="5302"/>
    <cellStyle name="Note 9 4 3 2" xfId="5303"/>
    <cellStyle name="Note 9 4 3 3" xfId="29594"/>
    <cellStyle name="Note 9 4 3 4" xfId="29595"/>
    <cellStyle name="Note 9 4 4" xfId="5304"/>
    <cellStyle name="Note 9 4 5" xfId="29596"/>
    <cellStyle name="Note 9 4 6" xfId="29597"/>
    <cellStyle name="Note 9 5" xfId="5305"/>
    <cellStyle name="Note 9 5 2" xfId="5306"/>
    <cellStyle name="Note 9 5 2 2" xfId="5307"/>
    <cellStyle name="Note 9 5 2 3" xfId="5308"/>
    <cellStyle name="Note 9 5 2 4" xfId="29598"/>
    <cellStyle name="Note 9 5 2 5" xfId="29599"/>
    <cellStyle name="Note 9 5 3" xfId="5309"/>
    <cellStyle name="Note 9 5 3 2" xfId="5310"/>
    <cellStyle name="Note 9 5 3 3" xfId="29600"/>
    <cellStyle name="Note 9 5 3 4" xfId="29601"/>
    <cellStyle name="Note 9 5 4" xfId="5311"/>
    <cellStyle name="Note 9 5 5" xfId="29602"/>
    <cellStyle name="Note 9 5 6" xfId="29603"/>
    <cellStyle name="Note 9 6" xfId="5312"/>
    <cellStyle name="Note 9 6 2" xfId="5313"/>
    <cellStyle name="Note 9 6 2 2" xfId="5314"/>
    <cellStyle name="Note 9 6 2 3" xfId="5315"/>
    <cellStyle name="Note 9 6 2 4" xfId="29604"/>
    <cellStyle name="Note 9 6 2 5" xfId="29605"/>
    <cellStyle name="Note 9 6 3" xfId="5316"/>
    <cellStyle name="Note 9 6 3 2" xfId="5317"/>
    <cellStyle name="Note 9 6 3 3" xfId="29606"/>
    <cellStyle name="Note 9 6 3 4" xfId="29607"/>
    <cellStyle name="Note 9 6 4" xfId="5318"/>
    <cellStyle name="Note 9 6 5" xfId="29608"/>
    <cellStyle name="Note 9 6 6" xfId="29609"/>
    <cellStyle name="Note 9 7" xfId="5319"/>
    <cellStyle name="Note 9 7 2" xfId="5320"/>
    <cellStyle name="Note 9 7 2 2" xfId="5321"/>
    <cellStyle name="Note 9 7 2 3" xfId="5322"/>
    <cellStyle name="Note 9 7 2 4" xfId="29610"/>
    <cellStyle name="Note 9 7 2 5" xfId="29611"/>
    <cellStyle name="Note 9 7 3" xfId="5323"/>
    <cellStyle name="Note 9 7 3 2" xfId="5324"/>
    <cellStyle name="Note 9 7 3 3" xfId="29612"/>
    <cellStyle name="Note 9 7 3 4" xfId="29613"/>
    <cellStyle name="Note 9 7 4" xfId="5325"/>
    <cellStyle name="Note 9 7 5" xfId="29614"/>
    <cellStyle name="Note 9 7 6" xfId="29615"/>
    <cellStyle name="Note 9 8" xfId="5326"/>
    <cellStyle name="Note 9 8 2" xfId="5327"/>
    <cellStyle name="Note 9 8 2 2" xfId="5328"/>
    <cellStyle name="Note 9 8 2 3" xfId="5329"/>
    <cellStyle name="Note 9 8 2 4" xfId="29616"/>
    <cellStyle name="Note 9 8 2 5" xfId="29617"/>
    <cellStyle name="Note 9 8 3" xfId="5330"/>
    <cellStyle name="Note 9 8 3 2" xfId="5331"/>
    <cellStyle name="Note 9 8 3 3" xfId="29618"/>
    <cellStyle name="Note 9 8 3 4" xfId="29619"/>
    <cellStyle name="Note 9 8 4" xfId="5332"/>
    <cellStyle name="Note 9 8 5" xfId="29620"/>
    <cellStyle name="Note 9 8 6" xfId="29621"/>
    <cellStyle name="notes" xfId="5333"/>
    <cellStyle name="Percent" xfId="63" builtinId="5"/>
    <cellStyle name="Percent [2]" xfId="5334"/>
    <cellStyle name="Percent 10" xfId="5335"/>
    <cellStyle name="Percent 11" xfId="5336"/>
    <cellStyle name="Percent 12" xfId="5337"/>
    <cellStyle name="Percent 13" xfId="5338"/>
    <cellStyle name="Percent 14" xfId="29622"/>
    <cellStyle name="Percent 15" xfId="29623"/>
    <cellStyle name="Percent 16" xfId="29624"/>
    <cellStyle name="Percent 17" xfId="29625"/>
    <cellStyle name="Percent 18" xfId="29626"/>
    <cellStyle name="Percent 2" xfId="5339"/>
    <cellStyle name="Percent 2 2" xfId="5340"/>
    <cellStyle name="Percent 2 2 2" xfId="5341"/>
    <cellStyle name="Percent 2 2 3" xfId="5342"/>
    <cellStyle name="Percent 2 2_Tertiary Salaries Survey" xfId="5343"/>
    <cellStyle name="Percent 2 3" xfId="5344"/>
    <cellStyle name="Percent 2_Tertiary Salaries Survey" xfId="5345"/>
    <cellStyle name="Percent 3" xfId="5346"/>
    <cellStyle name="Percent 3 2" xfId="5347"/>
    <cellStyle name="Percent 3 2 2" xfId="5348"/>
    <cellStyle name="Percent 3 2 2 2" xfId="5349"/>
    <cellStyle name="Percent 3 2 2 2 2" xfId="29627"/>
    <cellStyle name="Percent 3 2 2 2 3" xfId="29628"/>
    <cellStyle name="Percent 3 2 2 3" xfId="5350"/>
    <cellStyle name="Percent 3 2 2 3 2" xfId="29629"/>
    <cellStyle name="Percent 3 2 2 3 3" xfId="29630"/>
    <cellStyle name="Percent 3 2 2 4" xfId="29631"/>
    <cellStyle name="Percent 3 2 2 5" xfId="29632"/>
    <cellStyle name="Percent 3 2 3" xfId="5351"/>
    <cellStyle name="Percent 3 2 3 2" xfId="5352"/>
    <cellStyle name="Percent 3 2 3 2 2" xfId="29633"/>
    <cellStyle name="Percent 3 2 3 2 3" xfId="29634"/>
    <cellStyle name="Percent 3 2 3 3" xfId="5353"/>
    <cellStyle name="Percent 3 2 3 3 2" xfId="29635"/>
    <cellStyle name="Percent 3 2 3 3 3" xfId="29636"/>
    <cellStyle name="Percent 3 2 3 4" xfId="29637"/>
    <cellStyle name="Percent 3 2 3 5" xfId="29638"/>
    <cellStyle name="Percent 3 2 4" xfId="5354"/>
    <cellStyle name="Percent 3 2 4 2" xfId="29639"/>
    <cellStyle name="Percent 3 2 4 3" xfId="29640"/>
    <cellStyle name="Percent 3 2 5" xfId="5355"/>
    <cellStyle name="Percent 3 2 5 2" xfId="29641"/>
    <cellStyle name="Percent 3 2 5 3" xfId="29642"/>
    <cellStyle name="Percent 3 2 6" xfId="29643"/>
    <cellStyle name="Percent 3 2 7" xfId="29644"/>
    <cellStyle name="Percent 3 3" xfId="5356"/>
    <cellStyle name="Percent 3 3 2" xfId="5357"/>
    <cellStyle name="Percent 3 3 2 2" xfId="29645"/>
    <cellStyle name="Percent 3 3 2 3" xfId="29646"/>
    <cellStyle name="Percent 3 3 3" xfId="5358"/>
    <cellStyle name="Percent 3 3 3 2" xfId="29647"/>
    <cellStyle name="Percent 3 3 3 3" xfId="29648"/>
    <cellStyle name="Percent 3 3 4" xfId="29649"/>
    <cellStyle name="Percent 3 3 5" xfId="29650"/>
    <cellStyle name="Percent 3_Tertiary Salaries Survey" xfId="5359"/>
    <cellStyle name="Percent 4" xfId="5360"/>
    <cellStyle name="Percent 5" xfId="5361"/>
    <cellStyle name="Percent 6" xfId="5362"/>
    <cellStyle name="Percent 7" xfId="5363"/>
    <cellStyle name="Percent 8" xfId="5364"/>
    <cellStyle name="Percent 9" xfId="5365"/>
    <cellStyle name="Prozent_SubCatperStud" xfId="64"/>
    <cellStyle name="row" xfId="65"/>
    <cellStyle name="row 10" xfId="5366"/>
    <cellStyle name="row 11" xfId="5367"/>
    <cellStyle name="row 12" xfId="5368"/>
    <cellStyle name="row 13" xfId="5369"/>
    <cellStyle name="row 13 2" xfId="29651"/>
    <cellStyle name="row 13 3" xfId="29652"/>
    <cellStyle name="row 14" xfId="24118"/>
    <cellStyle name="row 14 2" xfId="29653"/>
    <cellStyle name="row 14 3" xfId="29654"/>
    <cellStyle name="row 15" xfId="29655"/>
    <cellStyle name="row 15 2" xfId="29656"/>
    <cellStyle name="row 16" xfId="29657"/>
    <cellStyle name="row 17" xfId="29658"/>
    <cellStyle name="row 2" xfId="5370"/>
    <cellStyle name="row 2 10" xfId="5371"/>
    <cellStyle name="row 2 10 2" xfId="5372"/>
    <cellStyle name="row 2 10 2 2" xfId="5373"/>
    <cellStyle name="row 2 10 2_Tertiary Salaries Survey" xfId="5374"/>
    <cellStyle name="row 2 10 3" xfId="5375"/>
    <cellStyle name="row 2 10 3 2" xfId="5376"/>
    <cellStyle name="row 2 10 3_Tertiary Salaries Survey" xfId="5377"/>
    <cellStyle name="row 2 10 4" xfId="5378"/>
    <cellStyle name="row 2 10 5" xfId="5379"/>
    <cellStyle name="row 2 10 6" xfId="5380"/>
    <cellStyle name="row 2 10_Tertiary Salaries Survey" xfId="5381"/>
    <cellStyle name="row 2 11" xfId="5382"/>
    <cellStyle name="row 2 11 2" xfId="5383"/>
    <cellStyle name="row 2 11 2 2" xfId="5384"/>
    <cellStyle name="row 2 11 2_Tertiary Salaries Survey" xfId="5385"/>
    <cellStyle name="row 2 11 3" xfId="5386"/>
    <cellStyle name="row 2 11 3 2" xfId="5387"/>
    <cellStyle name="row 2 11 3_Tertiary Salaries Survey" xfId="5388"/>
    <cellStyle name="row 2 11 4" xfId="5389"/>
    <cellStyle name="row 2 11 5" xfId="5390"/>
    <cellStyle name="row 2 11 6" xfId="5391"/>
    <cellStyle name="row 2 11_Tertiary Salaries Survey" xfId="5392"/>
    <cellStyle name="row 2 12" xfId="5393"/>
    <cellStyle name="row 2 13" xfId="5394"/>
    <cellStyle name="row 2 14" xfId="5395"/>
    <cellStyle name="row 2 15" xfId="5396"/>
    <cellStyle name="row 2 16" xfId="29659"/>
    <cellStyle name="row 2 17" xfId="29660"/>
    <cellStyle name="row 2 18" xfId="29661"/>
    <cellStyle name="row 2 2" xfId="5397"/>
    <cellStyle name="row 2 2 2" xfId="5398"/>
    <cellStyle name="row 2 2 2 2" xfId="5399"/>
    <cellStyle name="row 2 2 2 2 2" xfId="5400"/>
    <cellStyle name="row 2 2 2 2 3" xfId="5401"/>
    <cellStyle name="row 2 2 2 2 4" xfId="5402"/>
    <cellStyle name="row 2 2 2 2 5" xfId="5403"/>
    <cellStyle name="row 2 2 2 2_Tertiary Salaries Survey" xfId="5404"/>
    <cellStyle name="row 2 2 2 3" xfId="5405"/>
    <cellStyle name="row 2 2 2 4" xfId="5406"/>
    <cellStyle name="row 2 2 2 5" xfId="5407"/>
    <cellStyle name="row 2 2 2 6" xfId="5408"/>
    <cellStyle name="row 2 2 2_STUD aligned by INSTIT" xfId="5409"/>
    <cellStyle name="row 2 2 3" xfId="5410"/>
    <cellStyle name="row 2 2 3 2" xfId="5411"/>
    <cellStyle name="row 2 2 3 3" xfId="5412"/>
    <cellStyle name="row 2 2 3 4" xfId="5413"/>
    <cellStyle name="row 2 2 3 5" xfId="5414"/>
    <cellStyle name="row 2 2 3_Tertiary Salaries Survey" xfId="5415"/>
    <cellStyle name="row 2 2 4" xfId="5416"/>
    <cellStyle name="row 2 2 5" xfId="5417"/>
    <cellStyle name="row 2 2 6" xfId="5418"/>
    <cellStyle name="row 2 2 7" xfId="5419"/>
    <cellStyle name="row 2 2_STUD aligned by INSTIT" xfId="5420"/>
    <cellStyle name="row 2 3" xfId="5421"/>
    <cellStyle name="row 2 3 2" xfId="5422"/>
    <cellStyle name="row 2 3 2 2" xfId="5423"/>
    <cellStyle name="row 2 3 2 3" xfId="5424"/>
    <cellStyle name="row 2 3 2 4" xfId="5425"/>
    <cellStyle name="row 2 3 2 5" xfId="5426"/>
    <cellStyle name="row 2 3 2_Tertiary Salaries Survey" xfId="5427"/>
    <cellStyle name="row 2 3 3" xfId="5428"/>
    <cellStyle name="row 2 3 4" xfId="5429"/>
    <cellStyle name="row 2 3 5" xfId="5430"/>
    <cellStyle name="row 2 3 6" xfId="5431"/>
    <cellStyle name="row 2 3_STUD aligned by INSTIT" xfId="5432"/>
    <cellStyle name="row 2 4" xfId="5433"/>
    <cellStyle name="row 2 4 10" xfId="5434"/>
    <cellStyle name="row 2 4 2" xfId="5435"/>
    <cellStyle name="row 2 4 2 2" xfId="5436"/>
    <cellStyle name="row 2 4 2 3" xfId="5437"/>
    <cellStyle name="row 2 4 2 4" xfId="5438"/>
    <cellStyle name="row 2 4 2 5" xfId="5439"/>
    <cellStyle name="row 2 4 2_Tertiary Salaries Survey" xfId="5440"/>
    <cellStyle name="row 2 4 3" xfId="5441"/>
    <cellStyle name="row 2 4 3 2" xfId="5442"/>
    <cellStyle name="row 2 4 3 2 2" xfId="5443"/>
    <cellStyle name="row 2 4 3 2_Tertiary Salaries Survey" xfId="5444"/>
    <cellStyle name="row 2 4 3 3" xfId="5445"/>
    <cellStyle name="row 2 4 3 3 2" xfId="5446"/>
    <cellStyle name="row 2 4 3 3_Tertiary Salaries Survey" xfId="5447"/>
    <cellStyle name="row 2 4 3 4" xfId="5448"/>
    <cellStyle name="row 2 4 3 5" xfId="5449"/>
    <cellStyle name="row 2 4 3 6" xfId="5450"/>
    <cellStyle name="row 2 4 3_Tertiary Salaries Survey" xfId="5451"/>
    <cellStyle name="row 2 4 4" xfId="5452"/>
    <cellStyle name="row 2 4 4 2" xfId="5453"/>
    <cellStyle name="row 2 4 4 2 2" xfId="5454"/>
    <cellStyle name="row 2 4 4 2_Tertiary Salaries Survey" xfId="5455"/>
    <cellStyle name="row 2 4 4 3" xfId="5456"/>
    <cellStyle name="row 2 4 4 3 2" xfId="5457"/>
    <cellStyle name="row 2 4 4 3_Tertiary Salaries Survey" xfId="5458"/>
    <cellStyle name="row 2 4 4 4" xfId="5459"/>
    <cellStyle name="row 2 4 4 5" xfId="5460"/>
    <cellStyle name="row 2 4 4 6" xfId="5461"/>
    <cellStyle name="row 2 4 4_Tertiary Salaries Survey" xfId="5462"/>
    <cellStyle name="row 2 4 5" xfId="5463"/>
    <cellStyle name="row 2 4 5 2" xfId="5464"/>
    <cellStyle name="row 2 4 5 2 2" xfId="5465"/>
    <cellStyle name="row 2 4 5 2_Tertiary Salaries Survey" xfId="5466"/>
    <cellStyle name="row 2 4 5 3" xfId="5467"/>
    <cellStyle name="row 2 4 5 3 2" xfId="5468"/>
    <cellStyle name="row 2 4 5 3_Tertiary Salaries Survey" xfId="5469"/>
    <cellStyle name="row 2 4 5 4" xfId="5470"/>
    <cellStyle name="row 2 4 5 5" xfId="5471"/>
    <cellStyle name="row 2 4 5 6" xfId="5472"/>
    <cellStyle name="row 2 4 5_Tertiary Salaries Survey" xfId="5473"/>
    <cellStyle name="row 2 4 6" xfId="5474"/>
    <cellStyle name="row 2 4 6 2" xfId="5475"/>
    <cellStyle name="row 2 4 6 2 2" xfId="5476"/>
    <cellStyle name="row 2 4 6 2_Tertiary Salaries Survey" xfId="5477"/>
    <cellStyle name="row 2 4 6 3" xfId="5478"/>
    <cellStyle name="row 2 4 6 3 2" xfId="5479"/>
    <cellStyle name="row 2 4 6 3_Tertiary Salaries Survey" xfId="5480"/>
    <cellStyle name="row 2 4 6 4" xfId="5481"/>
    <cellStyle name="row 2 4 6 5" xfId="5482"/>
    <cellStyle name="row 2 4 6 6" xfId="5483"/>
    <cellStyle name="row 2 4 6_Tertiary Salaries Survey" xfId="5484"/>
    <cellStyle name="row 2 4 7" xfId="5485"/>
    <cellStyle name="row 2 4 8" xfId="5486"/>
    <cellStyle name="row 2 4 9" xfId="5487"/>
    <cellStyle name="row 2 4_STUD aligned by INSTIT" xfId="5488"/>
    <cellStyle name="row 2 5" xfId="5489"/>
    <cellStyle name="row 2 5 10" xfId="5490"/>
    <cellStyle name="row 2 5 2" xfId="5491"/>
    <cellStyle name="row 2 5 2 2" xfId="5492"/>
    <cellStyle name="row 2 5 2 2 2" xfId="5493"/>
    <cellStyle name="row 2 5 2 2_Tertiary Salaries Survey" xfId="5494"/>
    <cellStyle name="row 2 5 2 3" xfId="5495"/>
    <cellStyle name="row 2 5 2 3 2" xfId="5496"/>
    <cellStyle name="row 2 5 2 3_Tertiary Salaries Survey" xfId="5497"/>
    <cellStyle name="row 2 5 2 4" xfId="5498"/>
    <cellStyle name="row 2 5 2 5" xfId="5499"/>
    <cellStyle name="row 2 5 2_Tertiary Salaries Survey" xfId="5500"/>
    <cellStyle name="row 2 5 3" xfId="5501"/>
    <cellStyle name="row 2 5 3 2" xfId="5502"/>
    <cellStyle name="row 2 5 3 2 2" xfId="5503"/>
    <cellStyle name="row 2 5 3 2_Tertiary Salaries Survey" xfId="5504"/>
    <cellStyle name="row 2 5 3 3" xfId="5505"/>
    <cellStyle name="row 2 5 3 3 2" xfId="5506"/>
    <cellStyle name="row 2 5 3 3_Tertiary Salaries Survey" xfId="5507"/>
    <cellStyle name="row 2 5 3 4" xfId="5508"/>
    <cellStyle name="row 2 5 3 5" xfId="5509"/>
    <cellStyle name="row 2 5 3 6" xfId="5510"/>
    <cellStyle name="row 2 5 3 7" xfId="5511"/>
    <cellStyle name="row 2 5 3_Tertiary Salaries Survey" xfId="5512"/>
    <cellStyle name="row 2 5 4" xfId="5513"/>
    <cellStyle name="row 2 5 4 2" xfId="5514"/>
    <cellStyle name="row 2 5 4 2 2" xfId="5515"/>
    <cellStyle name="row 2 5 4 2_Tertiary Salaries Survey" xfId="5516"/>
    <cellStyle name="row 2 5 4 3" xfId="5517"/>
    <cellStyle name="row 2 5 4 3 2" xfId="5518"/>
    <cellStyle name="row 2 5 4 3_Tertiary Salaries Survey" xfId="5519"/>
    <cellStyle name="row 2 5 4 4" xfId="5520"/>
    <cellStyle name="row 2 5 4 5" xfId="5521"/>
    <cellStyle name="row 2 5 4 6" xfId="5522"/>
    <cellStyle name="row 2 5 4_Tertiary Salaries Survey" xfId="5523"/>
    <cellStyle name="row 2 5 5" xfId="5524"/>
    <cellStyle name="row 2 5 5 2" xfId="5525"/>
    <cellStyle name="row 2 5 5 2 2" xfId="5526"/>
    <cellStyle name="row 2 5 5 2_Tertiary Salaries Survey" xfId="5527"/>
    <cellStyle name="row 2 5 5 3" xfId="5528"/>
    <cellStyle name="row 2 5 5 3 2" xfId="5529"/>
    <cellStyle name="row 2 5 5 3_Tertiary Salaries Survey" xfId="5530"/>
    <cellStyle name="row 2 5 5 4" xfId="5531"/>
    <cellStyle name="row 2 5 5 5" xfId="5532"/>
    <cellStyle name="row 2 5 5 6" xfId="5533"/>
    <cellStyle name="row 2 5 5_Tertiary Salaries Survey" xfId="5534"/>
    <cellStyle name="row 2 5 6" xfId="5535"/>
    <cellStyle name="row 2 5 6 2" xfId="5536"/>
    <cellStyle name="row 2 5 6 2 2" xfId="5537"/>
    <cellStyle name="row 2 5 6 2_Tertiary Salaries Survey" xfId="5538"/>
    <cellStyle name="row 2 5 6 3" xfId="5539"/>
    <cellStyle name="row 2 5 6 3 2" xfId="5540"/>
    <cellStyle name="row 2 5 6 3_Tertiary Salaries Survey" xfId="5541"/>
    <cellStyle name="row 2 5 6 4" xfId="5542"/>
    <cellStyle name="row 2 5 6 5" xfId="5543"/>
    <cellStyle name="row 2 5 6 6" xfId="5544"/>
    <cellStyle name="row 2 5 6_Tertiary Salaries Survey" xfId="5545"/>
    <cellStyle name="row 2 5 7" xfId="5546"/>
    <cellStyle name="row 2 5 7 2" xfId="5547"/>
    <cellStyle name="row 2 5 7_Tertiary Salaries Survey" xfId="5548"/>
    <cellStyle name="row 2 5 8" xfId="5549"/>
    <cellStyle name="row 2 5 8 2" xfId="5550"/>
    <cellStyle name="row 2 5 8_Tertiary Salaries Survey" xfId="5551"/>
    <cellStyle name="row 2 5 9" xfId="5552"/>
    <cellStyle name="row 2 5_STUD aligned by INSTIT" xfId="5553"/>
    <cellStyle name="row 2 6" xfId="5554"/>
    <cellStyle name="row 2 6 10" xfId="5555"/>
    <cellStyle name="row 2 6 2" xfId="5556"/>
    <cellStyle name="row 2 6 2 2" xfId="5557"/>
    <cellStyle name="row 2 6 2 2 2" xfId="5558"/>
    <cellStyle name="row 2 6 2 2_Tertiary Salaries Survey" xfId="5559"/>
    <cellStyle name="row 2 6 2 3" xfId="5560"/>
    <cellStyle name="row 2 6 2 3 2" xfId="5561"/>
    <cellStyle name="row 2 6 2 3_Tertiary Salaries Survey" xfId="5562"/>
    <cellStyle name="row 2 6 2 4" xfId="5563"/>
    <cellStyle name="row 2 6 2 5" xfId="5564"/>
    <cellStyle name="row 2 6 2_Tertiary Salaries Survey" xfId="5565"/>
    <cellStyle name="row 2 6 3" xfId="5566"/>
    <cellStyle name="row 2 6 3 2" xfId="5567"/>
    <cellStyle name="row 2 6 3 2 2" xfId="5568"/>
    <cellStyle name="row 2 6 3 2_Tertiary Salaries Survey" xfId="5569"/>
    <cellStyle name="row 2 6 3 3" xfId="5570"/>
    <cellStyle name="row 2 6 3 3 2" xfId="5571"/>
    <cellStyle name="row 2 6 3 3_Tertiary Salaries Survey" xfId="5572"/>
    <cellStyle name="row 2 6 3 4" xfId="5573"/>
    <cellStyle name="row 2 6 3 5" xfId="5574"/>
    <cellStyle name="row 2 6 3 6" xfId="5575"/>
    <cellStyle name="row 2 6 3 7" xfId="5576"/>
    <cellStyle name="row 2 6 3_Tertiary Salaries Survey" xfId="5577"/>
    <cellStyle name="row 2 6 4" xfId="5578"/>
    <cellStyle name="row 2 6 4 2" xfId="5579"/>
    <cellStyle name="row 2 6 4 2 2" xfId="5580"/>
    <cellStyle name="row 2 6 4 2_Tertiary Salaries Survey" xfId="5581"/>
    <cellStyle name="row 2 6 4 3" xfId="5582"/>
    <cellStyle name="row 2 6 4 3 2" xfId="5583"/>
    <cellStyle name="row 2 6 4 3_Tertiary Salaries Survey" xfId="5584"/>
    <cellStyle name="row 2 6 4 4" xfId="5585"/>
    <cellStyle name="row 2 6 4 5" xfId="5586"/>
    <cellStyle name="row 2 6 4 6" xfId="5587"/>
    <cellStyle name="row 2 6 4_Tertiary Salaries Survey" xfId="5588"/>
    <cellStyle name="row 2 6 5" xfId="5589"/>
    <cellStyle name="row 2 6 5 2" xfId="5590"/>
    <cellStyle name="row 2 6 5 2 2" xfId="5591"/>
    <cellStyle name="row 2 6 5 2_Tertiary Salaries Survey" xfId="5592"/>
    <cellStyle name="row 2 6 5 3" xfId="5593"/>
    <cellStyle name="row 2 6 5 3 2" xfId="5594"/>
    <cellStyle name="row 2 6 5 3_Tertiary Salaries Survey" xfId="5595"/>
    <cellStyle name="row 2 6 5 4" xfId="5596"/>
    <cellStyle name="row 2 6 5 5" xfId="5597"/>
    <cellStyle name="row 2 6 5 6" xfId="5598"/>
    <cellStyle name="row 2 6 5_Tertiary Salaries Survey" xfId="5599"/>
    <cellStyle name="row 2 6 6" xfId="5600"/>
    <cellStyle name="row 2 6 6 2" xfId="5601"/>
    <cellStyle name="row 2 6 6 2 2" xfId="5602"/>
    <cellStyle name="row 2 6 6 2_Tertiary Salaries Survey" xfId="5603"/>
    <cellStyle name="row 2 6 6 3" xfId="5604"/>
    <cellStyle name="row 2 6 6 3 2" xfId="5605"/>
    <cellStyle name="row 2 6 6 3_Tertiary Salaries Survey" xfId="5606"/>
    <cellStyle name="row 2 6 6 4" xfId="5607"/>
    <cellStyle name="row 2 6 6 5" xfId="5608"/>
    <cellStyle name="row 2 6 6 6" xfId="5609"/>
    <cellStyle name="row 2 6 6_Tertiary Salaries Survey" xfId="5610"/>
    <cellStyle name="row 2 6 7" xfId="5611"/>
    <cellStyle name="row 2 6 7 2" xfId="5612"/>
    <cellStyle name="row 2 6 7_Tertiary Salaries Survey" xfId="5613"/>
    <cellStyle name="row 2 6 8" xfId="5614"/>
    <cellStyle name="row 2 6 8 2" xfId="5615"/>
    <cellStyle name="row 2 6 8_Tertiary Salaries Survey" xfId="5616"/>
    <cellStyle name="row 2 6 9" xfId="5617"/>
    <cellStyle name="row 2 6_STUD aligned by INSTIT" xfId="5618"/>
    <cellStyle name="row 2 7" xfId="5619"/>
    <cellStyle name="row 2 7 2" xfId="5620"/>
    <cellStyle name="row 2 7 3" xfId="5621"/>
    <cellStyle name="row 2 7 4" xfId="5622"/>
    <cellStyle name="row 2 7 5" xfId="5623"/>
    <cellStyle name="row 2 7_Tertiary Salaries Survey" xfId="5624"/>
    <cellStyle name="row 2 8" xfId="5625"/>
    <cellStyle name="row 2 8 2" xfId="5626"/>
    <cellStyle name="row 2 8 2 2" xfId="5627"/>
    <cellStyle name="row 2 8 2_Tertiary Salaries Survey" xfId="5628"/>
    <cellStyle name="row 2 8 3" xfId="5629"/>
    <cellStyle name="row 2 8 3 2" xfId="5630"/>
    <cellStyle name="row 2 8 3_Tertiary Salaries Survey" xfId="5631"/>
    <cellStyle name="row 2 8 4" xfId="5632"/>
    <cellStyle name="row 2 8 5" xfId="5633"/>
    <cellStyle name="row 2 8 6" xfId="5634"/>
    <cellStyle name="row 2 8_Tertiary Salaries Survey" xfId="5635"/>
    <cellStyle name="row 2 9" xfId="5636"/>
    <cellStyle name="row 2 9 2" xfId="5637"/>
    <cellStyle name="row 2 9 2 2" xfId="5638"/>
    <cellStyle name="row 2 9 2_Tertiary Salaries Survey" xfId="5639"/>
    <cellStyle name="row 2 9 3" xfId="5640"/>
    <cellStyle name="row 2 9 3 2" xfId="5641"/>
    <cellStyle name="row 2 9 3_Tertiary Salaries Survey" xfId="5642"/>
    <cellStyle name="row 2 9 4" xfId="5643"/>
    <cellStyle name="row 2 9 5" xfId="5644"/>
    <cellStyle name="row 2 9 6" xfId="5645"/>
    <cellStyle name="row 2 9_Tertiary Salaries Survey" xfId="5646"/>
    <cellStyle name="row 2_STUD aligned by INSTIT" xfId="5647"/>
    <cellStyle name="row 3" xfId="5648"/>
    <cellStyle name="row 3 2" xfId="5649"/>
    <cellStyle name="row 3 2 2" xfId="5650"/>
    <cellStyle name="row 3 2 2 2" xfId="5651"/>
    <cellStyle name="row 3 2 2 3" xfId="5652"/>
    <cellStyle name="row 3 2 2 4" xfId="5653"/>
    <cellStyle name="row 3 2 2 5" xfId="5654"/>
    <cellStyle name="row 3 2 2_Tertiary Salaries Survey" xfId="5655"/>
    <cellStyle name="row 3 2 3" xfId="5656"/>
    <cellStyle name="row 3 2 4" xfId="5657"/>
    <cellStyle name="row 3 2 5" xfId="5658"/>
    <cellStyle name="row 3 2 6" xfId="5659"/>
    <cellStyle name="row 3 2_STUD aligned by INSTIT" xfId="5660"/>
    <cellStyle name="row 3 3" xfId="5661"/>
    <cellStyle name="row 3 3 2" xfId="5662"/>
    <cellStyle name="row 3 3 3" xfId="5663"/>
    <cellStyle name="row 3 3 4" xfId="5664"/>
    <cellStyle name="row 3 3 5" xfId="5665"/>
    <cellStyle name="row 3 3_Tertiary Salaries Survey" xfId="5666"/>
    <cellStyle name="row 3 4" xfId="5667"/>
    <cellStyle name="row 3 5" xfId="5668"/>
    <cellStyle name="row 3 6" xfId="5669"/>
    <cellStyle name="row 3 7" xfId="5670"/>
    <cellStyle name="row 3 8" xfId="5671"/>
    <cellStyle name="row 3_STUD aligned by INSTIT" xfId="5672"/>
    <cellStyle name="row 4" xfId="5673"/>
    <cellStyle name="row 4 2" xfId="5674"/>
    <cellStyle name="row 4 2 2" xfId="5675"/>
    <cellStyle name="row 4 2 2 2" xfId="5676"/>
    <cellStyle name="row 4 2 2 3" xfId="5677"/>
    <cellStyle name="row 4 2 2 4" xfId="5678"/>
    <cellStyle name="row 4 2 2 5" xfId="5679"/>
    <cellStyle name="row 4 2 2_Tertiary Salaries Survey" xfId="5680"/>
    <cellStyle name="row 4 2 3" xfId="5681"/>
    <cellStyle name="row 4 2 4" xfId="5682"/>
    <cellStyle name="row 4 2 5" xfId="5683"/>
    <cellStyle name="row 4 2 6" xfId="5684"/>
    <cellStyle name="row 4 2_STUD aligned by INSTIT" xfId="5685"/>
    <cellStyle name="row 4 3" xfId="5686"/>
    <cellStyle name="row 4 3 2" xfId="5687"/>
    <cellStyle name="row 4 3 3" xfId="5688"/>
    <cellStyle name="row 4 3 4" xfId="5689"/>
    <cellStyle name="row 4 3 5" xfId="5690"/>
    <cellStyle name="row 4 3_Tertiary Salaries Survey" xfId="5691"/>
    <cellStyle name="row 4 4" xfId="5692"/>
    <cellStyle name="row 4 5" xfId="5693"/>
    <cellStyle name="row 4 6" xfId="5694"/>
    <cellStyle name="row 4 7" xfId="5695"/>
    <cellStyle name="row 4 8" xfId="5696"/>
    <cellStyle name="row 4_STUD aligned by INSTIT" xfId="5697"/>
    <cellStyle name="row 5" xfId="5698"/>
    <cellStyle name="row 5 10" xfId="5699"/>
    <cellStyle name="row 5 2" xfId="5700"/>
    <cellStyle name="row 5 2 2" xfId="5701"/>
    <cellStyle name="row 5 2 3" xfId="5702"/>
    <cellStyle name="row 5 2 4" xfId="5703"/>
    <cellStyle name="row 5 2 5" xfId="5704"/>
    <cellStyle name="row 5 2_Tertiary Salaries Survey" xfId="5705"/>
    <cellStyle name="row 5 3" xfId="5706"/>
    <cellStyle name="row 5 3 2" xfId="5707"/>
    <cellStyle name="row 5 3 2 2" xfId="5708"/>
    <cellStyle name="row 5 3 2_Tertiary Salaries Survey" xfId="5709"/>
    <cellStyle name="row 5 3 3" xfId="5710"/>
    <cellStyle name="row 5 3 3 2" xfId="5711"/>
    <cellStyle name="row 5 3 3_Tertiary Salaries Survey" xfId="5712"/>
    <cellStyle name="row 5 3 4" xfId="5713"/>
    <cellStyle name="row 5 3 5" xfId="5714"/>
    <cellStyle name="row 5 3 6" xfId="5715"/>
    <cellStyle name="row 5 3_Tertiary Salaries Survey" xfId="5716"/>
    <cellStyle name="row 5 4" xfId="5717"/>
    <cellStyle name="row 5 4 2" xfId="5718"/>
    <cellStyle name="row 5 4 2 2" xfId="5719"/>
    <cellStyle name="row 5 4 2_Tertiary Salaries Survey" xfId="5720"/>
    <cellStyle name="row 5 4 3" xfId="5721"/>
    <cellStyle name="row 5 4 3 2" xfId="5722"/>
    <cellStyle name="row 5 4 3_Tertiary Salaries Survey" xfId="5723"/>
    <cellStyle name="row 5 4 4" xfId="5724"/>
    <cellStyle name="row 5 4 5" xfId="5725"/>
    <cellStyle name="row 5 4 6" xfId="5726"/>
    <cellStyle name="row 5 4_Tertiary Salaries Survey" xfId="5727"/>
    <cellStyle name="row 5 5" xfId="5728"/>
    <cellStyle name="row 5 5 2" xfId="5729"/>
    <cellStyle name="row 5 5 2 2" xfId="5730"/>
    <cellStyle name="row 5 5 2_Tertiary Salaries Survey" xfId="5731"/>
    <cellStyle name="row 5 5 3" xfId="5732"/>
    <cellStyle name="row 5 5 3 2" xfId="5733"/>
    <cellStyle name="row 5 5 3_Tertiary Salaries Survey" xfId="5734"/>
    <cellStyle name="row 5 5 4" xfId="5735"/>
    <cellStyle name="row 5 5 5" xfId="5736"/>
    <cellStyle name="row 5 5 6" xfId="5737"/>
    <cellStyle name="row 5 5_Tertiary Salaries Survey" xfId="5738"/>
    <cellStyle name="row 5 6" xfId="5739"/>
    <cellStyle name="row 5 6 2" xfId="5740"/>
    <cellStyle name="row 5 6 2 2" xfId="5741"/>
    <cellStyle name="row 5 6 2_Tertiary Salaries Survey" xfId="5742"/>
    <cellStyle name="row 5 6 3" xfId="5743"/>
    <cellStyle name="row 5 6 3 2" xfId="5744"/>
    <cellStyle name="row 5 6 3_Tertiary Salaries Survey" xfId="5745"/>
    <cellStyle name="row 5 6 4" xfId="5746"/>
    <cellStyle name="row 5 6 5" xfId="5747"/>
    <cellStyle name="row 5 6 6" xfId="5748"/>
    <cellStyle name="row 5 6_Tertiary Salaries Survey" xfId="5749"/>
    <cellStyle name="row 5 7" xfId="5750"/>
    <cellStyle name="row 5 8" xfId="5751"/>
    <cellStyle name="row 5 9" xfId="5752"/>
    <cellStyle name="row 5_STUD aligned by INSTIT" xfId="5753"/>
    <cellStyle name="row 6" xfId="5754"/>
    <cellStyle name="row 6 10" xfId="5755"/>
    <cellStyle name="row 6 2" xfId="5756"/>
    <cellStyle name="row 6 2 2" xfId="5757"/>
    <cellStyle name="row 6 2 2 2" xfId="5758"/>
    <cellStyle name="row 6 2 2_Tertiary Salaries Survey" xfId="5759"/>
    <cellStyle name="row 6 2 3" xfId="5760"/>
    <cellStyle name="row 6 2 3 2" xfId="5761"/>
    <cellStyle name="row 6 2 3_Tertiary Salaries Survey" xfId="5762"/>
    <cellStyle name="row 6 2 4" xfId="5763"/>
    <cellStyle name="row 6 2 5" xfId="5764"/>
    <cellStyle name="row 6 2_Tertiary Salaries Survey" xfId="5765"/>
    <cellStyle name="row 6 3" xfId="5766"/>
    <cellStyle name="row 6 3 2" xfId="5767"/>
    <cellStyle name="row 6 3 2 2" xfId="5768"/>
    <cellStyle name="row 6 3 2_Tertiary Salaries Survey" xfId="5769"/>
    <cellStyle name="row 6 3 3" xfId="5770"/>
    <cellStyle name="row 6 3 3 2" xfId="5771"/>
    <cellStyle name="row 6 3 3_Tertiary Salaries Survey" xfId="5772"/>
    <cellStyle name="row 6 3 4" xfId="5773"/>
    <cellStyle name="row 6 3 5" xfId="5774"/>
    <cellStyle name="row 6 3 6" xfId="5775"/>
    <cellStyle name="row 6 3 7" xfId="5776"/>
    <cellStyle name="row 6 3_Tertiary Salaries Survey" xfId="5777"/>
    <cellStyle name="row 6 4" xfId="5778"/>
    <cellStyle name="row 6 4 2" xfId="5779"/>
    <cellStyle name="row 6 4 2 2" xfId="5780"/>
    <cellStyle name="row 6 4 2_Tertiary Salaries Survey" xfId="5781"/>
    <cellStyle name="row 6 4 3" xfId="5782"/>
    <cellStyle name="row 6 4 3 2" xfId="5783"/>
    <cellStyle name="row 6 4 3_Tertiary Salaries Survey" xfId="5784"/>
    <cellStyle name="row 6 4 4" xfId="5785"/>
    <cellStyle name="row 6 4 5" xfId="5786"/>
    <cellStyle name="row 6 4 6" xfId="5787"/>
    <cellStyle name="row 6 4_Tertiary Salaries Survey" xfId="5788"/>
    <cellStyle name="row 6 5" xfId="5789"/>
    <cellStyle name="row 6 5 2" xfId="5790"/>
    <cellStyle name="row 6 5 2 2" xfId="5791"/>
    <cellStyle name="row 6 5 2_Tertiary Salaries Survey" xfId="5792"/>
    <cellStyle name="row 6 5 3" xfId="5793"/>
    <cellStyle name="row 6 5 3 2" xfId="5794"/>
    <cellStyle name="row 6 5 3_Tertiary Salaries Survey" xfId="5795"/>
    <cellStyle name="row 6 5 4" xfId="5796"/>
    <cellStyle name="row 6 5 5" xfId="5797"/>
    <cellStyle name="row 6 5 6" xfId="5798"/>
    <cellStyle name="row 6 5_Tertiary Salaries Survey" xfId="5799"/>
    <cellStyle name="row 6 6" xfId="5800"/>
    <cellStyle name="row 6 6 2" xfId="5801"/>
    <cellStyle name="row 6 6 2 2" xfId="5802"/>
    <cellStyle name="row 6 6 2_Tertiary Salaries Survey" xfId="5803"/>
    <cellStyle name="row 6 6 3" xfId="5804"/>
    <cellStyle name="row 6 6 3 2" xfId="5805"/>
    <cellStyle name="row 6 6 3_Tertiary Salaries Survey" xfId="5806"/>
    <cellStyle name="row 6 6 4" xfId="5807"/>
    <cellStyle name="row 6 6 5" xfId="5808"/>
    <cellStyle name="row 6 6 6" xfId="5809"/>
    <cellStyle name="row 6 6_Tertiary Salaries Survey" xfId="5810"/>
    <cellStyle name="row 6 7" xfId="5811"/>
    <cellStyle name="row 6 7 2" xfId="5812"/>
    <cellStyle name="row 6 7_Tertiary Salaries Survey" xfId="5813"/>
    <cellStyle name="row 6 8" xfId="5814"/>
    <cellStyle name="row 6 8 2" xfId="5815"/>
    <cellStyle name="row 6 8_Tertiary Salaries Survey" xfId="5816"/>
    <cellStyle name="row 6 9" xfId="5817"/>
    <cellStyle name="row 6_STUD aligned by INSTIT" xfId="5818"/>
    <cellStyle name="row 7" xfId="5819"/>
    <cellStyle name="row 7 2" xfId="5820"/>
    <cellStyle name="row 7 3" xfId="5821"/>
    <cellStyle name="row 7 4" xfId="5822"/>
    <cellStyle name="row 7 5" xfId="5823"/>
    <cellStyle name="row 7_Tertiary Salaries Survey" xfId="5824"/>
    <cellStyle name="row 8" xfId="5825"/>
    <cellStyle name="row 9" xfId="5826"/>
    <cellStyle name="row_ENRLSUP5" xfId="5827"/>
    <cellStyle name="RowCodes" xfId="66"/>
    <cellStyle name="RowCodes 2" xfId="5828"/>
    <cellStyle name="Row-Col Headings" xfId="67"/>
    <cellStyle name="Row-Col Headings 2" xfId="5829"/>
    <cellStyle name="RowTitles" xfId="68"/>
    <cellStyle name="RowTitles 10" xfId="29662"/>
    <cellStyle name="RowTitles 10 2" xfId="29663"/>
    <cellStyle name="RowTitles 11" xfId="29664"/>
    <cellStyle name="RowTitles 2" xfId="5830"/>
    <cellStyle name="RowTitles 2 2" xfId="5831"/>
    <cellStyle name="RowTitles 2 2 2" xfId="5832"/>
    <cellStyle name="RowTitles 2 2 2 2" xfId="5833"/>
    <cellStyle name="RowTitles 2 2 2 3" xfId="5834"/>
    <cellStyle name="RowTitles 2 2 2 4" xfId="5835"/>
    <cellStyle name="RowTitles 2 2 2 5" xfId="5836"/>
    <cellStyle name="RowTitles 2 2 2_Tertiary Salaries Survey" xfId="5837"/>
    <cellStyle name="RowTitles 2 2 3" xfId="5838"/>
    <cellStyle name="RowTitles 2 2 4" xfId="5839"/>
    <cellStyle name="RowTitles 2 2 5" xfId="5840"/>
    <cellStyle name="RowTitles 2 2 6" xfId="5841"/>
    <cellStyle name="RowTitles 2 2_STUD aligned by INSTIT" xfId="5842"/>
    <cellStyle name="RowTitles 2 3" xfId="5843"/>
    <cellStyle name="RowTitles 2 3 2" xfId="5844"/>
    <cellStyle name="RowTitles 2 3 3" xfId="5845"/>
    <cellStyle name="RowTitles 2 3 4" xfId="5846"/>
    <cellStyle name="RowTitles 2 3 5" xfId="5847"/>
    <cellStyle name="RowTitles 2 3_Tertiary Salaries Survey" xfId="5848"/>
    <cellStyle name="RowTitles 2 4" xfId="5849"/>
    <cellStyle name="RowTitles 2 5" xfId="5850"/>
    <cellStyle name="RowTitles 2 6" xfId="5851"/>
    <cellStyle name="RowTitles 2 7" xfId="5852"/>
    <cellStyle name="RowTitles 2_STUD aligned by INSTIT" xfId="5853"/>
    <cellStyle name="RowTitles 3" xfId="5854"/>
    <cellStyle name="RowTitles 3 2" xfId="5855"/>
    <cellStyle name="RowTitles 3 2 2" xfId="5856"/>
    <cellStyle name="RowTitles 3 2 3" xfId="5857"/>
    <cellStyle name="RowTitles 3 2 4" xfId="5858"/>
    <cellStyle name="RowTitles 3 2 5" xfId="5859"/>
    <cellStyle name="RowTitles 3 2_Tertiary Salaries Survey" xfId="5860"/>
    <cellStyle name="RowTitles 3 3" xfId="5861"/>
    <cellStyle name="RowTitles 3 4" xfId="5862"/>
    <cellStyle name="RowTitles 3 5" xfId="5863"/>
    <cellStyle name="RowTitles 3 6" xfId="5864"/>
    <cellStyle name="RowTitles 3_STUD aligned by INSTIT" xfId="5865"/>
    <cellStyle name="RowTitles 4" xfId="5866"/>
    <cellStyle name="RowTitles 4 2" xfId="5867"/>
    <cellStyle name="RowTitles 4 3" xfId="5868"/>
    <cellStyle name="RowTitles 4 4" xfId="5869"/>
    <cellStyle name="RowTitles 4 5" xfId="5870"/>
    <cellStyle name="RowTitles 4_Tertiary Salaries Survey" xfId="5871"/>
    <cellStyle name="RowTitles 5" xfId="5872"/>
    <cellStyle name="RowTitles 6" xfId="5873"/>
    <cellStyle name="RowTitles 7" xfId="5874"/>
    <cellStyle name="RowTitles 8" xfId="5875"/>
    <cellStyle name="RowTitles 9" xfId="29665"/>
    <cellStyle name="RowTitles 9 2" xfId="29666"/>
    <cellStyle name="RowTitles_CENTRAL_GOVT" xfId="5876"/>
    <cellStyle name="RowTitles1-Detail" xfId="69"/>
    <cellStyle name="RowTitles1-Detail 10" xfId="5877"/>
    <cellStyle name="RowTitles1-Detail 10 2" xfId="5878"/>
    <cellStyle name="RowTitles1-Detail 10 2 2" xfId="5879"/>
    <cellStyle name="RowTitles1-Detail 10 2 2 2" xfId="5880"/>
    <cellStyle name="RowTitles1-Detail 10 2 2_Tertiary Salaries Survey" xfId="5881"/>
    <cellStyle name="RowTitles1-Detail 10 2 3" xfId="5882"/>
    <cellStyle name="RowTitles1-Detail 10 2_Tertiary Salaries Survey" xfId="5883"/>
    <cellStyle name="RowTitles1-Detail 10 3" xfId="5884"/>
    <cellStyle name="RowTitles1-Detail 10 3 2" xfId="5885"/>
    <cellStyle name="RowTitles1-Detail 10 3 2 2" xfId="5886"/>
    <cellStyle name="RowTitles1-Detail 10 3 2_Tertiary Salaries Survey" xfId="5887"/>
    <cellStyle name="RowTitles1-Detail 10 3 3" xfId="5888"/>
    <cellStyle name="RowTitles1-Detail 10 3_Tertiary Salaries Survey" xfId="5889"/>
    <cellStyle name="RowTitles1-Detail 10 4" xfId="5890"/>
    <cellStyle name="RowTitles1-Detail 10 4 2" xfId="5891"/>
    <cellStyle name="RowTitles1-Detail 10 4_Tertiary Salaries Survey" xfId="5892"/>
    <cellStyle name="RowTitles1-Detail 10 5" xfId="5893"/>
    <cellStyle name="RowTitles1-Detail 10_Tertiary Salaries Survey" xfId="5894"/>
    <cellStyle name="RowTitles1-Detail 11" xfId="5895"/>
    <cellStyle name="RowTitles1-Detail 11 2" xfId="5896"/>
    <cellStyle name="RowTitles1-Detail 11 2 2" xfId="5897"/>
    <cellStyle name="RowTitles1-Detail 11 2 2 2" xfId="5898"/>
    <cellStyle name="RowTitles1-Detail 11 2 2_Tertiary Salaries Survey" xfId="5899"/>
    <cellStyle name="RowTitles1-Detail 11 2 3" xfId="5900"/>
    <cellStyle name="RowTitles1-Detail 11 2_Tertiary Salaries Survey" xfId="5901"/>
    <cellStyle name="RowTitles1-Detail 11 3" xfId="5902"/>
    <cellStyle name="RowTitles1-Detail 11 3 2" xfId="5903"/>
    <cellStyle name="RowTitles1-Detail 11 3 2 2" xfId="5904"/>
    <cellStyle name="RowTitles1-Detail 11 3 2_Tertiary Salaries Survey" xfId="5905"/>
    <cellStyle name="RowTitles1-Detail 11 3 3" xfId="5906"/>
    <cellStyle name="RowTitles1-Detail 11 3_Tertiary Salaries Survey" xfId="5907"/>
    <cellStyle name="RowTitles1-Detail 11 4" xfId="5908"/>
    <cellStyle name="RowTitles1-Detail 11 4 2" xfId="5909"/>
    <cellStyle name="RowTitles1-Detail 11 4_Tertiary Salaries Survey" xfId="5910"/>
    <cellStyle name="RowTitles1-Detail 11 5" xfId="5911"/>
    <cellStyle name="RowTitles1-Detail 11_Tertiary Salaries Survey" xfId="5912"/>
    <cellStyle name="RowTitles1-Detail 12" xfId="5913"/>
    <cellStyle name="RowTitles1-Detail 12 2" xfId="5914"/>
    <cellStyle name="RowTitles1-Detail 12 2 2" xfId="5915"/>
    <cellStyle name="RowTitles1-Detail 12 2 2 2" xfId="5916"/>
    <cellStyle name="RowTitles1-Detail 12 2 2_Tertiary Salaries Survey" xfId="5917"/>
    <cellStyle name="RowTitles1-Detail 12 2 3" xfId="5918"/>
    <cellStyle name="RowTitles1-Detail 12 2_Tertiary Salaries Survey" xfId="5919"/>
    <cellStyle name="RowTitles1-Detail 12 3" xfId="5920"/>
    <cellStyle name="RowTitles1-Detail 12 3 2" xfId="5921"/>
    <cellStyle name="RowTitles1-Detail 12 3 2 2" xfId="5922"/>
    <cellStyle name="RowTitles1-Detail 12 3 2_Tertiary Salaries Survey" xfId="5923"/>
    <cellStyle name="RowTitles1-Detail 12 3 3" xfId="5924"/>
    <cellStyle name="RowTitles1-Detail 12 3_Tertiary Salaries Survey" xfId="5925"/>
    <cellStyle name="RowTitles1-Detail 12 4" xfId="5926"/>
    <cellStyle name="RowTitles1-Detail 12 4 2" xfId="5927"/>
    <cellStyle name="RowTitles1-Detail 12 4_Tertiary Salaries Survey" xfId="5928"/>
    <cellStyle name="RowTitles1-Detail 12 5" xfId="5929"/>
    <cellStyle name="RowTitles1-Detail 12_Tertiary Salaries Survey" xfId="5930"/>
    <cellStyle name="RowTitles1-Detail 13" xfId="5931"/>
    <cellStyle name="RowTitles1-Detail 13 2" xfId="5932"/>
    <cellStyle name="RowTitles1-Detail 13 2 2" xfId="5933"/>
    <cellStyle name="RowTitles1-Detail 13 2_Tertiary Salaries Survey" xfId="5934"/>
    <cellStyle name="RowTitles1-Detail 13 3" xfId="5935"/>
    <cellStyle name="RowTitles1-Detail 13_Tertiary Salaries Survey" xfId="5936"/>
    <cellStyle name="RowTitles1-Detail 14" xfId="5937"/>
    <cellStyle name="RowTitles1-Detail 15" xfId="5938"/>
    <cellStyle name="RowTitles1-Detail 16" xfId="29667"/>
    <cellStyle name="RowTitles1-Detail 16 2" xfId="29668"/>
    <cellStyle name="RowTitles1-Detail 17" xfId="29669"/>
    <cellStyle name="RowTitles1-Detail 17 2" xfId="29670"/>
    <cellStyle name="RowTitles1-Detail 18" xfId="29671"/>
    <cellStyle name="RowTitles1-Detail 18 2" xfId="29672"/>
    <cellStyle name="RowTitles1-Detail 19" xfId="29673"/>
    <cellStyle name="RowTitles1-Detail 19 2" xfId="29674"/>
    <cellStyle name="RowTitles1-Detail 2" xfId="5939"/>
    <cellStyle name="RowTitles1-Detail 2 10" xfId="5940"/>
    <cellStyle name="RowTitles1-Detail 2 10 2" xfId="5941"/>
    <cellStyle name="RowTitles1-Detail 2 10 2 2" xfId="5942"/>
    <cellStyle name="RowTitles1-Detail 2 10 2 2 2" xfId="5943"/>
    <cellStyle name="RowTitles1-Detail 2 10 2 2_Tertiary Salaries Survey" xfId="5944"/>
    <cellStyle name="RowTitles1-Detail 2 10 2 3" xfId="5945"/>
    <cellStyle name="RowTitles1-Detail 2 10 2_Tertiary Salaries Survey" xfId="5946"/>
    <cellStyle name="RowTitles1-Detail 2 10 3" xfId="5947"/>
    <cellStyle name="RowTitles1-Detail 2 10 3 2" xfId="5948"/>
    <cellStyle name="RowTitles1-Detail 2 10 3 2 2" xfId="5949"/>
    <cellStyle name="RowTitles1-Detail 2 10 3 2_Tertiary Salaries Survey" xfId="5950"/>
    <cellStyle name="RowTitles1-Detail 2 10 3 3" xfId="5951"/>
    <cellStyle name="RowTitles1-Detail 2 10 3_Tertiary Salaries Survey" xfId="5952"/>
    <cellStyle name="RowTitles1-Detail 2 10 4" xfId="5953"/>
    <cellStyle name="RowTitles1-Detail 2 10 5" xfId="5954"/>
    <cellStyle name="RowTitles1-Detail 2 10 5 2" xfId="5955"/>
    <cellStyle name="RowTitles1-Detail 2 10 5_Tertiary Salaries Survey" xfId="5956"/>
    <cellStyle name="RowTitles1-Detail 2 10 6" xfId="5957"/>
    <cellStyle name="RowTitles1-Detail 2 10_Tertiary Salaries Survey" xfId="5958"/>
    <cellStyle name="RowTitles1-Detail 2 11" xfId="5959"/>
    <cellStyle name="RowTitles1-Detail 2 11 2" xfId="5960"/>
    <cellStyle name="RowTitles1-Detail 2 11 2 2" xfId="5961"/>
    <cellStyle name="RowTitles1-Detail 2 11 2 2 2" xfId="5962"/>
    <cellStyle name="RowTitles1-Detail 2 11 2 2_Tertiary Salaries Survey" xfId="5963"/>
    <cellStyle name="RowTitles1-Detail 2 11 2 3" xfId="5964"/>
    <cellStyle name="RowTitles1-Detail 2 11 2_Tertiary Salaries Survey" xfId="5965"/>
    <cellStyle name="RowTitles1-Detail 2 11 3" xfId="5966"/>
    <cellStyle name="RowTitles1-Detail 2 11 3 2" xfId="5967"/>
    <cellStyle name="RowTitles1-Detail 2 11 3 2 2" xfId="5968"/>
    <cellStyle name="RowTitles1-Detail 2 11 3 2_Tertiary Salaries Survey" xfId="5969"/>
    <cellStyle name="RowTitles1-Detail 2 11 3 3" xfId="5970"/>
    <cellStyle name="RowTitles1-Detail 2 11 3_Tertiary Salaries Survey" xfId="5971"/>
    <cellStyle name="RowTitles1-Detail 2 11 4" xfId="5972"/>
    <cellStyle name="RowTitles1-Detail 2 11 4 2" xfId="5973"/>
    <cellStyle name="RowTitles1-Detail 2 11 4_Tertiary Salaries Survey" xfId="5974"/>
    <cellStyle name="RowTitles1-Detail 2 11 5" xfId="5975"/>
    <cellStyle name="RowTitles1-Detail 2 11_Tertiary Salaries Survey" xfId="5976"/>
    <cellStyle name="RowTitles1-Detail 2 12" xfId="5977"/>
    <cellStyle name="RowTitles1-Detail 2 12 2" xfId="5978"/>
    <cellStyle name="RowTitles1-Detail 2 12 2 2" xfId="5979"/>
    <cellStyle name="RowTitles1-Detail 2 12 2 2 2" xfId="5980"/>
    <cellStyle name="RowTitles1-Detail 2 12 2 2_Tertiary Salaries Survey" xfId="5981"/>
    <cellStyle name="RowTitles1-Detail 2 12 2 3" xfId="5982"/>
    <cellStyle name="RowTitles1-Detail 2 12 2_Tertiary Salaries Survey" xfId="5983"/>
    <cellStyle name="RowTitles1-Detail 2 12 3" xfId="5984"/>
    <cellStyle name="RowTitles1-Detail 2 12 3 2" xfId="5985"/>
    <cellStyle name="RowTitles1-Detail 2 12 3 2 2" xfId="5986"/>
    <cellStyle name="RowTitles1-Detail 2 12 3 2_Tertiary Salaries Survey" xfId="5987"/>
    <cellStyle name="RowTitles1-Detail 2 12 3 3" xfId="5988"/>
    <cellStyle name="RowTitles1-Detail 2 12 3_Tertiary Salaries Survey" xfId="5989"/>
    <cellStyle name="RowTitles1-Detail 2 12 4" xfId="5990"/>
    <cellStyle name="RowTitles1-Detail 2 12 4 2" xfId="5991"/>
    <cellStyle name="RowTitles1-Detail 2 12 4_Tertiary Salaries Survey" xfId="5992"/>
    <cellStyle name="RowTitles1-Detail 2 12 5" xfId="5993"/>
    <cellStyle name="RowTitles1-Detail 2 12_Tertiary Salaries Survey" xfId="5994"/>
    <cellStyle name="RowTitles1-Detail 2 13" xfId="5995"/>
    <cellStyle name="RowTitles1-Detail 2 13 2" xfId="5996"/>
    <cellStyle name="RowTitles1-Detail 2 13 2 2" xfId="5997"/>
    <cellStyle name="RowTitles1-Detail 2 13 2_Tertiary Salaries Survey" xfId="5998"/>
    <cellStyle name="RowTitles1-Detail 2 13 3" xfId="5999"/>
    <cellStyle name="RowTitles1-Detail 2 13_Tertiary Salaries Survey" xfId="6000"/>
    <cellStyle name="RowTitles1-Detail 2 14" xfId="6001"/>
    <cellStyle name="RowTitles1-Detail 2 15" xfId="6002"/>
    <cellStyle name="RowTitles1-Detail 2 16" xfId="6003"/>
    <cellStyle name="RowTitles1-Detail 2 2" xfId="6004"/>
    <cellStyle name="RowTitles1-Detail 2 2 10" xfId="6005"/>
    <cellStyle name="RowTitles1-Detail 2 2 10 2" xfId="6006"/>
    <cellStyle name="RowTitles1-Detail 2 2 10 2 2" xfId="6007"/>
    <cellStyle name="RowTitles1-Detail 2 2 10 2 2 2" xfId="6008"/>
    <cellStyle name="RowTitles1-Detail 2 2 10 2 2_Tertiary Salaries Survey" xfId="6009"/>
    <cellStyle name="RowTitles1-Detail 2 2 10 2 3" xfId="6010"/>
    <cellStyle name="RowTitles1-Detail 2 2 10 2_Tertiary Salaries Survey" xfId="6011"/>
    <cellStyle name="RowTitles1-Detail 2 2 10 3" xfId="6012"/>
    <cellStyle name="RowTitles1-Detail 2 2 10 3 2" xfId="6013"/>
    <cellStyle name="RowTitles1-Detail 2 2 10 3 2 2" xfId="6014"/>
    <cellStyle name="RowTitles1-Detail 2 2 10 3 2_Tertiary Salaries Survey" xfId="6015"/>
    <cellStyle name="RowTitles1-Detail 2 2 10 3 3" xfId="6016"/>
    <cellStyle name="RowTitles1-Detail 2 2 10 3_Tertiary Salaries Survey" xfId="6017"/>
    <cellStyle name="RowTitles1-Detail 2 2 10 4" xfId="6018"/>
    <cellStyle name="RowTitles1-Detail 2 2 10 4 2" xfId="6019"/>
    <cellStyle name="RowTitles1-Detail 2 2 10 4_Tertiary Salaries Survey" xfId="6020"/>
    <cellStyle name="RowTitles1-Detail 2 2 10 5" xfId="6021"/>
    <cellStyle name="RowTitles1-Detail 2 2 10_Tertiary Salaries Survey" xfId="6022"/>
    <cellStyle name="RowTitles1-Detail 2 2 11" xfId="6023"/>
    <cellStyle name="RowTitles1-Detail 2 2 11 2" xfId="6024"/>
    <cellStyle name="RowTitles1-Detail 2 2 11 2 2" xfId="6025"/>
    <cellStyle name="RowTitles1-Detail 2 2 11 2 2 2" xfId="6026"/>
    <cellStyle name="RowTitles1-Detail 2 2 11 2 2_Tertiary Salaries Survey" xfId="6027"/>
    <cellStyle name="RowTitles1-Detail 2 2 11 2 3" xfId="6028"/>
    <cellStyle name="RowTitles1-Detail 2 2 11 2_Tertiary Salaries Survey" xfId="6029"/>
    <cellStyle name="RowTitles1-Detail 2 2 11 3" xfId="6030"/>
    <cellStyle name="RowTitles1-Detail 2 2 11 3 2" xfId="6031"/>
    <cellStyle name="RowTitles1-Detail 2 2 11 3 2 2" xfId="6032"/>
    <cellStyle name="RowTitles1-Detail 2 2 11 3 2_Tertiary Salaries Survey" xfId="6033"/>
    <cellStyle name="RowTitles1-Detail 2 2 11 3 3" xfId="6034"/>
    <cellStyle name="RowTitles1-Detail 2 2 11 3_Tertiary Salaries Survey" xfId="6035"/>
    <cellStyle name="RowTitles1-Detail 2 2 11 4" xfId="6036"/>
    <cellStyle name="RowTitles1-Detail 2 2 11 4 2" xfId="6037"/>
    <cellStyle name="RowTitles1-Detail 2 2 11 4_Tertiary Salaries Survey" xfId="6038"/>
    <cellStyle name="RowTitles1-Detail 2 2 11 5" xfId="6039"/>
    <cellStyle name="RowTitles1-Detail 2 2 11_Tertiary Salaries Survey" xfId="6040"/>
    <cellStyle name="RowTitles1-Detail 2 2 12" xfId="6041"/>
    <cellStyle name="RowTitles1-Detail 2 2 12 2" xfId="6042"/>
    <cellStyle name="RowTitles1-Detail 2 2 12 2 2" xfId="6043"/>
    <cellStyle name="RowTitles1-Detail 2 2 12 2_Tertiary Salaries Survey" xfId="6044"/>
    <cellStyle name="RowTitles1-Detail 2 2 12 3" xfId="6045"/>
    <cellStyle name="RowTitles1-Detail 2 2 12_Tertiary Salaries Survey" xfId="6046"/>
    <cellStyle name="RowTitles1-Detail 2 2 13" xfId="6047"/>
    <cellStyle name="RowTitles1-Detail 2 2 14" xfId="6048"/>
    <cellStyle name="RowTitles1-Detail 2 2 15" xfId="6049"/>
    <cellStyle name="RowTitles1-Detail 2 2 2" xfId="6050"/>
    <cellStyle name="RowTitles1-Detail 2 2 2 10" xfId="6051"/>
    <cellStyle name="RowTitles1-Detail 2 2 2 10 2" xfId="6052"/>
    <cellStyle name="RowTitles1-Detail 2 2 2 10 2 2" xfId="6053"/>
    <cellStyle name="RowTitles1-Detail 2 2 2 10 2 2 2" xfId="6054"/>
    <cellStyle name="RowTitles1-Detail 2 2 2 10 2 2_Tertiary Salaries Survey" xfId="6055"/>
    <cellStyle name="RowTitles1-Detail 2 2 2 10 2 3" xfId="6056"/>
    <cellStyle name="RowTitles1-Detail 2 2 2 10 2_Tertiary Salaries Survey" xfId="6057"/>
    <cellStyle name="RowTitles1-Detail 2 2 2 10 3" xfId="6058"/>
    <cellStyle name="RowTitles1-Detail 2 2 2 10 3 2" xfId="6059"/>
    <cellStyle name="RowTitles1-Detail 2 2 2 10 3 2 2" xfId="6060"/>
    <cellStyle name="RowTitles1-Detail 2 2 2 10 3 2_Tertiary Salaries Survey" xfId="6061"/>
    <cellStyle name="RowTitles1-Detail 2 2 2 10 3 3" xfId="6062"/>
    <cellStyle name="RowTitles1-Detail 2 2 2 10 3_Tertiary Salaries Survey" xfId="6063"/>
    <cellStyle name="RowTitles1-Detail 2 2 2 10 4" xfId="6064"/>
    <cellStyle name="RowTitles1-Detail 2 2 2 10 4 2" xfId="6065"/>
    <cellStyle name="RowTitles1-Detail 2 2 2 10 4_Tertiary Salaries Survey" xfId="6066"/>
    <cellStyle name="RowTitles1-Detail 2 2 2 10 5" xfId="6067"/>
    <cellStyle name="RowTitles1-Detail 2 2 2 10_Tertiary Salaries Survey" xfId="6068"/>
    <cellStyle name="RowTitles1-Detail 2 2 2 11" xfId="6069"/>
    <cellStyle name="RowTitles1-Detail 2 2 2 11 2" xfId="6070"/>
    <cellStyle name="RowTitles1-Detail 2 2 2 11 2 2" xfId="6071"/>
    <cellStyle name="RowTitles1-Detail 2 2 2 11 2_Tertiary Salaries Survey" xfId="6072"/>
    <cellStyle name="RowTitles1-Detail 2 2 2 11 3" xfId="6073"/>
    <cellStyle name="RowTitles1-Detail 2 2 2 11_Tertiary Salaries Survey" xfId="6074"/>
    <cellStyle name="RowTitles1-Detail 2 2 2 12" xfId="6075"/>
    <cellStyle name="RowTitles1-Detail 2 2 2 13" xfId="6076"/>
    <cellStyle name="RowTitles1-Detail 2 2 2 2" xfId="6077"/>
    <cellStyle name="RowTitles1-Detail 2 2 2 2 10" xfId="6078"/>
    <cellStyle name="RowTitles1-Detail 2 2 2 2 10 2" xfId="6079"/>
    <cellStyle name="RowTitles1-Detail 2 2 2 2 10 2 2" xfId="6080"/>
    <cellStyle name="RowTitles1-Detail 2 2 2 2 10 2_Tertiary Salaries Survey" xfId="6081"/>
    <cellStyle name="RowTitles1-Detail 2 2 2 2 10 3" xfId="6082"/>
    <cellStyle name="RowTitles1-Detail 2 2 2 2 10_Tertiary Salaries Survey" xfId="6083"/>
    <cellStyle name="RowTitles1-Detail 2 2 2 2 11" xfId="6084"/>
    <cellStyle name="RowTitles1-Detail 2 2 2 2 12" xfId="6085"/>
    <cellStyle name="RowTitles1-Detail 2 2 2 2 2" xfId="6086"/>
    <cellStyle name="RowTitles1-Detail 2 2 2 2 2 2" xfId="6087"/>
    <cellStyle name="RowTitles1-Detail 2 2 2 2 2 2 2" xfId="6088"/>
    <cellStyle name="RowTitles1-Detail 2 2 2 2 2 2 2 2" xfId="6089"/>
    <cellStyle name="RowTitles1-Detail 2 2 2 2 2 2 2 2 2" xfId="6090"/>
    <cellStyle name="RowTitles1-Detail 2 2 2 2 2 2 2 2_Tertiary Salaries Survey" xfId="6091"/>
    <cellStyle name="RowTitles1-Detail 2 2 2 2 2 2 2 3" xfId="6092"/>
    <cellStyle name="RowTitles1-Detail 2 2 2 2 2 2 2_Tertiary Salaries Survey" xfId="6093"/>
    <cellStyle name="RowTitles1-Detail 2 2 2 2 2 2 3" xfId="6094"/>
    <cellStyle name="RowTitles1-Detail 2 2 2 2 2 2 3 2" xfId="6095"/>
    <cellStyle name="RowTitles1-Detail 2 2 2 2 2 2 3 2 2" xfId="6096"/>
    <cellStyle name="RowTitles1-Detail 2 2 2 2 2 2 3 2_Tertiary Salaries Survey" xfId="6097"/>
    <cellStyle name="RowTitles1-Detail 2 2 2 2 2 2 3 3" xfId="6098"/>
    <cellStyle name="RowTitles1-Detail 2 2 2 2 2 2 3_Tertiary Salaries Survey" xfId="6099"/>
    <cellStyle name="RowTitles1-Detail 2 2 2 2 2 2 4" xfId="6100"/>
    <cellStyle name="RowTitles1-Detail 2 2 2 2 2 2 5" xfId="6101"/>
    <cellStyle name="RowTitles1-Detail 2 2 2 2 2 2_Tertiary Salaries Survey" xfId="6102"/>
    <cellStyle name="RowTitles1-Detail 2 2 2 2 2 3" xfId="6103"/>
    <cellStyle name="RowTitles1-Detail 2 2 2 2 2 3 2" xfId="6104"/>
    <cellStyle name="RowTitles1-Detail 2 2 2 2 2 3 2 2" xfId="6105"/>
    <cellStyle name="RowTitles1-Detail 2 2 2 2 2 3 2 2 2" xfId="6106"/>
    <cellStyle name="RowTitles1-Detail 2 2 2 2 2 3 2 2_Tertiary Salaries Survey" xfId="6107"/>
    <cellStyle name="RowTitles1-Detail 2 2 2 2 2 3 2 3" xfId="6108"/>
    <cellStyle name="RowTitles1-Detail 2 2 2 2 2 3 2_Tertiary Salaries Survey" xfId="6109"/>
    <cellStyle name="RowTitles1-Detail 2 2 2 2 2 3 3" xfId="6110"/>
    <cellStyle name="RowTitles1-Detail 2 2 2 2 2 3 3 2" xfId="6111"/>
    <cellStyle name="RowTitles1-Detail 2 2 2 2 2 3 3 2 2" xfId="6112"/>
    <cellStyle name="RowTitles1-Detail 2 2 2 2 2 3 3 2_Tertiary Salaries Survey" xfId="6113"/>
    <cellStyle name="RowTitles1-Detail 2 2 2 2 2 3 3 3" xfId="6114"/>
    <cellStyle name="RowTitles1-Detail 2 2 2 2 2 3 3_Tertiary Salaries Survey" xfId="6115"/>
    <cellStyle name="RowTitles1-Detail 2 2 2 2 2 3 4" xfId="6116"/>
    <cellStyle name="RowTitles1-Detail 2 2 2 2 2 3 5" xfId="6117"/>
    <cellStyle name="RowTitles1-Detail 2 2 2 2 2 3 5 2" xfId="6118"/>
    <cellStyle name="RowTitles1-Detail 2 2 2 2 2 3 5_Tertiary Salaries Survey" xfId="6119"/>
    <cellStyle name="RowTitles1-Detail 2 2 2 2 2 3 6" xfId="6120"/>
    <cellStyle name="RowTitles1-Detail 2 2 2 2 2 3_Tertiary Salaries Survey" xfId="6121"/>
    <cellStyle name="RowTitles1-Detail 2 2 2 2 2 4" xfId="6122"/>
    <cellStyle name="RowTitles1-Detail 2 2 2 2 2 4 2" xfId="6123"/>
    <cellStyle name="RowTitles1-Detail 2 2 2 2 2 4 2 2" xfId="6124"/>
    <cellStyle name="RowTitles1-Detail 2 2 2 2 2 4 2 2 2" xfId="6125"/>
    <cellStyle name="RowTitles1-Detail 2 2 2 2 2 4 2 2_Tertiary Salaries Survey" xfId="6126"/>
    <cellStyle name="RowTitles1-Detail 2 2 2 2 2 4 2 3" xfId="6127"/>
    <cellStyle name="RowTitles1-Detail 2 2 2 2 2 4 2_Tertiary Salaries Survey" xfId="6128"/>
    <cellStyle name="RowTitles1-Detail 2 2 2 2 2 4 3" xfId="6129"/>
    <cellStyle name="RowTitles1-Detail 2 2 2 2 2 4 3 2" xfId="6130"/>
    <cellStyle name="RowTitles1-Detail 2 2 2 2 2 4 3 2 2" xfId="6131"/>
    <cellStyle name="RowTitles1-Detail 2 2 2 2 2 4 3 2_Tertiary Salaries Survey" xfId="6132"/>
    <cellStyle name="RowTitles1-Detail 2 2 2 2 2 4 3 3" xfId="6133"/>
    <cellStyle name="RowTitles1-Detail 2 2 2 2 2 4 3_Tertiary Salaries Survey" xfId="6134"/>
    <cellStyle name="RowTitles1-Detail 2 2 2 2 2 4 4" xfId="6135"/>
    <cellStyle name="RowTitles1-Detail 2 2 2 2 2 4 4 2" xfId="6136"/>
    <cellStyle name="RowTitles1-Detail 2 2 2 2 2 4 4_Tertiary Salaries Survey" xfId="6137"/>
    <cellStyle name="RowTitles1-Detail 2 2 2 2 2 4 5" xfId="6138"/>
    <cellStyle name="RowTitles1-Detail 2 2 2 2 2 4_Tertiary Salaries Survey" xfId="6139"/>
    <cellStyle name="RowTitles1-Detail 2 2 2 2 2 5" xfId="6140"/>
    <cellStyle name="RowTitles1-Detail 2 2 2 2 2 5 2" xfId="6141"/>
    <cellStyle name="RowTitles1-Detail 2 2 2 2 2 5 2 2" xfId="6142"/>
    <cellStyle name="RowTitles1-Detail 2 2 2 2 2 5 2 2 2" xfId="6143"/>
    <cellStyle name="RowTitles1-Detail 2 2 2 2 2 5 2 2_Tertiary Salaries Survey" xfId="6144"/>
    <cellStyle name="RowTitles1-Detail 2 2 2 2 2 5 2 3" xfId="6145"/>
    <cellStyle name="RowTitles1-Detail 2 2 2 2 2 5 2_Tertiary Salaries Survey" xfId="6146"/>
    <cellStyle name="RowTitles1-Detail 2 2 2 2 2 5 3" xfId="6147"/>
    <cellStyle name="RowTitles1-Detail 2 2 2 2 2 5 3 2" xfId="6148"/>
    <cellStyle name="RowTitles1-Detail 2 2 2 2 2 5 3 2 2" xfId="6149"/>
    <cellStyle name="RowTitles1-Detail 2 2 2 2 2 5 3 2_Tertiary Salaries Survey" xfId="6150"/>
    <cellStyle name="RowTitles1-Detail 2 2 2 2 2 5 3 3" xfId="6151"/>
    <cellStyle name="RowTitles1-Detail 2 2 2 2 2 5 3_Tertiary Salaries Survey" xfId="6152"/>
    <cellStyle name="RowTitles1-Detail 2 2 2 2 2 5 4" xfId="6153"/>
    <cellStyle name="RowTitles1-Detail 2 2 2 2 2 5 4 2" xfId="6154"/>
    <cellStyle name="RowTitles1-Detail 2 2 2 2 2 5 4_Tertiary Salaries Survey" xfId="6155"/>
    <cellStyle name="RowTitles1-Detail 2 2 2 2 2 5 5" xfId="6156"/>
    <cellStyle name="RowTitles1-Detail 2 2 2 2 2 5_Tertiary Salaries Survey" xfId="6157"/>
    <cellStyle name="RowTitles1-Detail 2 2 2 2 2 6" xfId="6158"/>
    <cellStyle name="RowTitles1-Detail 2 2 2 2 2 6 2" xfId="6159"/>
    <cellStyle name="RowTitles1-Detail 2 2 2 2 2 6 2 2" xfId="6160"/>
    <cellStyle name="RowTitles1-Detail 2 2 2 2 2 6 2 2 2" xfId="6161"/>
    <cellStyle name="RowTitles1-Detail 2 2 2 2 2 6 2 2_Tertiary Salaries Survey" xfId="6162"/>
    <cellStyle name="RowTitles1-Detail 2 2 2 2 2 6 2 3" xfId="6163"/>
    <cellStyle name="RowTitles1-Detail 2 2 2 2 2 6 2_Tertiary Salaries Survey" xfId="6164"/>
    <cellStyle name="RowTitles1-Detail 2 2 2 2 2 6 3" xfId="6165"/>
    <cellStyle name="RowTitles1-Detail 2 2 2 2 2 6 3 2" xfId="6166"/>
    <cellStyle name="RowTitles1-Detail 2 2 2 2 2 6 3 2 2" xfId="6167"/>
    <cellStyle name="RowTitles1-Detail 2 2 2 2 2 6 3 2_Tertiary Salaries Survey" xfId="6168"/>
    <cellStyle name="RowTitles1-Detail 2 2 2 2 2 6 3 3" xfId="6169"/>
    <cellStyle name="RowTitles1-Detail 2 2 2 2 2 6 3_Tertiary Salaries Survey" xfId="6170"/>
    <cellStyle name="RowTitles1-Detail 2 2 2 2 2 6 4" xfId="6171"/>
    <cellStyle name="RowTitles1-Detail 2 2 2 2 2 6 4 2" xfId="6172"/>
    <cellStyle name="RowTitles1-Detail 2 2 2 2 2 6 4_Tertiary Salaries Survey" xfId="6173"/>
    <cellStyle name="RowTitles1-Detail 2 2 2 2 2 6 5" xfId="6174"/>
    <cellStyle name="RowTitles1-Detail 2 2 2 2 2 6_Tertiary Salaries Survey" xfId="6175"/>
    <cellStyle name="RowTitles1-Detail 2 2 2 2 2 7" xfId="6176"/>
    <cellStyle name="RowTitles1-Detail 2 2 2 2 2 7 2" xfId="6177"/>
    <cellStyle name="RowTitles1-Detail 2 2 2 2 2 7 2 2" xfId="6178"/>
    <cellStyle name="RowTitles1-Detail 2 2 2 2 2 7 2_Tertiary Salaries Survey" xfId="6179"/>
    <cellStyle name="RowTitles1-Detail 2 2 2 2 2 7 3" xfId="6180"/>
    <cellStyle name="RowTitles1-Detail 2 2 2 2 2 7_Tertiary Salaries Survey" xfId="6181"/>
    <cellStyle name="RowTitles1-Detail 2 2 2 2 2 8" xfId="6182"/>
    <cellStyle name="RowTitles1-Detail 2 2 2 2 2 9" xfId="6183"/>
    <cellStyle name="RowTitles1-Detail 2 2 2 2 2_STUD aligned by INSTIT" xfId="6184"/>
    <cellStyle name="RowTitles1-Detail 2 2 2 2 3" xfId="6185"/>
    <cellStyle name="RowTitles1-Detail 2 2 2 2 3 2" xfId="6186"/>
    <cellStyle name="RowTitles1-Detail 2 2 2 2 3 2 2" xfId="6187"/>
    <cellStyle name="RowTitles1-Detail 2 2 2 2 3 2 2 2" xfId="6188"/>
    <cellStyle name="RowTitles1-Detail 2 2 2 2 3 2 2 2 2" xfId="6189"/>
    <cellStyle name="RowTitles1-Detail 2 2 2 2 3 2 2 2_Tertiary Salaries Survey" xfId="6190"/>
    <cellStyle name="RowTitles1-Detail 2 2 2 2 3 2 2 3" xfId="6191"/>
    <cellStyle name="RowTitles1-Detail 2 2 2 2 3 2 2_Tertiary Salaries Survey" xfId="6192"/>
    <cellStyle name="RowTitles1-Detail 2 2 2 2 3 2 3" xfId="6193"/>
    <cellStyle name="RowTitles1-Detail 2 2 2 2 3 2 3 2" xfId="6194"/>
    <cellStyle name="RowTitles1-Detail 2 2 2 2 3 2 3 2 2" xfId="6195"/>
    <cellStyle name="RowTitles1-Detail 2 2 2 2 3 2 3 2_Tertiary Salaries Survey" xfId="6196"/>
    <cellStyle name="RowTitles1-Detail 2 2 2 2 3 2 3 3" xfId="6197"/>
    <cellStyle name="RowTitles1-Detail 2 2 2 2 3 2 3_Tertiary Salaries Survey" xfId="6198"/>
    <cellStyle name="RowTitles1-Detail 2 2 2 2 3 2 4" xfId="6199"/>
    <cellStyle name="RowTitles1-Detail 2 2 2 2 3 2 5" xfId="6200"/>
    <cellStyle name="RowTitles1-Detail 2 2 2 2 3 2 5 2" xfId="6201"/>
    <cellStyle name="RowTitles1-Detail 2 2 2 2 3 2 5_Tertiary Salaries Survey" xfId="6202"/>
    <cellStyle name="RowTitles1-Detail 2 2 2 2 3 2 6" xfId="6203"/>
    <cellStyle name="RowTitles1-Detail 2 2 2 2 3 2_Tertiary Salaries Survey" xfId="6204"/>
    <cellStyle name="RowTitles1-Detail 2 2 2 2 3 3" xfId="6205"/>
    <cellStyle name="RowTitles1-Detail 2 2 2 2 3 3 2" xfId="6206"/>
    <cellStyle name="RowTitles1-Detail 2 2 2 2 3 3 2 2" xfId="6207"/>
    <cellStyle name="RowTitles1-Detail 2 2 2 2 3 3 2 2 2" xfId="6208"/>
    <cellStyle name="RowTitles1-Detail 2 2 2 2 3 3 2 2_Tertiary Salaries Survey" xfId="6209"/>
    <cellStyle name="RowTitles1-Detail 2 2 2 2 3 3 2 3" xfId="6210"/>
    <cellStyle name="RowTitles1-Detail 2 2 2 2 3 3 2_Tertiary Salaries Survey" xfId="6211"/>
    <cellStyle name="RowTitles1-Detail 2 2 2 2 3 3 3" xfId="6212"/>
    <cellStyle name="RowTitles1-Detail 2 2 2 2 3 3 3 2" xfId="6213"/>
    <cellStyle name="RowTitles1-Detail 2 2 2 2 3 3 3 2 2" xfId="6214"/>
    <cellStyle name="RowTitles1-Detail 2 2 2 2 3 3 3 2_Tertiary Salaries Survey" xfId="6215"/>
    <cellStyle name="RowTitles1-Detail 2 2 2 2 3 3 3 3" xfId="6216"/>
    <cellStyle name="RowTitles1-Detail 2 2 2 2 3 3 3_Tertiary Salaries Survey" xfId="6217"/>
    <cellStyle name="RowTitles1-Detail 2 2 2 2 3 3 4" xfId="6218"/>
    <cellStyle name="RowTitles1-Detail 2 2 2 2 3 3 5" xfId="6219"/>
    <cellStyle name="RowTitles1-Detail 2 2 2 2 3 3_Tertiary Salaries Survey" xfId="6220"/>
    <cellStyle name="RowTitles1-Detail 2 2 2 2 3 4" xfId="6221"/>
    <cellStyle name="RowTitles1-Detail 2 2 2 2 3 4 2" xfId="6222"/>
    <cellStyle name="RowTitles1-Detail 2 2 2 2 3 4 2 2" xfId="6223"/>
    <cellStyle name="RowTitles1-Detail 2 2 2 2 3 4 2 2 2" xfId="6224"/>
    <cellStyle name="RowTitles1-Detail 2 2 2 2 3 4 2 2_Tertiary Salaries Survey" xfId="6225"/>
    <cellStyle name="RowTitles1-Detail 2 2 2 2 3 4 2 3" xfId="6226"/>
    <cellStyle name="RowTitles1-Detail 2 2 2 2 3 4 2_Tertiary Salaries Survey" xfId="6227"/>
    <cellStyle name="RowTitles1-Detail 2 2 2 2 3 4 3" xfId="6228"/>
    <cellStyle name="RowTitles1-Detail 2 2 2 2 3 4 3 2" xfId="6229"/>
    <cellStyle name="RowTitles1-Detail 2 2 2 2 3 4 3 2 2" xfId="6230"/>
    <cellStyle name="RowTitles1-Detail 2 2 2 2 3 4 3 2_Tertiary Salaries Survey" xfId="6231"/>
    <cellStyle name="RowTitles1-Detail 2 2 2 2 3 4 3 3" xfId="6232"/>
    <cellStyle name="RowTitles1-Detail 2 2 2 2 3 4 3_Tertiary Salaries Survey" xfId="6233"/>
    <cellStyle name="RowTitles1-Detail 2 2 2 2 3 4 4" xfId="6234"/>
    <cellStyle name="RowTitles1-Detail 2 2 2 2 3 4 4 2" xfId="6235"/>
    <cellStyle name="RowTitles1-Detail 2 2 2 2 3 4 4_Tertiary Salaries Survey" xfId="6236"/>
    <cellStyle name="RowTitles1-Detail 2 2 2 2 3 4 5" xfId="6237"/>
    <cellStyle name="RowTitles1-Detail 2 2 2 2 3 4_Tertiary Salaries Survey" xfId="6238"/>
    <cellStyle name="RowTitles1-Detail 2 2 2 2 3 5" xfId="6239"/>
    <cellStyle name="RowTitles1-Detail 2 2 2 2 3 5 2" xfId="6240"/>
    <cellStyle name="RowTitles1-Detail 2 2 2 2 3 5 2 2" xfId="6241"/>
    <cellStyle name="RowTitles1-Detail 2 2 2 2 3 5 2 2 2" xfId="6242"/>
    <cellStyle name="RowTitles1-Detail 2 2 2 2 3 5 2 2_Tertiary Salaries Survey" xfId="6243"/>
    <cellStyle name="RowTitles1-Detail 2 2 2 2 3 5 2 3" xfId="6244"/>
    <cellStyle name="RowTitles1-Detail 2 2 2 2 3 5 2_Tertiary Salaries Survey" xfId="6245"/>
    <cellStyle name="RowTitles1-Detail 2 2 2 2 3 5 3" xfId="6246"/>
    <cellStyle name="RowTitles1-Detail 2 2 2 2 3 5 3 2" xfId="6247"/>
    <cellStyle name="RowTitles1-Detail 2 2 2 2 3 5 3 2 2" xfId="6248"/>
    <cellStyle name="RowTitles1-Detail 2 2 2 2 3 5 3 2_Tertiary Salaries Survey" xfId="6249"/>
    <cellStyle name="RowTitles1-Detail 2 2 2 2 3 5 3 3" xfId="6250"/>
    <cellStyle name="RowTitles1-Detail 2 2 2 2 3 5 3_Tertiary Salaries Survey" xfId="6251"/>
    <cellStyle name="RowTitles1-Detail 2 2 2 2 3 5 4" xfId="6252"/>
    <cellStyle name="RowTitles1-Detail 2 2 2 2 3 5 4 2" xfId="6253"/>
    <cellStyle name="RowTitles1-Detail 2 2 2 2 3 5 4_Tertiary Salaries Survey" xfId="6254"/>
    <cellStyle name="RowTitles1-Detail 2 2 2 2 3 5 5" xfId="6255"/>
    <cellStyle name="RowTitles1-Detail 2 2 2 2 3 5_Tertiary Salaries Survey" xfId="6256"/>
    <cellStyle name="RowTitles1-Detail 2 2 2 2 3 6" xfId="6257"/>
    <cellStyle name="RowTitles1-Detail 2 2 2 2 3 6 2" xfId="6258"/>
    <cellStyle name="RowTitles1-Detail 2 2 2 2 3 6 2 2" xfId="6259"/>
    <cellStyle name="RowTitles1-Detail 2 2 2 2 3 6 2 2 2" xfId="6260"/>
    <cellStyle name="RowTitles1-Detail 2 2 2 2 3 6 2 2_Tertiary Salaries Survey" xfId="6261"/>
    <cellStyle name="RowTitles1-Detail 2 2 2 2 3 6 2 3" xfId="6262"/>
    <cellStyle name="RowTitles1-Detail 2 2 2 2 3 6 2_Tertiary Salaries Survey" xfId="6263"/>
    <cellStyle name="RowTitles1-Detail 2 2 2 2 3 6 3" xfId="6264"/>
    <cellStyle name="RowTitles1-Detail 2 2 2 2 3 6 3 2" xfId="6265"/>
    <cellStyle name="RowTitles1-Detail 2 2 2 2 3 6 3 2 2" xfId="6266"/>
    <cellStyle name="RowTitles1-Detail 2 2 2 2 3 6 3 2_Tertiary Salaries Survey" xfId="6267"/>
    <cellStyle name="RowTitles1-Detail 2 2 2 2 3 6 3 3" xfId="6268"/>
    <cellStyle name="RowTitles1-Detail 2 2 2 2 3 6 3_Tertiary Salaries Survey" xfId="6269"/>
    <cellStyle name="RowTitles1-Detail 2 2 2 2 3 6 4" xfId="6270"/>
    <cellStyle name="RowTitles1-Detail 2 2 2 2 3 6 4 2" xfId="6271"/>
    <cellStyle name="RowTitles1-Detail 2 2 2 2 3 6 4_Tertiary Salaries Survey" xfId="6272"/>
    <cellStyle name="RowTitles1-Detail 2 2 2 2 3 6 5" xfId="6273"/>
    <cellStyle name="RowTitles1-Detail 2 2 2 2 3 6_Tertiary Salaries Survey" xfId="6274"/>
    <cellStyle name="RowTitles1-Detail 2 2 2 2 3 7" xfId="6275"/>
    <cellStyle name="RowTitles1-Detail 2 2 2 2 3 7 2" xfId="6276"/>
    <cellStyle name="RowTitles1-Detail 2 2 2 2 3 7 2 2" xfId="6277"/>
    <cellStyle name="RowTitles1-Detail 2 2 2 2 3 7 2_Tertiary Salaries Survey" xfId="6278"/>
    <cellStyle name="RowTitles1-Detail 2 2 2 2 3 7 3" xfId="6279"/>
    <cellStyle name="RowTitles1-Detail 2 2 2 2 3 7_Tertiary Salaries Survey" xfId="6280"/>
    <cellStyle name="RowTitles1-Detail 2 2 2 2 3 8" xfId="6281"/>
    <cellStyle name="RowTitles1-Detail 2 2 2 2 3 8 2" xfId="6282"/>
    <cellStyle name="RowTitles1-Detail 2 2 2 2 3 8 2 2" xfId="6283"/>
    <cellStyle name="RowTitles1-Detail 2 2 2 2 3 8 2_Tertiary Salaries Survey" xfId="6284"/>
    <cellStyle name="RowTitles1-Detail 2 2 2 2 3 8 3" xfId="6285"/>
    <cellStyle name="RowTitles1-Detail 2 2 2 2 3 8_Tertiary Salaries Survey" xfId="6286"/>
    <cellStyle name="RowTitles1-Detail 2 2 2 2 3 9" xfId="6287"/>
    <cellStyle name="RowTitles1-Detail 2 2 2 2 3_STUD aligned by INSTIT" xfId="6288"/>
    <cellStyle name="RowTitles1-Detail 2 2 2 2 4" xfId="6289"/>
    <cellStyle name="RowTitles1-Detail 2 2 2 2 4 2" xfId="6290"/>
    <cellStyle name="RowTitles1-Detail 2 2 2 2 4 2 2" xfId="6291"/>
    <cellStyle name="RowTitles1-Detail 2 2 2 2 4 2 2 2" xfId="6292"/>
    <cellStyle name="RowTitles1-Detail 2 2 2 2 4 2 2 2 2" xfId="6293"/>
    <cellStyle name="RowTitles1-Detail 2 2 2 2 4 2 2 2_Tertiary Salaries Survey" xfId="6294"/>
    <cellStyle name="RowTitles1-Detail 2 2 2 2 4 2 2 3" xfId="6295"/>
    <cellStyle name="RowTitles1-Detail 2 2 2 2 4 2 2_Tertiary Salaries Survey" xfId="6296"/>
    <cellStyle name="RowTitles1-Detail 2 2 2 2 4 2 3" xfId="6297"/>
    <cellStyle name="RowTitles1-Detail 2 2 2 2 4 2 3 2" xfId="6298"/>
    <cellStyle name="RowTitles1-Detail 2 2 2 2 4 2 3 2 2" xfId="6299"/>
    <cellStyle name="RowTitles1-Detail 2 2 2 2 4 2 3 2_Tertiary Salaries Survey" xfId="6300"/>
    <cellStyle name="RowTitles1-Detail 2 2 2 2 4 2 3 3" xfId="6301"/>
    <cellStyle name="RowTitles1-Detail 2 2 2 2 4 2 3_Tertiary Salaries Survey" xfId="6302"/>
    <cellStyle name="RowTitles1-Detail 2 2 2 2 4 2 4" xfId="6303"/>
    <cellStyle name="RowTitles1-Detail 2 2 2 2 4 2 5" xfId="6304"/>
    <cellStyle name="RowTitles1-Detail 2 2 2 2 4 2 5 2" xfId="6305"/>
    <cellStyle name="RowTitles1-Detail 2 2 2 2 4 2 5_Tertiary Salaries Survey" xfId="6306"/>
    <cellStyle name="RowTitles1-Detail 2 2 2 2 4 2 6" xfId="6307"/>
    <cellStyle name="RowTitles1-Detail 2 2 2 2 4 2_Tertiary Salaries Survey" xfId="6308"/>
    <cellStyle name="RowTitles1-Detail 2 2 2 2 4 3" xfId="6309"/>
    <cellStyle name="RowTitles1-Detail 2 2 2 2 4 3 2" xfId="6310"/>
    <cellStyle name="RowTitles1-Detail 2 2 2 2 4 3 2 2" xfId="6311"/>
    <cellStyle name="RowTitles1-Detail 2 2 2 2 4 3 2 2 2" xfId="6312"/>
    <cellStyle name="RowTitles1-Detail 2 2 2 2 4 3 2 2_Tertiary Salaries Survey" xfId="6313"/>
    <cellStyle name="RowTitles1-Detail 2 2 2 2 4 3 2 3" xfId="6314"/>
    <cellStyle name="RowTitles1-Detail 2 2 2 2 4 3 2_Tertiary Salaries Survey" xfId="6315"/>
    <cellStyle name="RowTitles1-Detail 2 2 2 2 4 3 3" xfId="6316"/>
    <cellStyle name="RowTitles1-Detail 2 2 2 2 4 3 3 2" xfId="6317"/>
    <cellStyle name="RowTitles1-Detail 2 2 2 2 4 3 3 2 2" xfId="6318"/>
    <cellStyle name="RowTitles1-Detail 2 2 2 2 4 3 3 2_Tertiary Salaries Survey" xfId="6319"/>
    <cellStyle name="RowTitles1-Detail 2 2 2 2 4 3 3 3" xfId="6320"/>
    <cellStyle name="RowTitles1-Detail 2 2 2 2 4 3 3_Tertiary Salaries Survey" xfId="6321"/>
    <cellStyle name="RowTitles1-Detail 2 2 2 2 4 3 4" xfId="6322"/>
    <cellStyle name="RowTitles1-Detail 2 2 2 2 4 3 5" xfId="6323"/>
    <cellStyle name="RowTitles1-Detail 2 2 2 2 4 3_Tertiary Salaries Survey" xfId="6324"/>
    <cellStyle name="RowTitles1-Detail 2 2 2 2 4 4" xfId="6325"/>
    <cellStyle name="RowTitles1-Detail 2 2 2 2 4 4 2" xfId="6326"/>
    <cellStyle name="RowTitles1-Detail 2 2 2 2 4 4 2 2" xfId="6327"/>
    <cellStyle name="RowTitles1-Detail 2 2 2 2 4 4 2 2 2" xfId="6328"/>
    <cellStyle name="RowTitles1-Detail 2 2 2 2 4 4 2 2_Tertiary Salaries Survey" xfId="6329"/>
    <cellStyle name="RowTitles1-Detail 2 2 2 2 4 4 2 3" xfId="6330"/>
    <cellStyle name="RowTitles1-Detail 2 2 2 2 4 4 2_Tertiary Salaries Survey" xfId="6331"/>
    <cellStyle name="RowTitles1-Detail 2 2 2 2 4 4 3" xfId="6332"/>
    <cellStyle name="RowTitles1-Detail 2 2 2 2 4 4 3 2" xfId="6333"/>
    <cellStyle name="RowTitles1-Detail 2 2 2 2 4 4 3 2 2" xfId="6334"/>
    <cellStyle name="RowTitles1-Detail 2 2 2 2 4 4 3 2_Tertiary Salaries Survey" xfId="6335"/>
    <cellStyle name="RowTitles1-Detail 2 2 2 2 4 4 3 3" xfId="6336"/>
    <cellStyle name="RowTitles1-Detail 2 2 2 2 4 4 3_Tertiary Salaries Survey" xfId="6337"/>
    <cellStyle name="RowTitles1-Detail 2 2 2 2 4 4 4" xfId="6338"/>
    <cellStyle name="RowTitles1-Detail 2 2 2 2 4 4 5" xfId="6339"/>
    <cellStyle name="RowTitles1-Detail 2 2 2 2 4 4 5 2" xfId="6340"/>
    <cellStyle name="RowTitles1-Detail 2 2 2 2 4 4 5_Tertiary Salaries Survey" xfId="6341"/>
    <cellStyle name="RowTitles1-Detail 2 2 2 2 4 4 6" xfId="6342"/>
    <cellStyle name="RowTitles1-Detail 2 2 2 2 4 4_Tertiary Salaries Survey" xfId="6343"/>
    <cellStyle name="RowTitles1-Detail 2 2 2 2 4 5" xfId="6344"/>
    <cellStyle name="RowTitles1-Detail 2 2 2 2 4 5 2" xfId="6345"/>
    <cellStyle name="RowTitles1-Detail 2 2 2 2 4 5 2 2" xfId="6346"/>
    <cellStyle name="RowTitles1-Detail 2 2 2 2 4 5 2 2 2" xfId="6347"/>
    <cellStyle name="RowTitles1-Detail 2 2 2 2 4 5 2 2_Tertiary Salaries Survey" xfId="6348"/>
    <cellStyle name="RowTitles1-Detail 2 2 2 2 4 5 2 3" xfId="6349"/>
    <cellStyle name="RowTitles1-Detail 2 2 2 2 4 5 2_Tertiary Salaries Survey" xfId="6350"/>
    <cellStyle name="RowTitles1-Detail 2 2 2 2 4 5 3" xfId="6351"/>
    <cellStyle name="RowTitles1-Detail 2 2 2 2 4 5 3 2" xfId="6352"/>
    <cellStyle name="RowTitles1-Detail 2 2 2 2 4 5 3 2 2" xfId="6353"/>
    <cellStyle name="RowTitles1-Detail 2 2 2 2 4 5 3 2_Tertiary Salaries Survey" xfId="6354"/>
    <cellStyle name="RowTitles1-Detail 2 2 2 2 4 5 3 3" xfId="6355"/>
    <cellStyle name="RowTitles1-Detail 2 2 2 2 4 5 3_Tertiary Salaries Survey" xfId="6356"/>
    <cellStyle name="RowTitles1-Detail 2 2 2 2 4 5 4" xfId="6357"/>
    <cellStyle name="RowTitles1-Detail 2 2 2 2 4 5 4 2" xfId="6358"/>
    <cellStyle name="RowTitles1-Detail 2 2 2 2 4 5 4_Tertiary Salaries Survey" xfId="6359"/>
    <cellStyle name="RowTitles1-Detail 2 2 2 2 4 5 5" xfId="6360"/>
    <cellStyle name="RowTitles1-Detail 2 2 2 2 4 5_Tertiary Salaries Survey" xfId="6361"/>
    <cellStyle name="RowTitles1-Detail 2 2 2 2 4 6" xfId="6362"/>
    <cellStyle name="RowTitles1-Detail 2 2 2 2 4 6 2" xfId="6363"/>
    <cellStyle name="RowTitles1-Detail 2 2 2 2 4 6 2 2" xfId="6364"/>
    <cellStyle name="RowTitles1-Detail 2 2 2 2 4 6 2 2 2" xfId="6365"/>
    <cellStyle name="RowTitles1-Detail 2 2 2 2 4 6 2 2_Tertiary Salaries Survey" xfId="6366"/>
    <cellStyle name="RowTitles1-Detail 2 2 2 2 4 6 2 3" xfId="6367"/>
    <cellStyle name="RowTitles1-Detail 2 2 2 2 4 6 2_Tertiary Salaries Survey" xfId="6368"/>
    <cellStyle name="RowTitles1-Detail 2 2 2 2 4 6 3" xfId="6369"/>
    <cellStyle name="RowTitles1-Detail 2 2 2 2 4 6 3 2" xfId="6370"/>
    <cellStyle name="RowTitles1-Detail 2 2 2 2 4 6 3 2 2" xfId="6371"/>
    <cellStyle name="RowTitles1-Detail 2 2 2 2 4 6 3 2_Tertiary Salaries Survey" xfId="6372"/>
    <cellStyle name="RowTitles1-Detail 2 2 2 2 4 6 3 3" xfId="6373"/>
    <cellStyle name="RowTitles1-Detail 2 2 2 2 4 6 3_Tertiary Salaries Survey" xfId="6374"/>
    <cellStyle name="RowTitles1-Detail 2 2 2 2 4 6 4" xfId="6375"/>
    <cellStyle name="RowTitles1-Detail 2 2 2 2 4 6 4 2" xfId="6376"/>
    <cellStyle name="RowTitles1-Detail 2 2 2 2 4 6 4_Tertiary Salaries Survey" xfId="6377"/>
    <cellStyle name="RowTitles1-Detail 2 2 2 2 4 6 5" xfId="6378"/>
    <cellStyle name="RowTitles1-Detail 2 2 2 2 4 6_Tertiary Salaries Survey" xfId="6379"/>
    <cellStyle name="RowTitles1-Detail 2 2 2 2 4 7" xfId="6380"/>
    <cellStyle name="RowTitles1-Detail 2 2 2 2 4 7 2" xfId="6381"/>
    <cellStyle name="RowTitles1-Detail 2 2 2 2 4 7 2 2" xfId="6382"/>
    <cellStyle name="RowTitles1-Detail 2 2 2 2 4 7 2_Tertiary Salaries Survey" xfId="6383"/>
    <cellStyle name="RowTitles1-Detail 2 2 2 2 4 7 3" xfId="6384"/>
    <cellStyle name="RowTitles1-Detail 2 2 2 2 4 7_Tertiary Salaries Survey" xfId="6385"/>
    <cellStyle name="RowTitles1-Detail 2 2 2 2 4 8" xfId="6386"/>
    <cellStyle name="RowTitles1-Detail 2 2 2 2 4 9" xfId="6387"/>
    <cellStyle name="RowTitles1-Detail 2 2 2 2 4_STUD aligned by INSTIT" xfId="6388"/>
    <cellStyle name="RowTitles1-Detail 2 2 2 2 5" xfId="6389"/>
    <cellStyle name="RowTitles1-Detail 2 2 2 2 5 2" xfId="6390"/>
    <cellStyle name="RowTitles1-Detail 2 2 2 2 5 2 2" xfId="6391"/>
    <cellStyle name="RowTitles1-Detail 2 2 2 2 5 2 2 2" xfId="6392"/>
    <cellStyle name="RowTitles1-Detail 2 2 2 2 5 2 2_Tertiary Salaries Survey" xfId="6393"/>
    <cellStyle name="RowTitles1-Detail 2 2 2 2 5 2 3" xfId="6394"/>
    <cellStyle name="RowTitles1-Detail 2 2 2 2 5 2_Tertiary Salaries Survey" xfId="6395"/>
    <cellStyle name="RowTitles1-Detail 2 2 2 2 5 3" xfId="6396"/>
    <cellStyle name="RowTitles1-Detail 2 2 2 2 5 3 2" xfId="6397"/>
    <cellStyle name="RowTitles1-Detail 2 2 2 2 5 3 2 2" xfId="6398"/>
    <cellStyle name="RowTitles1-Detail 2 2 2 2 5 3 2_Tertiary Salaries Survey" xfId="6399"/>
    <cellStyle name="RowTitles1-Detail 2 2 2 2 5 3 3" xfId="6400"/>
    <cellStyle name="RowTitles1-Detail 2 2 2 2 5 3_Tertiary Salaries Survey" xfId="6401"/>
    <cellStyle name="RowTitles1-Detail 2 2 2 2 5 4" xfId="6402"/>
    <cellStyle name="RowTitles1-Detail 2 2 2 2 5 5" xfId="6403"/>
    <cellStyle name="RowTitles1-Detail 2 2 2 2 5 5 2" xfId="6404"/>
    <cellStyle name="RowTitles1-Detail 2 2 2 2 5 5_Tertiary Salaries Survey" xfId="6405"/>
    <cellStyle name="RowTitles1-Detail 2 2 2 2 5 6" xfId="6406"/>
    <cellStyle name="RowTitles1-Detail 2 2 2 2 5_Tertiary Salaries Survey" xfId="6407"/>
    <cellStyle name="RowTitles1-Detail 2 2 2 2 6" xfId="6408"/>
    <cellStyle name="RowTitles1-Detail 2 2 2 2 6 2" xfId="6409"/>
    <cellStyle name="RowTitles1-Detail 2 2 2 2 6 2 2" xfId="6410"/>
    <cellStyle name="RowTitles1-Detail 2 2 2 2 6 2 2 2" xfId="6411"/>
    <cellStyle name="RowTitles1-Detail 2 2 2 2 6 2 2_Tertiary Salaries Survey" xfId="6412"/>
    <cellStyle name="RowTitles1-Detail 2 2 2 2 6 2 3" xfId="6413"/>
    <cellStyle name="RowTitles1-Detail 2 2 2 2 6 2_Tertiary Salaries Survey" xfId="6414"/>
    <cellStyle name="RowTitles1-Detail 2 2 2 2 6 3" xfId="6415"/>
    <cellStyle name="RowTitles1-Detail 2 2 2 2 6 3 2" xfId="6416"/>
    <cellStyle name="RowTitles1-Detail 2 2 2 2 6 3 2 2" xfId="6417"/>
    <cellStyle name="RowTitles1-Detail 2 2 2 2 6 3 2_Tertiary Salaries Survey" xfId="6418"/>
    <cellStyle name="RowTitles1-Detail 2 2 2 2 6 3 3" xfId="6419"/>
    <cellStyle name="RowTitles1-Detail 2 2 2 2 6 3_Tertiary Salaries Survey" xfId="6420"/>
    <cellStyle name="RowTitles1-Detail 2 2 2 2 6 4" xfId="6421"/>
    <cellStyle name="RowTitles1-Detail 2 2 2 2 6 5" xfId="6422"/>
    <cellStyle name="RowTitles1-Detail 2 2 2 2 6_Tertiary Salaries Survey" xfId="6423"/>
    <cellStyle name="RowTitles1-Detail 2 2 2 2 7" xfId="6424"/>
    <cellStyle name="RowTitles1-Detail 2 2 2 2 7 2" xfId="6425"/>
    <cellStyle name="RowTitles1-Detail 2 2 2 2 7 2 2" xfId="6426"/>
    <cellStyle name="RowTitles1-Detail 2 2 2 2 7 2 2 2" xfId="6427"/>
    <cellStyle name="RowTitles1-Detail 2 2 2 2 7 2 2_Tertiary Salaries Survey" xfId="6428"/>
    <cellStyle name="RowTitles1-Detail 2 2 2 2 7 2 3" xfId="6429"/>
    <cellStyle name="RowTitles1-Detail 2 2 2 2 7 2_Tertiary Salaries Survey" xfId="6430"/>
    <cellStyle name="RowTitles1-Detail 2 2 2 2 7 3" xfId="6431"/>
    <cellStyle name="RowTitles1-Detail 2 2 2 2 7 3 2" xfId="6432"/>
    <cellStyle name="RowTitles1-Detail 2 2 2 2 7 3 2 2" xfId="6433"/>
    <cellStyle name="RowTitles1-Detail 2 2 2 2 7 3 2_Tertiary Salaries Survey" xfId="6434"/>
    <cellStyle name="RowTitles1-Detail 2 2 2 2 7 3 3" xfId="6435"/>
    <cellStyle name="RowTitles1-Detail 2 2 2 2 7 3_Tertiary Salaries Survey" xfId="6436"/>
    <cellStyle name="RowTitles1-Detail 2 2 2 2 7 4" xfId="6437"/>
    <cellStyle name="RowTitles1-Detail 2 2 2 2 7 5" xfId="6438"/>
    <cellStyle name="RowTitles1-Detail 2 2 2 2 7 5 2" xfId="6439"/>
    <cellStyle name="RowTitles1-Detail 2 2 2 2 7 5_Tertiary Salaries Survey" xfId="6440"/>
    <cellStyle name="RowTitles1-Detail 2 2 2 2 7 6" xfId="6441"/>
    <cellStyle name="RowTitles1-Detail 2 2 2 2 7_Tertiary Salaries Survey" xfId="6442"/>
    <cellStyle name="RowTitles1-Detail 2 2 2 2 8" xfId="6443"/>
    <cellStyle name="RowTitles1-Detail 2 2 2 2 8 2" xfId="6444"/>
    <cellStyle name="RowTitles1-Detail 2 2 2 2 8 2 2" xfId="6445"/>
    <cellStyle name="RowTitles1-Detail 2 2 2 2 8 2 2 2" xfId="6446"/>
    <cellStyle name="RowTitles1-Detail 2 2 2 2 8 2 2_Tertiary Salaries Survey" xfId="6447"/>
    <cellStyle name="RowTitles1-Detail 2 2 2 2 8 2 3" xfId="6448"/>
    <cellStyle name="RowTitles1-Detail 2 2 2 2 8 2_Tertiary Salaries Survey" xfId="6449"/>
    <cellStyle name="RowTitles1-Detail 2 2 2 2 8 3" xfId="6450"/>
    <cellStyle name="RowTitles1-Detail 2 2 2 2 8 3 2" xfId="6451"/>
    <cellStyle name="RowTitles1-Detail 2 2 2 2 8 3 2 2" xfId="6452"/>
    <cellStyle name="RowTitles1-Detail 2 2 2 2 8 3 2_Tertiary Salaries Survey" xfId="6453"/>
    <cellStyle name="RowTitles1-Detail 2 2 2 2 8 3 3" xfId="6454"/>
    <cellStyle name="RowTitles1-Detail 2 2 2 2 8 3_Tertiary Salaries Survey" xfId="6455"/>
    <cellStyle name="RowTitles1-Detail 2 2 2 2 8 4" xfId="6456"/>
    <cellStyle name="RowTitles1-Detail 2 2 2 2 8 4 2" xfId="6457"/>
    <cellStyle name="RowTitles1-Detail 2 2 2 2 8 4_Tertiary Salaries Survey" xfId="6458"/>
    <cellStyle name="RowTitles1-Detail 2 2 2 2 8 5" xfId="6459"/>
    <cellStyle name="RowTitles1-Detail 2 2 2 2 8_Tertiary Salaries Survey" xfId="6460"/>
    <cellStyle name="RowTitles1-Detail 2 2 2 2 9" xfId="6461"/>
    <cellStyle name="RowTitles1-Detail 2 2 2 2 9 2" xfId="6462"/>
    <cellStyle name="RowTitles1-Detail 2 2 2 2 9 2 2" xfId="6463"/>
    <cellStyle name="RowTitles1-Detail 2 2 2 2 9 2 2 2" xfId="6464"/>
    <cellStyle name="RowTitles1-Detail 2 2 2 2 9 2 2_Tertiary Salaries Survey" xfId="6465"/>
    <cellStyle name="RowTitles1-Detail 2 2 2 2 9 2 3" xfId="6466"/>
    <cellStyle name="RowTitles1-Detail 2 2 2 2 9 2_Tertiary Salaries Survey" xfId="6467"/>
    <cellStyle name="RowTitles1-Detail 2 2 2 2 9 3" xfId="6468"/>
    <cellStyle name="RowTitles1-Detail 2 2 2 2 9 3 2" xfId="6469"/>
    <cellStyle name="RowTitles1-Detail 2 2 2 2 9 3 2 2" xfId="6470"/>
    <cellStyle name="RowTitles1-Detail 2 2 2 2 9 3 2_Tertiary Salaries Survey" xfId="6471"/>
    <cellStyle name="RowTitles1-Detail 2 2 2 2 9 3 3" xfId="6472"/>
    <cellStyle name="RowTitles1-Detail 2 2 2 2 9 3_Tertiary Salaries Survey" xfId="6473"/>
    <cellStyle name="RowTitles1-Detail 2 2 2 2 9 4" xfId="6474"/>
    <cellStyle name="RowTitles1-Detail 2 2 2 2 9 4 2" xfId="6475"/>
    <cellStyle name="RowTitles1-Detail 2 2 2 2 9 4_Tertiary Salaries Survey" xfId="6476"/>
    <cellStyle name="RowTitles1-Detail 2 2 2 2 9 5" xfId="6477"/>
    <cellStyle name="RowTitles1-Detail 2 2 2 2 9_Tertiary Salaries Survey" xfId="6478"/>
    <cellStyle name="RowTitles1-Detail 2 2 2 2_STUD aligned by INSTIT" xfId="6479"/>
    <cellStyle name="RowTitles1-Detail 2 2 2 3" xfId="6480"/>
    <cellStyle name="RowTitles1-Detail 2 2 2 3 2" xfId="6481"/>
    <cellStyle name="RowTitles1-Detail 2 2 2 3 2 2" xfId="6482"/>
    <cellStyle name="RowTitles1-Detail 2 2 2 3 2 2 2" xfId="6483"/>
    <cellStyle name="RowTitles1-Detail 2 2 2 3 2 2 2 2" xfId="6484"/>
    <cellStyle name="RowTitles1-Detail 2 2 2 3 2 2 2_Tertiary Salaries Survey" xfId="6485"/>
    <cellStyle name="RowTitles1-Detail 2 2 2 3 2 2 3" xfId="6486"/>
    <cellStyle name="RowTitles1-Detail 2 2 2 3 2 2_Tertiary Salaries Survey" xfId="6487"/>
    <cellStyle name="RowTitles1-Detail 2 2 2 3 2 3" xfId="6488"/>
    <cellStyle name="RowTitles1-Detail 2 2 2 3 2 3 2" xfId="6489"/>
    <cellStyle name="RowTitles1-Detail 2 2 2 3 2 3 2 2" xfId="6490"/>
    <cellStyle name="RowTitles1-Detail 2 2 2 3 2 3 2_Tertiary Salaries Survey" xfId="6491"/>
    <cellStyle name="RowTitles1-Detail 2 2 2 3 2 3 3" xfId="6492"/>
    <cellStyle name="RowTitles1-Detail 2 2 2 3 2 3_Tertiary Salaries Survey" xfId="6493"/>
    <cellStyle name="RowTitles1-Detail 2 2 2 3 2 4" xfId="6494"/>
    <cellStyle name="RowTitles1-Detail 2 2 2 3 2 5" xfId="6495"/>
    <cellStyle name="RowTitles1-Detail 2 2 2 3 2_Tertiary Salaries Survey" xfId="6496"/>
    <cellStyle name="RowTitles1-Detail 2 2 2 3 3" xfId="6497"/>
    <cellStyle name="RowTitles1-Detail 2 2 2 3 3 2" xfId="6498"/>
    <cellStyle name="RowTitles1-Detail 2 2 2 3 3 2 2" xfId="6499"/>
    <cellStyle name="RowTitles1-Detail 2 2 2 3 3 2 2 2" xfId="6500"/>
    <cellStyle name="RowTitles1-Detail 2 2 2 3 3 2 2_Tertiary Salaries Survey" xfId="6501"/>
    <cellStyle name="RowTitles1-Detail 2 2 2 3 3 2 3" xfId="6502"/>
    <cellStyle name="RowTitles1-Detail 2 2 2 3 3 2_Tertiary Salaries Survey" xfId="6503"/>
    <cellStyle name="RowTitles1-Detail 2 2 2 3 3 3" xfId="6504"/>
    <cellStyle name="RowTitles1-Detail 2 2 2 3 3 3 2" xfId="6505"/>
    <cellStyle name="RowTitles1-Detail 2 2 2 3 3 3 2 2" xfId="6506"/>
    <cellStyle name="RowTitles1-Detail 2 2 2 3 3 3 2_Tertiary Salaries Survey" xfId="6507"/>
    <cellStyle name="RowTitles1-Detail 2 2 2 3 3 3 3" xfId="6508"/>
    <cellStyle name="RowTitles1-Detail 2 2 2 3 3 3_Tertiary Salaries Survey" xfId="6509"/>
    <cellStyle name="RowTitles1-Detail 2 2 2 3 3 4" xfId="6510"/>
    <cellStyle name="RowTitles1-Detail 2 2 2 3 3 5" xfId="6511"/>
    <cellStyle name="RowTitles1-Detail 2 2 2 3 3 5 2" xfId="6512"/>
    <cellStyle name="RowTitles1-Detail 2 2 2 3 3 5_Tertiary Salaries Survey" xfId="6513"/>
    <cellStyle name="RowTitles1-Detail 2 2 2 3 3 6" xfId="6514"/>
    <cellStyle name="RowTitles1-Detail 2 2 2 3 3_Tertiary Salaries Survey" xfId="6515"/>
    <cellStyle name="RowTitles1-Detail 2 2 2 3 4" xfId="6516"/>
    <cellStyle name="RowTitles1-Detail 2 2 2 3 4 2" xfId="6517"/>
    <cellStyle name="RowTitles1-Detail 2 2 2 3 4 2 2" xfId="6518"/>
    <cellStyle name="RowTitles1-Detail 2 2 2 3 4 2 2 2" xfId="6519"/>
    <cellStyle name="RowTitles1-Detail 2 2 2 3 4 2 2_Tertiary Salaries Survey" xfId="6520"/>
    <cellStyle name="RowTitles1-Detail 2 2 2 3 4 2 3" xfId="6521"/>
    <cellStyle name="RowTitles1-Detail 2 2 2 3 4 2_Tertiary Salaries Survey" xfId="6522"/>
    <cellStyle name="RowTitles1-Detail 2 2 2 3 4 3" xfId="6523"/>
    <cellStyle name="RowTitles1-Detail 2 2 2 3 4 3 2" xfId="6524"/>
    <cellStyle name="RowTitles1-Detail 2 2 2 3 4 3 2 2" xfId="6525"/>
    <cellStyle name="RowTitles1-Detail 2 2 2 3 4 3 2_Tertiary Salaries Survey" xfId="6526"/>
    <cellStyle name="RowTitles1-Detail 2 2 2 3 4 3 3" xfId="6527"/>
    <cellStyle name="RowTitles1-Detail 2 2 2 3 4 3_Tertiary Salaries Survey" xfId="6528"/>
    <cellStyle name="RowTitles1-Detail 2 2 2 3 4 4" xfId="6529"/>
    <cellStyle name="RowTitles1-Detail 2 2 2 3 4 4 2" xfId="6530"/>
    <cellStyle name="RowTitles1-Detail 2 2 2 3 4 4_Tertiary Salaries Survey" xfId="6531"/>
    <cellStyle name="RowTitles1-Detail 2 2 2 3 4 5" xfId="6532"/>
    <cellStyle name="RowTitles1-Detail 2 2 2 3 4_Tertiary Salaries Survey" xfId="6533"/>
    <cellStyle name="RowTitles1-Detail 2 2 2 3 5" xfId="6534"/>
    <cellStyle name="RowTitles1-Detail 2 2 2 3 5 2" xfId="6535"/>
    <cellStyle name="RowTitles1-Detail 2 2 2 3 5 2 2" xfId="6536"/>
    <cellStyle name="RowTitles1-Detail 2 2 2 3 5 2 2 2" xfId="6537"/>
    <cellStyle name="RowTitles1-Detail 2 2 2 3 5 2 2_Tertiary Salaries Survey" xfId="6538"/>
    <cellStyle name="RowTitles1-Detail 2 2 2 3 5 2 3" xfId="6539"/>
    <cellStyle name="RowTitles1-Detail 2 2 2 3 5 2_Tertiary Salaries Survey" xfId="6540"/>
    <cellStyle name="RowTitles1-Detail 2 2 2 3 5 3" xfId="6541"/>
    <cellStyle name="RowTitles1-Detail 2 2 2 3 5 3 2" xfId="6542"/>
    <cellStyle name="RowTitles1-Detail 2 2 2 3 5 3 2 2" xfId="6543"/>
    <cellStyle name="RowTitles1-Detail 2 2 2 3 5 3 2_Tertiary Salaries Survey" xfId="6544"/>
    <cellStyle name="RowTitles1-Detail 2 2 2 3 5 3 3" xfId="6545"/>
    <cellStyle name="RowTitles1-Detail 2 2 2 3 5 3_Tertiary Salaries Survey" xfId="6546"/>
    <cellStyle name="RowTitles1-Detail 2 2 2 3 5 4" xfId="6547"/>
    <cellStyle name="RowTitles1-Detail 2 2 2 3 5 4 2" xfId="6548"/>
    <cellStyle name="RowTitles1-Detail 2 2 2 3 5 4_Tertiary Salaries Survey" xfId="6549"/>
    <cellStyle name="RowTitles1-Detail 2 2 2 3 5 5" xfId="6550"/>
    <cellStyle name="RowTitles1-Detail 2 2 2 3 5_Tertiary Salaries Survey" xfId="6551"/>
    <cellStyle name="RowTitles1-Detail 2 2 2 3 6" xfId="6552"/>
    <cellStyle name="RowTitles1-Detail 2 2 2 3 6 2" xfId="6553"/>
    <cellStyle name="RowTitles1-Detail 2 2 2 3 6 2 2" xfId="6554"/>
    <cellStyle name="RowTitles1-Detail 2 2 2 3 6 2 2 2" xfId="6555"/>
    <cellStyle name="RowTitles1-Detail 2 2 2 3 6 2 2_Tertiary Salaries Survey" xfId="6556"/>
    <cellStyle name="RowTitles1-Detail 2 2 2 3 6 2 3" xfId="6557"/>
    <cellStyle name="RowTitles1-Detail 2 2 2 3 6 2_Tertiary Salaries Survey" xfId="6558"/>
    <cellStyle name="RowTitles1-Detail 2 2 2 3 6 3" xfId="6559"/>
    <cellStyle name="RowTitles1-Detail 2 2 2 3 6 3 2" xfId="6560"/>
    <cellStyle name="RowTitles1-Detail 2 2 2 3 6 3 2 2" xfId="6561"/>
    <cellStyle name="RowTitles1-Detail 2 2 2 3 6 3 2_Tertiary Salaries Survey" xfId="6562"/>
    <cellStyle name="RowTitles1-Detail 2 2 2 3 6 3 3" xfId="6563"/>
    <cellStyle name="RowTitles1-Detail 2 2 2 3 6 3_Tertiary Salaries Survey" xfId="6564"/>
    <cellStyle name="RowTitles1-Detail 2 2 2 3 6 4" xfId="6565"/>
    <cellStyle name="RowTitles1-Detail 2 2 2 3 6 4 2" xfId="6566"/>
    <cellStyle name="RowTitles1-Detail 2 2 2 3 6 4_Tertiary Salaries Survey" xfId="6567"/>
    <cellStyle name="RowTitles1-Detail 2 2 2 3 6 5" xfId="6568"/>
    <cellStyle name="RowTitles1-Detail 2 2 2 3 6_Tertiary Salaries Survey" xfId="6569"/>
    <cellStyle name="RowTitles1-Detail 2 2 2 3 7" xfId="6570"/>
    <cellStyle name="RowTitles1-Detail 2 2 2 3 7 2" xfId="6571"/>
    <cellStyle name="RowTitles1-Detail 2 2 2 3 7 2 2" xfId="6572"/>
    <cellStyle name="RowTitles1-Detail 2 2 2 3 7 2_Tertiary Salaries Survey" xfId="6573"/>
    <cellStyle name="RowTitles1-Detail 2 2 2 3 7 3" xfId="6574"/>
    <cellStyle name="RowTitles1-Detail 2 2 2 3 7_Tertiary Salaries Survey" xfId="6575"/>
    <cellStyle name="RowTitles1-Detail 2 2 2 3 8" xfId="6576"/>
    <cellStyle name="RowTitles1-Detail 2 2 2 3 9" xfId="6577"/>
    <cellStyle name="RowTitles1-Detail 2 2 2 3_STUD aligned by INSTIT" xfId="6578"/>
    <cellStyle name="RowTitles1-Detail 2 2 2 4" xfId="6579"/>
    <cellStyle name="RowTitles1-Detail 2 2 2 4 2" xfId="6580"/>
    <cellStyle name="RowTitles1-Detail 2 2 2 4 2 2" xfId="6581"/>
    <cellStyle name="RowTitles1-Detail 2 2 2 4 2 2 2" xfId="6582"/>
    <cellStyle name="RowTitles1-Detail 2 2 2 4 2 2 2 2" xfId="6583"/>
    <cellStyle name="RowTitles1-Detail 2 2 2 4 2 2 2_Tertiary Salaries Survey" xfId="6584"/>
    <cellStyle name="RowTitles1-Detail 2 2 2 4 2 2 3" xfId="6585"/>
    <cellStyle name="RowTitles1-Detail 2 2 2 4 2 2_Tertiary Salaries Survey" xfId="6586"/>
    <cellStyle name="RowTitles1-Detail 2 2 2 4 2 3" xfId="6587"/>
    <cellStyle name="RowTitles1-Detail 2 2 2 4 2 3 2" xfId="6588"/>
    <cellStyle name="RowTitles1-Detail 2 2 2 4 2 3 2 2" xfId="6589"/>
    <cellStyle name="RowTitles1-Detail 2 2 2 4 2 3 2_Tertiary Salaries Survey" xfId="6590"/>
    <cellStyle name="RowTitles1-Detail 2 2 2 4 2 3 3" xfId="6591"/>
    <cellStyle name="RowTitles1-Detail 2 2 2 4 2 3_Tertiary Salaries Survey" xfId="6592"/>
    <cellStyle name="RowTitles1-Detail 2 2 2 4 2 4" xfId="6593"/>
    <cellStyle name="RowTitles1-Detail 2 2 2 4 2 5" xfId="6594"/>
    <cellStyle name="RowTitles1-Detail 2 2 2 4 2 5 2" xfId="6595"/>
    <cellStyle name="RowTitles1-Detail 2 2 2 4 2 5_Tertiary Salaries Survey" xfId="6596"/>
    <cellStyle name="RowTitles1-Detail 2 2 2 4 2 6" xfId="6597"/>
    <cellStyle name="RowTitles1-Detail 2 2 2 4 2_Tertiary Salaries Survey" xfId="6598"/>
    <cellStyle name="RowTitles1-Detail 2 2 2 4 3" xfId="6599"/>
    <cellStyle name="RowTitles1-Detail 2 2 2 4 3 2" xfId="6600"/>
    <cellStyle name="RowTitles1-Detail 2 2 2 4 3 2 2" xfId="6601"/>
    <cellStyle name="RowTitles1-Detail 2 2 2 4 3 2 2 2" xfId="6602"/>
    <cellStyle name="RowTitles1-Detail 2 2 2 4 3 2 2_Tertiary Salaries Survey" xfId="6603"/>
    <cellStyle name="RowTitles1-Detail 2 2 2 4 3 2 3" xfId="6604"/>
    <cellStyle name="RowTitles1-Detail 2 2 2 4 3 2_Tertiary Salaries Survey" xfId="6605"/>
    <cellStyle name="RowTitles1-Detail 2 2 2 4 3 3" xfId="6606"/>
    <cellStyle name="RowTitles1-Detail 2 2 2 4 3 3 2" xfId="6607"/>
    <cellStyle name="RowTitles1-Detail 2 2 2 4 3 3 2 2" xfId="6608"/>
    <cellStyle name="RowTitles1-Detail 2 2 2 4 3 3 2_Tertiary Salaries Survey" xfId="6609"/>
    <cellStyle name="RowTitles1-Detail 2 2 2 4 3 3 3" xfId="6610"/>
    <cellStyle name="RowTitles1-Detail 2 2 2 4 3 3_Tertiary Salaries Survey" xfId="6611"/>
    <cellStyle name="RowTitles1-Detail 2 2 2 4 3 4" xfId="6612"/>
    <cellStyle name="RowTitles1-Detail 2 2 2 4 3 5" xfId="6613"/>
    <cellStyle name="RowTitles1-Detail 2 2 2 4 3_Tertiary Salaries Survey" xfId="6614"/>
    <cellStyle name="RowTitles1-Detail 2 2 2 4 4" xfId="6615"/>
    <cellStyle name="RowTitles1-Detail 2 2 2 4 4 2" xfId="6616"/>
    <cellStyle name="RowTitles1-Detail 2 2 2 4 4 2 2" xfId="6617"/>
    <cellStyle name="RowTitles1-Detail 2 2 2 4 4 2 2 2" xfId="6618"/>
    <cellStyle name="RowTitles1-Detail 2 2 2 4 4 2 2_Tertiary Salaries Survey" xfId="6619"/>
    <cellStyle name="RowTitles1-Detail 2 2 2 4 4 2 3" xfId="6620"/>
    <cellStyle name="RowTitles1-Detail 2 2 2 4 4 2_Tertiary Salaries Survey" xfId="6621"/>
    <cellStyle name="RowTitles1-Detail 2 2 2 4 4 3" xfId="6622"/>
    <cellStyle name="RowTitles1-Detail 2 2 2 4 4 3 2" xfId="6623"/>
    <cellStyle name="RowTitles1-Detail 2 2 2 4 4 3 2 2" xfId="6624"/>
    <cellStyle name="RowTitles1-Detail 2 2 2 4 4 3 2_Tertiary Salaries Survey" xfId="6625"/>
    <cellStyle name="RowTitles1-Detail 2 2 2 4 4 3 3" xfId="6626"/>
    <cellStyle name="RowTitles1-Detail 2 2 2 4 4 3_Tertiary Salaries Survey" xfId="6627"/>
    <cellStyle name="RowTitles1-Detail 2 2 2 4 4 4" xfId="6628"/>
    <cellStyle name="RowTitles1-Detail 2 2 2 4 4 4 2" xfId="6629"/>
    <cellStyle name="RowTitles1-Detail 2 2 2 4 4 4_Tertiary Salaries Survey" xfId="6630"/>
    <cellStyle name="RowTitles1-Detail 2 2 2 4 4 5" xfId="6631"/>
    <cellStyle name="RowTitles1-Detail 2 2 2 4 4_Tertiary Salaries Survey" xfId="6632"/>
    <cellStyle name="RowTitles1-Detail 2 2 2 4 5" xfId="6633"/>
    <cellStyle name="RowTitles1-Detail 2 2 2 4 5 2" xfId="6634"/>
    <cellStyle name="RowTitles1-Detail 2 2 2 4 5 2 2" xfId="6635"/>
    <cellStyle name="RowTitles1-Detail 2 2 2 4 5 2 2 2" xfId="6636"/>
    <cellStyle name="RowTitles1-Detail 2 2 2 4 5 2 2_Tertiary Salaries Survey" xfId="6637"/>
    <cellStyle name="RowTitles1-Detail 2 2 2 4 5 2 3" xfId="6638"/>
    <cellStyle name="RowTitles1-Detail 2 2 2 4 5 2_Tertiary Salaries Survey" xfId="6639"/>
    <cellStyle name="RowTitles1-Detail 2 2 2 4 5 3" xfId="6640"/>
    <cellStyle name="RowTitles1-Detail 2 2 2 4 5 3 2" xfId="6641"/>
    <cellStyle name="RowTitles1-Detail 2 2 2 4 5 3 2 2" xfId="6642"/>
    <cellStyle name="RowTitles1-Detail 2 2 2 4 5 3 2_Tertiary Salaries Survey" xfId="6643"/>
    <cellStyle name="RowTitles1-Detail 2 2 2 4 5 3 3" xfId="6644"/>
    <cellStyle name="RowTitles1-Detail 2 2 2 4 5 3_Tertiary Salaries Survey" xfId="6645"/>
    <cellStyle name="RowTitles1-Detail 2 2 2 4 5 4" xfId="6646"/>
    <cellStyle name="RowTitles1-Detail 2 2 2 4 5 4 2" xfId="6647"/>
    <cellStyle name="RowTitles1-Detail 2 2 2 4 5 4_Tertiary Salaries Survey" xfId="6648"/>
    <cellStyle name="RowTitles1-Detail 2 2 2 4 5 5" xfId="6649"/>
    <cellStyle name="RowTitles1-Detail 2 2 2 4 5_Tertiary Salaries Survey" xfId="6650"/>
    <cellStyle name="RowTitles1-Detail 2 2 2 4 6" xfId="6651"/>
    <cellStyle name="RowTitles1-Detail 2 2 2 4 6 2" xfId="6652"/>
    <cellStyle name="RowTitles1-Detail 2 2 2 4 6 2 2" xfId="6653"/>
    <cellStyle name="RowTitles1-Detail 2 2 2 4 6 2 2 2" xfId="6654"/>
    <cellStyle name="RowTitles1-Detail 2 2 2 4 6 2 2_Tertiary Salaries Survey" xfId="6655"/>
    <cellStyle name="RowTitles1-Detail 2 2 2 4 6 2 3" xfId="6656"/>
    <cellStyle name="RowTitles1-Detail 2 2 2 4 6 2_Tertiary Salaries Survey" xfId="6657"/>
    <cellStyle name="RowTitles1-Detail 2 2 2 4 6 3" xfId="6658"/>
    <cellStyle name="RowTitles1-Detail 2 2 2 4 6 3 2" xfId="6659"/>
    <cellStyle name="RowTitles1-Detail 2 2 2 4 6 3 2 2" xfId="6660"/>
    <cellStyle name="RowTitles1-Detail 2 2 2 4 6 3 2_Tertiary Salaries Survey" xfId="6661"/>
    <cellStyle name="RowTitles1-Detail 2 2 2 4 6 3 3" xfId="6662"/>
    <cellStyle name="RowTitles1-Detail 2 2 2 4 6 3_Tertiary Salaries Survey" xfId="6663"/>
    <cellStyle name="RowTitles1-Detail 2 2 2 4 6 4" xfId="6664"/>
    <cellStyle name="RowTitles1-Detail 2 2 2 4 6 4 2" xfId="6665"/>
    <cellStyle name="RowTitles1-Detail 2 2 2 4 6 4_Tertiary Salaries Survey" xfId="6666"/>
    <cellStyle name="RowTitles1-Detail 2 2 2 4 6 5" xfId="6667"/>
    <cellStyle name="RowTitles1-Detail 2 2 2 4 6_Tertiary Salaries Survey" xfId="6668"/>
    <cellStyle name="RowTitles1-Detail 2 2 2 4 7" xfId="6669"/>
    <cellStyle name="RowTitles1-Detail 2 2 2 4 7 2" xfId="6670"/>
    <cellStyle name="RowTitles1-Detail 2 2 2 4 7 2 2" xfId="6671"/>
    <cellStyle name="RowTitles1-Detail 2 2 2 4 7 2_Tertiary Salaries Survey" xfId="6672"/>
    <cellStyle name="RowTitles1-Detail 2 2 2 4 7 3" xfId="6673"/>
    <cellStyle name="RowTitles1-Detail 2 2 2 4 7_Tertiary Salaries Survey" xfId="6674"/>
    <cellStyle name="RowTitles1-Detail 2 2 2 4 8" xfId="6675"/>
    <cellStyle name="RowTitles1-Detail 2 2 2 4 8 2" xfId="6676"/>
    <cellStyle name="RowTitles1-Detail 2 2 2 4 8 2 2" xfId="6677"/>
    <cellStyle name="RowTitles1-Detail 2 2 2 4 8 2_Tertiary Salaries Survey" xfId="6678"/>
    <cellStyle name="RowTitles1-Detail 2 2 2 4 8 3" xfId="6679"/>
    <cellStyle name="RowTitles1-Detail 2 2 2 4 8_Tertiary Salaries Survey" xfId="6680"/>
    <cellStyle name="RowTitles1-Detail 2 2 2 4 9" xfId="6681"/>
    <cellStyle name="RowTitles1-Detail 2 2 2 4_STUD aligned by INSTIT" xfId="6682"/>
    <cellStyle name="RowTitles1-Detail 2 2 2 5" xfId="6683"/>
    <cellStyle name="RowTitles1-Detail 2 2 2 5 2" xfId="6684"/>
    <cellStyle name="RowTitles1-Detail 2 2 2 5 2 2" xfId="6685"/>
    <cellStyle name="RowTitles1-Detail 2 2 2 5 2 2 2" xfId="6686"/>
    <cellStyle name="RowTitles1-Detail 2 2 2 5 2 2 2 2" xfId="6687"/>
    <cellStyle name="RowTitles1-Detail 2 2 2 5 2 2 2_Tertiary Salaries Survey" xfId="6688"/>
    <cellStyle name="RowTitles1-Detail 2 2 2 5 2 2 3" xfId="6689"/>
    <cellStyle name="RowTitles1-Detail 2 2 2 5 2 2_Tertiary Salaries Survey" xfId="6690"/>
    <cellStyle name="RowTitles1-Detail 2 2 2 5 2 3" xfId="6691"/>
    <cellStyle name="RowTitles1-Detail 2 2 2 5 2 3 2" xfId="6692"/>
    <cellStyle name="RowTitles1-Detail 2 2 2 5 2 3 2 2" xfId="6693"/>
    <cellStyle name="RowTitles1-Detail 2 2 2 5 2 3 2_Tertiary Salaries Survey" xfId="6694"/>
    <cellStyle name="RowTitles1-Detail 2 2 2 5 2 3 3" xfId="6695"/>
    <cellStyle name="RowTitles1-Detail 2 2 2 5 2 3_Tertiary Salaries Survey" xfId="6696"/>
    <cellStyle name="RowTitles1-Detail 2 2 2 5 2 4" xfId="6697"/>
    <cellStyle name="RowTitles1-Detail 2 2 2 5 2 5" xfId="6698"/>
    <cellStyle name="RowTitles1-Detail 2 2 2 5 2 5 2" xfId="6699"/>
    <cellStyle name="RowTitles1-Detail 2 2 2 5 2 5_Tertiary Salaries Survey" xfId="6700"/>
    <cellStyle name="RowTitles1-Detail 2 2 2 5 2 6" xfId="6701"/>
    <cellStyle name="RowTitles1-Detail 2 2 2 5 2_Tertiary Salaries Survey" xfId="6702"/>
    <cellStyle name="RowTitles1-Detail 2 2 2 5 3" xfId="6703"/>
    <cellStyle name="RowTitles1-Detail 2 2 2 5 3 2" xfId="6704"/>
    <cellStyle name="RowTitles1-Detail 2 2 2 5 3 2 2" xfId="6705"/>
    <cellStyle name="RowTitles1-Detail 2 2 2 5 3 2 2 2" xfId="6706"/>
    <cellStyle name="RowTitles1-Detail 2 2 2 5 3 2 2_Tertiary Salaries Survey" xfId="6707"/>
    <cellStyle name="RowTitles1-Detail 2 2 2 5 3 2 3" xfId="6708"/>
    <cellStyle name="RowTitles1-Detail 2 2 2 5 3 2_Tertiary Salaries Survey" xfId="6709"/>
    <cellStyle name="RowTitles1-Detail 2 2 2 5 3 3" xfId="6710"/>
    <cellStyle name="RowTitles1-Detail 2 2 2 5 3 3 2" xfId="6711"/>
    <cellStyle name="RowTitles1-Detail 2 2 2 5 3 3 2 2" xfId="6712"/>
    <cellStyle name="RowTitles1-Detail 2 2 2 5 3 3 2_Tertiary Salaries Survey" xfId="6713"/>
    <cellStyle name="RowTitles1-Detail 2 2 2 5 3 3 3" xfId="6714"/>
    <cellStyle name="RowTitles1-Detail 2 2 2 5 3 3_Tertiary Salaries Survey" xfId="6715"/>
    <cellStyle name="RowTitles1-Detail 2 2 2 5 3 4" xfId="6716"/>
    <cellStyle name="RowTitles1-Detail 2 2 2 5 3 5" xfId="6717"/>
    <cellStyle name="RowTitles1-Detail 2 2 2 5 3_Tertiary Salaries Survey" xfId="6718"/>
    <cellStyle name="RowTitles1-Detail 2 2 2 5 4" xfId="6719"/>
    <cellStyle name="RowTitles1-Detail 2 2 2 5 4 2" xfId="6720"/>
    <cellStyle name="RowTitles1-Detail 2 2 2 5 4 2 2" xfId="6721"/>
    <cellStyle name="RowTitles1-Detail 2 2 2 5 4 2 2 2" xfId="6722"/>
    <cellStyle name="RowTitles1-Detail 2 2 2 5 4 2 2_Tertiary Salaries Survey" xfId="6723"/>
    <cellStyle name="RowTitles1-Detail 2 2 2 5 4 2 3" xfId="6724"/>
    <cellStyle name="RowTitles1-Detail 2 2 2 5 4 2_Tertiary Salaries Survey" xfId="6725"/>
    <cellStyle name="RowTitles1-Detail 2 2 2 5 4 3" xfId="6726"/>
    <cellStyle name="RowTitles1-Detail 2 2 2 5 4 3 2" xfId="6727"/>
    <cellStyle name="RowTitles1-Detail 2 2 2 5 4 3 2 2" xfId="6728"/>
    <cellStyle name="RowTitles1-Detail 2 2 2 5 4 3 2_Tertiary Salaries Survey" xfId="6729"/>
    <cellStyle name="RowTitles1-Detail 2 2 2 5 4 3 3" xfId="6730"/>
    <cellStyle name="RowTitles1-Detail 2 2 2 5 4 3_Tertiary Salaries Survey" xfId="6731"/>
    <cellStyle name="RowTitles1-Detail 2 2 2 5 4 4" xfId="6732"/>
    <cellStyle name="RowTitles1-Detail 2 2 2 5 4 5" xfId="6733"/>
    <cellStyle name="RowTitles1-Detail 2 2 2 5 4 5 2" xfId="6734"/>
    <cellStyle name="RowTitles1-Detail 2 2 2 5 4 5_Tertiary Salaries Survey" xfId="6735"/>
    <cellStyle name="RowTitles1-Detail 2 2 2 5 4 6" xfId="6736"/>
    <cellStyle name="RowTitles1-Detail 2 2 2 5 4_Tertiary Salaries Survey" xfId="6737"/>
    <cellStyle name="RowTitles1-Detail 2 2 2 5 5" xfId="6738"/>
    <cellStyle name="RowTitles1-Detail 2 2 2 5 5 2" xfId="6739"/>
    <cellStyle name="RowTitles1-Detail 2 2 2 5 5 2 2" xfId="6740"/>
    <cellStyle name="RowTitles1-Detail 2 2 2 5 5 2 2 2" xfId="6741"/>
    <cellStyle name="RowTitles1-Detail 2 2 2 5 5 2 2_Tertiary Salaries Survey" xfId="6742"/>
    <cellStyle name="RowTitles1-Detail 2 2 2 5 5 2 3" xfId="6743"/>
    <cellStyle name="RowTitles1-Detail 2 2 2 5 5 2_Tertiary Salaries Survey" xfId="6744"/>
    <cellStyle name="RowTitles1-Detail 2 2 2 5 5 3" xfId="6745"/>
    <cellStyle name="RowTitles1-Detail 2 2 2 5 5 3 2" xfId="6746"/>
    <cellStyle name="RowTitles1-Detail 2 2 2 5 5 3 2 2" xfId="6747"/>
    <cellStyle name="RowTitles1-Detail 2 2 2 5 5 3 2_Tertiary Salaries Survey" xfId="6748"/>
    <cellStyle name="RowTitles1-Detail 2 2 2 5 5 3 3" xfId="6749"/>
    <cellStyle name="RowTitles1-Detail 2 2 2 5 5 3_Tertiary Salaries Survey" xfId="6750"/>
    <cellStyle name="RowTitles1-Detail 2 2 2 5 5 4" xfId="6751"/>
    <cellStyle name="RowTitles1-Detail 2 2 2 5 5 4 2" xfId="6752"/>
    <cellStyle name="RowTitles1-Detail 2 2 2 5 5 4_Tertiary Salaries Survey" xfId="6753"/>
    <cellStyle name="RowTitles1-Detail 2 2 2 5 5 5" xfId="6754"/>
    <cellStyle name="RowTitles1-Detail 2 2 2 5 5_Tertiary Salaries Survey" xfId="6755"/>
    <cellStyle name="RowTitles1-Detail 2 2 2 5 6" xfId="6756"/>
    <cellStyle name="RowTitles1-Detail 2 2 2 5 6 2" xfId="6757"/>
    <cellStyle name="RowTitles1-Detail 2 2 2 5 6 2 2" xfId="6758"/>
    <cellStyle name="RowTitles1-Detail 2 2 2 5 6 2 2 2" xfId="6759"/>
    <cellStyle name="RowTitles1-Detail 2 2 2 5 6 2 2_Tertiary Salaries Survey" xfId="6760"/>
    <cellStyle name="RowTitles1-Detail 2 2 2 5 6 2 3" xfId="6761"/>
    <cellStyle name="RowTitles1-Detail 2 2 2 5 6 2_Tertiary Salaries Survey" xfId="6762"/>
    <cellStyle name="RowTitles1-Detail 2 2 2 5 6 3" xfId="6763"/>
    <cellStyle name="RowTitles1-Detail 2 2 2 5 6 3 2" xfId="6764"/>
    <cellStyle name="RowTitles1-Detail 2 2 2 5 6 3 2 2" xfId="6765"/>
    <cellStyle name="RowTitles1-Detail 2 2 2 5 6 3 2_Tertiary Salaries Survey" xfId="6766"/>
    <cellStyle name="RowTitles1-Detail 2 2 2 5 6 3 3" xfId="6767"/>
    <cellStyle name="RowTitles1-Detail 2 2 2 5 6 3_Tertiary Salaries Survey" xfId="6768"/>
    <cellStyle name="RowTitles1-Detail 2 2 2 5 6 4" xfId="6769"/>
    <cellStyle name="RowTitles1-Detail 2 2 2 5 6 4 2" xfId="6770"/>
    <cellStyle name="RowTitles1-Detail 2 2 2 5 6 4_Tertiary Salaries Survey" xfId="6771"/>
    <cellStyle name="RowTitles1-Detail 2 2 2 5 6 5" xfId="6772"/>
    <cellStyle name="RowTitles1-Detail 2 2 2 5 6_Tertiary Salaries Survey" xfId="6773"/>
    <cellStyle name="RowTitles1-Detail 2 2 2 5 7" xfId="6774"/>
    <cellStyle name="RowTitles1-Detail 2 2 2 5 7 2" xfId="6775"/>
    <cellStyle name="RowTitles1-Detail 2 2 2 5 7 2 2" xfId="6776"/>
    <cellStyle name="RowTitles1-Detail 2 2 2 5 7 2_Tertiary Salaries Survey" xfId="6777"/>
    <cellStyle name="RowTitles1-Detail 2 2 2 5 7 3" xfId="6778"/>
    <cellStyle name="RowTitles1-Detail 2 2 2 5 7_Tertiary Salaries Survey" xfId="6779"/>
    <cellStyle name="RowTitles1-Detail 2 2 2 5 8" xfId="6780"/>
    <cellStyle name="RowTitles1-Detail 2 2 2 5 9" xfId="6781"/>
    <cellStyle name="RowTitles1-Detail 2 2 2 5_STUD aligned by INSTIT" xfId="6782"/>
    <cellStyle name="RowTitles1-Detail 2 2 2 6" xfId="6783"/>
    <cellStyle name="RowTitles1-Detail 2 2 2 6 2" xfId="6784"/>
    <cellStyle name="RowTitles1-Detail 2 2 2 6 2 2" xfId="6785"/>
    <cellStyle name="RowTitles1-Detail 2 2 2 6 2 2 2" xfId="6786"/>
    <cellStyle name="RowTitles1-Detail 2 2 2 6 2 2_Tertiary Salaries Survey" xfId="6787"/>
    <cellStyle name="RowTitles1-Detail 2 2 2 6 2 3" xfId="6788"/>
    <cellStyle name="RowTitles1-Detail 2 2 2 6 2_Tertiary Salaries Survey" xfId="6789"/>
    <cellStyle name="RowTitles1-Detail 2 2 2 6 3" xfId="6790"/>
    <cellStyle name="RowTitles1-Detail 2 2 2 6 3 2" xfId="6791"/>
    <cellStyle name="RowTitles1-Detail 2 2 2 6 3 2 2" xfId="6792"/>
    <cellStyle name="RowTitles1-Detail 2 2 2 6 3 2_Tertiary Salaries Survey" xfId="6793"/>
    <cellStyle name="RowTitles1-Detail 2 2 2 6 3 3" xfId="6794"/>
    <cellStyle name="RowTitles1-Detail 2 2 2 6 3_Tertiary Salaries Survey" xfId="6795"/>
    <cellStyle name="RowTitles1-Detail 2 2 2 6 4" xfId="6796"/>
    <cellStyle name="RowTitles1-Detail 2 2 2 6 5" xfId="6797"/>
    <cellStyle name="RowTitles1-Detail 2 2 2 6 5 2" xfId="6798"/>
    <cellStyle name="RowTitles1-Detail 2 2 2 6 5_Tertiary Salaries Survey" xfId="6799"/>
    <cellStyle name="RowTitles1-Detail 2 2 2 6 6" xfId="6800"/>
    <cellStyle name="RowTitles1-Detail 2 2 2 6_Tertiary Salaries Survey" xfId="6801"/>
    <cellStyle name="RowTitles1-Detail 2 2 2 7" xfId="6802"/>
    <cellStyle name="RowTitles1-Detail 2 2 2 7 2" xfId="6803"/>
    <cellStyle name="RowTitles1-Detail 2 2 2 7 2 2" xfId="6804"/>
    <cellStyle name="RowTitles1-Detail 2 2 2 7 2 2 2" xfId="6805"/>
    <cellStyle name="RowTitles1-Detail 2 2 2 7 2 2_Tertiary Salaries Survey" xfId="6806"/>
    <cellStyle name="RowTitles1-Detail 2 2 2 7 2 3" xfId="6807"/>
    <cellStyle name="RowTitles1-Detail 2 2 2 7 2_Tertiary Salaries Survey" xfId="6808"/>
    <cellStyle name="RowTitles1-Detail 2 2 2 7 3" xfId="6809"/>
    <cellStyle name="RowTitles1-Detail 2 2 2 7 3 2" xfId="6810"/>
    <cellStyle name="RowTitles1-Detail 2 2 2 7 3 2 2" xfId="6811"/>
    <cellStyle name="RowTitles1-Detail 2 2 2 7 3 2_Tertiary Salaries Survey" xfId="6812"/>
    <cellStyle name="RowTitles1-Detail 2 2 2 7 3 3" xfId="6813"/>
    <cellStyle name="RowTitles1-Detail 2 2 2 7 3_Tertiary Salaries Survey" xfId="6814"/>
    <cellStyle name="RowTitles1-Detail 2 2 2 7 4" xfId="6815"/>
    <cellStyle name="RowTitles1-Detail 2 2 2 7 5" xfId="6816"/>
    <cellStyle name="RowTitles1-Detail 2 2 2 7_Tertiary Salaries Survey" xfId="6817"/>
    <cellStyle name="RowTitles1-Detail 2 2 2 8" xfId="6818"/>
    <cellStyle name="RowTitles1-Detail 2 2 2 8 2" xfId="6819"/>
    <cellStyle name="RowTitles1-Detail 2 2 2 8 2 2" xfId="6820"/>
    <cellStyle name="RowTitles1-Detail 2 2 2 8 2 2 2" xfId="6821"/>
    <cellStyle name="RowTitles1-Detail 2 2 2 8 2 2_Tertiary Salaries Survey" xfId="6822"/>
    <cellStyle name="RowTitles1-Detail 2 2 2 8 2 3" xfId="6823"/>
    <cellStyle name="RowTitles1-Detail 2 2 2 8 2_Tertiary Salaries Survey" xfId="6824"/>
    <cellStyle name="RowTitles1-Detail 2 2 2 8 3" xfId="6825"/>
    <cellStyle name="RowTitles1-Detail 2 2 2 8 3 2" xfId="6826"/>
    <cellStyle name="RowTitles1-Detail 2 2 2 8 3 2 2" xfId="6827"/>
    <cellStyle name="RowTitles1-Detail 2 2 2 8 3 2_Tertiary Salaries Survey" xfId="6828"/>
    <cellStyle name="RowTitles1-Detail 2 2 2 8 3 3" xfId="6829"/>
    <cellStyle name="RowTitles1-Detail 2 2 2 8 3_Tertiary Salaries Survey" xfId="6830"/>
    <cellStyle name="RowTitles1-Detail 2 2 2 8 4" xfId="6831"/>
    <cellStyle name="RowTitles1-Detail 2 2 2 8 5" xfId="6832"/>
    <cellStyle name="RowTitles1-Detail 2 2 2 8 5 2" xfId="6833"/>
    <cellStyle name="RowTitles1-Detail 2 2 2 8 5_Tertiary Salaries Survey" xfId="6834"/>
    <cellStyle name="RowTitles1-Detail 2 2 2 8 6" xfId="6835"/>
    <cellStyle name="RowTitles1-Detail 2 2 2 8_Tertiary Salaries Survey" xfId="6836"/>
    <cellStyle name="RowTitles1-Detail 2 2 2 9" xfId="6837"/>
    <cellStyle name="RowTitles1-Detail 2 2 2 9 2" xfId="6838"/>
    <cellStyle name="RowTitles1-Detail 2 2 2 9 2 2" xfId="6839"/>
    <cellStyle name="RowTitles1-Detail 2 2 2 9 2 2 2" xfId="6840"/>
    <cellStyle name="RowTitles1-Detail 2 2 2 9 2 2_Tertiary Salaries Survey" xfId="6841"/>
    <cellStyle name="RowTitles1-Detail 2 2 2 9 2 3" xfId="6842"/>
    <cellStyle name="RowTitles1-Detail 2 2 2 9 2_Tertiary Salaries Survey" xfId="6843"/>
    <cellStyle name="RowTitles1-Detail 2 2 2 9 3" xfId="6844"/>
    <cellStyle name="RowTitles1-Detail 2 2 2 9 3 2" xfId="6845"/>
    <cellStyle name="RowTitles1-Detail 2 2 2 9 3 2 2" xfId="6846"/>
    <cellStyle name="RowTitles1-Detail 2 2 2 9 3 2_Tertiary Salaries Survey" xfId="6847"/>
    <cellStyle name="RowTitles1-Detail 2 2 2 9 3 3" xfId="6848"/>
    <cellStyle name="RowTitles1-Detail 2 2 2 9 3_Tertiary Salaries Survey" xfId="6849"/>
    <cellStyle name="RowTitles1-Detail 2 2 2 9 4" xfId="6850"/>
    <cellStyle name="RowTitles1-Detail 2 2 2 9 4 2" xfId="6851"/>
    <cellStyle name="RowTitles1-Detail 2 2 2 9 4_Tertiary Salaries Survey" xfId="6852"/>
    <cellStyle name="RowTitles1-Detail 2 2 2 9 5" xfId="6853"/>
    <cellStyle name="RowTitles1-Detail 2 2 2 9_Tertiary Salaries Survey" xfId="6854"/>
    <cellStyle name="RowTitles1-Detail 2 2 2_STUD aligned by INSTIT" xfId="6855"/>
    <cellStyle name="RowTitles1-Detail 2 2 3" xfId="6856"/>
    <cellStyle name="RowTitles1-Detail 2 2 3 10" xfId="6857"/>
    <cellStyle name="RowTitles1-Detail 2 2 3 10 2" xfId="6858"/>
    <cellStyle name="RowTitles1-Detail 2 2 3 10 2 2" xfId="6859"/>
    <cellStyle name="RowTitles1-Detail 2 2 3 10 2_Tertiary Salaries Survey" xfId="6860"/>
    <cellStyle name="RowTitles1-Detail 2 2 3 10 3" xfId="6861"/>
    <cellStyle name="RowTitles1-Detail 2 2 3 10_Tertiary Salaries Survey" xfId="6862"/>
    <cellStyle name="RowTitles1-Detail 2 2 3 11" xfId="6863"/>
    <cellStyle name="RowTitles1-Detail 2 2 3 12" xfId="6864"/>
    <cellStyle name="RowTitles1-Detail 2 2 3 2" xfId="6865"/>
    <cellStyle name="RowTitles1-Detail 2 2 3 2 2" xfId="6866"/>
    <cellStyle name="RowTitles1-Detail 2 2 3 2 2 2" xfId="6867"/>
    <cellStyle name="RowTitles1-Detail 2 2 3 2 2 2 2" xfId="6868"/>
    <cellStyle name="RowTitles1-Detail 2 2 3 2 2 2 2 2" xfId="6869"/>
    <cellStyle name="RowTitles1-Detail 2 2 3 2 2 2 2_Tertiary Salaries Survey" xfId="6870"/>
    <cellStyle name="RowTitles1-Detail 2 2 3 2 2 2 3" xfId="6871"/>
    <cellStyle name="RowTitles1-Detail 2 2 3 2 2 2_Tertiary Salaries Survey" xfId="6872"/>
    <cellStyle name="RowTitles1-Detail 2 2 3 2 2 3" xfId="6873"/>
    <cellStyle name="RowTitles1-Detail 2 2 3 2 2 3 2" xfId="6874"/>
    <cellStyle name="RowTitles1-Detail 2 2 3 2 2 3 2 2" xfId="6875"/>
    <cellStyle name="RowTitles1-Detail 2 2 3 2 2 3 2_Tertiary Salaries Survey" xfId="6876"/>
    <cellStyle name="RowTitles1-Detail 2 2 3 2 2 3 3" xfId="6877"/>
    <cellStyle name="RowTitles1-Detail 2 2 3 2 2 3_Tertiary Salaries Survey" xfId="6878"/>
    <cellStyle name="RowTitles1-Detail 2 2 3 2 2 4" xfId="6879"/>
    <cellStyle name="RowTitles1-Detail 2 2 3 2 2 5" xfId="6880"/>
    <cellStyle name="RowTitles1-Detail 2 2 3 2 2_Tertiary Salaries Survey" xfId="6881"/>
    <cellStyle name="RowTitles1-Detail 2 2 3 2 3" xfId="6882"/>
    <cellStyle name="RowTitles1-Detail 2 2 3 2 3 2" xfId="6883"/>
    <cellStyle name="RowTitles1-Detail 2 2 3 2 3 2 2" xfId="6884"/>
    <cellStyle name="RowTitles1-Detail 2 2 3 2 3 2 2 2" xfId="6885"/>
    <cellStyle name="RowTitles1-Detail 2 2 3 2 3 2 2_Tertiary Salaries Survey" xfId="6886"/>
    <cellStyle name="RowTitles1-Detail 2 2 3 2 3 2 3" xfId="6887"/>
    <cellStyle name="RowTitles1-Detail 2 2 3 2 3 2_Tertiary Salaries Survey" xfId="6888"/>
    <cellStyle name="RowTitles1-Detail 2 2 3 2 3 3" xfId="6889"/>
    <cellStyle name="RowTitles1-Detail 2 2 3 2 3 3 2" xfId="6890"/>
    <cellStyle name="RowTitles1-Detail 2 2 3 2 3 3 2 2" xfId="6891"/>
    <cellStyle name="RowTitles1-Detail 2 2 3 2 3 3 2_Tertiary Salaries Survey" xfId="6892"/>
    <cellStyle name="RowTitles1-Detail 2 2 3 2 3 3 3" xfId="6893"/>
    <cellStyle name="RowTitles1-Detail 2 2 3 2 3 3_Tertiary Salaries Survey" xfId="6894"/>
    <cellStyle name="RowTitles1-Detail 2 2 3 2 3 4" xfId="6895"/>
    <cellStyle name="RowTitles1-Detail 2 2 3 2 3 5" xfId="6896"/>
    <cellStyle name="RowTitles1-Detail 2 2 3 2 3 5 2" xfId="6897"/>
    <cellStyle name="RowTitles1-Detail 2 2 3 2 3 5_Tertiary Salaries Survey" xfId="6898"/>
    <cellStyle name="RowTitles1-Detail 2 2 3 2 3 6" xfId="6899"/>
    <cellStyle name="RowTitles1-Detail 2 2 3 2 3_Tertiary Salaries Survey" xfId="6900"/>
    <cellStyle name="RowTitles1-Detail 2 2 3 2 4" xfId="6901"/>
    <cellStyle name="RowTitles1-Detail 2 2 3 2 4 2" xfId="6902"/>
    <cellStyle name="RowTitles1-Detail 2 2 3 2 4 2 2" xfId="6903"/>
    <cellStyle name="RowTitles1-Detail 2 2 3 2 4 2 2 2" xfId="6904"/>
    <cellStyle name="RowTitles1-Detail 2 2 3 2 4 2 2_Tertiary Salaries Survey" xfId="6905"/>
    <cellStyle name="RowTitles1-Detail 2 2 3 2 4 2 3" xfId="6906"/>
    <cellStyle name="RowTitles1-Detail 2 2 3 2 4 2_Tertiary Salaries Survey" xfId="6907"/>
    <cellStyle name="RowTitles1-Detail 2 2 3 2 4 3" xfId="6908"/>
    <cellStyle name="RowTitles1-Detail 2 2 3 2 4 3 2" xfId="6909"/>
    <cellStyle name="RowTitles1-Detail 2 2 3 2 4 3 2 2" xfId="6910"/>
    <cellStyle name="RowTitles1-Detail 2 2 3 2 4 3 2_Tertiary Salaries Survey" xfId="6911"/>
    <cellStyle name="RowTitles1-Detail 2 2 3 2 4 3 3" xfId="6912"/>
    <cellStyle name="RowTitles1-Detail 2 2 3 2 4 3_Tertiary Salaries Survey" xfId="6913"/>
    <cellStyle name="RowTitles1-Detail 2 2 3 2 4 4" xfId="6914"/>
    <cellStyle name="RowTitles1-Detail 2 2 3 2 4 4 2" xfId="6915"/>
    <cellStyle name="RowTitles1-Detail 2 2 3 2 4 4_Tertiary Salaries Survey" xfId="6916"/>
    <cellStyle name="RowTitles1-Detail 2 2 3 2 4 5" xfId="6917"/>
    <cellStyle name="RowTitles1-Detail 2 2 3 2 4_Tertiary Salaries Survey" xfId="6918"/>
    <cellStyle name="RowTitles1-Detail 2 2 3 2 5" xfId="6919"/>
    <cellStyle name="RowTitles1-Detail 2 2 3 2 5 2" xfId="6920"/>
    <cellStyle name="RowTitles1-Detail 2 2 3 2 5 2 2" xfId="6921"/>
    <cellStyle name="RowTitles1-Detail 2 2 3 2 5 2 2 2" xfId="6922"/>
    <cellStyle name="RowTitles1-Detail 2 2 3 2 5 2 2_Tertiary Salaries Survey" xfId="6923"/>
    <cellStyle name="RowTitles1-Detail 2 2 3 2 5 2 3" xfId="6924"/>
    <cellStyle name="RowTitles1-Detail 2 2 3 2 5 2_Tertiary Salaries Survey" xfId="6925"/>
    <cellStyle name="RowTitles1-Detail 2 2 3 2 5 3" xfId="6926"/>
    <cellStyle name="RowTitles1-Detail 2 2 3 2 5 3 2" xfId="6927"/>
    <cellStyle name="RowTitles1-Detail 2 2 3 2 5 3 2 2" xfId="6928"/>
    <cellStyle name="RowTitles1-Detail 2 2 3 2 5 3 2_Tertiary Salaries Survey" xfId="6929"/>
    <cellStyle name="RowTitles1-Detail 2 2 3 2 5 3 3" xfId="6930"/>
    <cellStyle name="RowTitles1-Detail 2 2 3 2 5 3_Tertiary Salaries Survey" xfId="6931"/>
    <cellStyle name="RowTitles1-Detail 2 2 3 2 5 4" xfId="6932"/>
    <cellStyle name="RowTitles1-Detail 2 2 3 2 5 4 2" xfId="6933"/>
    <cellStyle name="RowTitles1-Detail 2 2 3 2 5 4_Tertiary Salaries Survey" xfId="6934"/>
    <cellStyle name="RowTitles1-Detail 2 2 3 2 5 5" xfId="6935"/>
    <cellStyle name="RowTitles1-Detail 2 2 3 2 5_Tertiary Salaries Survey" xfId="6936"/>
    <cellStyle name="RowTitles1-Detail 2 2 3 2 6" xfId="6937"/>
    <cellStyle name="RowTitles1-Detail 2 2 3 2 6 2" xfId="6938"/>
    <cellStyle name="RowTitles1-Detail 2 2 3 2 6 2 2" xfId="6939"/>
    <cellStyle name="RowTitles1-Detail 2 2 3 2 6 2 2 2" xfId="6940"/>
    <cellStyle name="RowTitles1-Detail 2 2 3 2 6 2 2_Tertiary Salaries Survey" xfId="6941"/>
    <cellStyle name="RowTitles1-Detail 2 2 3 2 6 2 3" xfId="6942"/>
    <cellStyle name="RowTitles1-Detail 2 2 3 2 6 2_Tertiary Salaries Survey" xfId="6943"/>
    <cellStyle name="RowTitles1-Detail 2 2 3 2 6 3" xfId="6944"/>
    <cellStyle name="RowTitles1-Detail 2 2 3 2 6 3 2" xfId="6945"/>
    <cellStyle name="RowTitles1-Detail 2 2 3 2 6 3 2 2" xfId="6946"/>
    <cellStyle name="RowTitles1-Detail 2 2 3 2 6 3 2_Tertiary Salaries Survey" xfId="6947"/>
    <cellStyle name="RowTitles1-Detail 2 2 3 2 6 3 3" xfId="6948"/>
    <cellStyle name="RowTitles1-Detail 2 2 3 2 6 3_Tertiary Salaries Survey" xfId="6949"/>
    <cellStyle name="RowTitles1-Detail 2 2 3 2 6 4" xfId="6950"/>
    <cellStyle name="RowTitles1-Detail 2 2 3 2 6 4 2" xfId="6951"/>
    <cellStyle name="RowTitles1-Detail 2 2 3 2 6 4_Tertiary Salaries Survey" xfId="6952"/>
    <cellStyle name="RowTitles1-Detail 2 2 3 2 6 5" xfId="6953"/>
    <cellStyle name="RowTitles1-Detail 2 2 3 2 6_Tertiary Salaries Survey" xfId="6954"/>
    <cellStyle name="RowTitles1-Detail 2 2 3 2 7" xfId="6955"/>
    <cellStyle name="RowTitles1-Detail 2 2 3 2 7 2" xfId="6956"/>
    <cellStyle name="RowTitles1-Detail 2 2 3 2 7 2 2" xfId="6957"/>
    <cellStyle name="RowTitles1-Detail 2 2 3 2 7 2_Tertiary Salaries Survey" xfId="6958"/>
    <cellStyle name="RowTitles1-Detail 2 2 3 2 7 3" xfId="6959"/>
    <cellStyle name="RowTitles1-Detail 2 2 3 2 7_Tertiary Salaries Survey" xfId="6960"/>
    <cellStyle name="RowTitles1-Detail 2 2 3 2 8" xfId="6961"/>
    <cellStyle name="RowTitles1-Detail 2 2 3 2 9" xfId="6962"/>
    <cellStyle name="RowTitles1-Detail 2 2 3 2_STUD aligned by INSTIT" xfId="6963"/>
    <cellStyle name="RowTitles1-Detail 2 2 3 3" xfId="6964"/>
    <cellStyle name="RowTitles1-Detail 2 2 3 3 2" xfId="6965"/>
    <cellStyle name="RowTitles1-Detail 2 2 3 3 2 2" xfId="6966"/>
    <cellStyle name="RowTitles1-Detail 2 2 3 3 2 2 2" xfId="6967"/>
    <cellStyle name="RowTitles1-Detail 2 2 3 3 2 2 2 2" xfId="6968"/>
    <cellStyle name="RowTitles1-Detail 2 2 3 3 2 2 2_Tertiary Salaries Survey" xfId="6969"/>
    <cellStyle name="RowTitles1-Detail 2 2 3 3 2 2 3" xfId="6970"/>
    <cellStyle name="RowTitles1-Detail 2 2 3 3 2 2_Tertiary Salaries Survey" xfId="6971"/>
    <cellStyle name="RowTitles1-Detail 2 2 3 3 2 3" xfId="6972"/>
    <cellStyle name="RowTitles1-Detail 2 2 3 3 2 3 2" xfId="6973"/>
    <cellStyle name="RowTitles1-Detail 2 2 3 3 2 3 2 2" xfId="6974"/>
    <cellStyle name="RowTitles1-Detail 2 2 3 3 2 3 2_Tertiary Salaries Survey" xfId="6975"/>
    <cellStyle name="RowTitles1-Detail 2 2 3 3 2 3 3" xfId="6976"/>
    <cellStyle name="RowTitles1-Detail 2 2 3 3 2 3_Tertiary Salaries Survey" xfId="6977"/>
    <cellStyle name="RowTitles1-Detail 2 2 3 3 2 4" xfId="6978"/>
    <cellStyle name="RowTitles1-Detail 2 2 3 3 2 5" xfId="6979"/>
    <cellStyle name="RowTitles1-Detail 2 2 3 3 2 5 2" xfId="6980"/>
    <cellStyle name="RowTitles1-Detail 2 2 3 3 2 5_Tertiary Salaries Survey" xfId="6981"/>
    <cellStyle name="RowTitles1-Detail 2 2 3 3 2 6" xfId="6982"/>
    <cellStyle name="RowTitles1-Detail 2 2 3 3 2_Tertiary Salaries Survey" xfId="6983"/>
    <cellStyle name="RowTitles1-Detail 2 2 3 3 3" xfId="6984"/>
    <cellStyle name="RowTitles1-Detail 2 2 3 3 3 2" xfId="6985"/>
    <cellStyle name="RowTitles1-Detail 2 2 3 3 3 2 2" xfId="6986"/>
    <cellStyle name="RowTitles1-Detail 2 2 3 3 3 2 2 2" xfId="6987"/>
    <cellStyle name="RowTitles1-Detail 2 2 3 3 3 2 2_Tertiary Salaries Survey" xfId="6988"/>
    <cellStyle name="RowTitles1-Detail 2 2 3 3 3 2 3" xfId="6989"/>
    <cellStyle name="RowTitles1-Detail 2 2 3 3 3 2_Tertiary Salaries Survey" xfId="6990"/>
    <cellStyle name="RowTitles1-Detail 2 2 3 3 3 3" xfId="6991"/>
    <cellStyle name="RowTitles1-Detail 2 2 3 3 3 3 2" xfId="6992"/>
    <cellStyle name="RowTitles1-Detail 2 2 3 3 3 3 2 2" xfId="6993"/>
    <cellStyle name="RowTitles1-Detail 2 2 3 3 3 3 2_Tertiary Salaries Survey" xfId="6994"/>
    <cellStyle name="RowTitles1-Detail 2 2 3 3 3 3 3" xfId="6995"/>
    <cellStyle name="RowTitles1-Detail 2 2 3 3 3 3_Tertiary Salaries Survey" xfId="6996"/>
    <cellStyle name="RowTitles1-Detail 2 2 3 3 3 4" xfId="6997"/>
    <cellStyle name="RowTitles1-Detail 2 2 3 3 3 5" xfId="6998"/>
    <cellStyle name="RowTitles1-Detail 2 2 3 3 3_Tertiary Salaries Survey" xfId="6999"/>
    <cellStyle name="RowTitles1-Detail 2 2 3 3 4" xfId="7000"/>
    <cellStyle name="RowTitles1-Detail 2 2 3 3 4 2" xfId="7001"/>
    <cellStyle name="RowTitles1-Detail 2 2 3 3 4 2 2" xfId="7002"/>
    <cellStyle name="RowTitles1-Detail 2 2 3 3 4 2 2 2" xfId="7003"/>
    <cellStyle name="RowTitles1-Detail 2 2 3 3 4 2 2_Tertiary Salaries Survey" xfId="7004"/>
    <cellStyle name="RowTitles1-Detail 2 2 3 3 4 2 3" xfId="7005"/>
    <cellStyle name="RowTitles1-Detail 2 2 3 3 4 2_Tertiary Salaries Survey" xfId="7006"/>
    <cellStyle name="RowTitles1-Detail 2 2 3 3 4 3" xfId="7007"/>
    <cellStyle name="RowTitles1-Detail 2 2 3 3 4 3 2" xfId="7008"/>
    <cellStyle name="RowTitles1-Detail 2 2 3 3 4 3 2 2" xfId="7009"/>
    <cellStyle name="RowTitles1-Detail 2 2 3 3 4 3 2_Tertiary Salaries Survey" xfId="7010"/>
    <cellStyle name="RowTitles1-Detail 2 2 3 3 4 3 3" xfId="7011"/>
    <cellStyle name="RowTitles1-Detail 2 2 3 3 4 3_Tertiary Salaries Survey" xfId="7012"/>
    <cellStyle name="RowTitles1-Detail 2 2 3 3 4 4" xfId="7013"/>
    <cellStyle name="RowTitles1-Detail 2 2 3 3 4 4 2" xfId="7014"/>
    <cellStyle name="RowTitles1-Detail 2 2 3 3 4 4_Tertiary Salaries Survey" xfId="7015"/>
    <cellStyle name="RowTitles1-Detail 2 2 3 3 4 5" xfId="7016"/>
    <cellStyle name="RowTitles1-Detail 2 2 3 3 4_Tertiary Salaries Survey" xfId="7017"/>
    <cellStyle name="RowTitles1-Detail 2 2 3 3 5" xfId="7018"/>
    <cellStyle name="RowTitles1-Detail 2 2 3 3 5 2" xfId="7019"/>
    <cellStyle name="RowTitles1-Detail 2 2 3 3 5 2 2" xfId="7020"/>
    <cellStyle name="RowTitles1-Detail 2 2 3 3 5 2 2 2" xfId="7021"/>
    <cellStyle name="RowTitles1-Detail 2 2 3 3 5 2 2_Tertiary Salaries Survey" xfId="7022"/>
    <cellStyle name="RowTitles1-Detail 2 2 3 3 5 2 3" xfId="7023"/>
    <cellStyle name="RowTitles1-Detail 2 2 3 3 5 2_Tertiary Salaries Survey" xfId="7024"/>
    <cellStyle name="RowTitles1-Detail 2 2 3 3 5 3" xfId="7025"/>
    <cellStyle name="RowTitles1-Detail 2 2 3 3 5 3 2" xfId="7026"/>
    <cellStyle name="RowTitles1-Detail 2 2 3 3 5 3 2 2" xfId="7027"/>
    <cellStyle name="RowTitles1-Detail 2 2 3 3 5 3 2_Tertiary Salaries Survey" xfId="7028"/>
    <cellStyle name="RowTitles1-Detail 2 2 3 3 5 3 3" xfId="7029"/>
    <cellStyle name="RowTitles1-Detail 2 2 3 3 5 3_Tertiary Salaries Survey" xfId="7030"/>
    <cellStyle name="RowTitles1-Detail 2 2 3 3 5 4" xfId="7031"/>
    <cellStyle name="RowTitles1-Detail 2 2 3 3 5 4 2" xfId="7032"/>
    <cellStyle name="RowTitles1-Detail 2 2 3 3 5 4_Tertiary Salaries Survey" xfId="7033"/>
    <cellStyle name="RowTitles1-Detail 2 2 3 3 5 5" xfId="7034"/>
    <cellStyle name="RowTitles1-Detail 2 2 3 3 5_Tertiary Salaries Survey" xfId="7035"/>
    <cellStyle name="RowTitles1-Detail 2 2 3 3 6" xfId="7036"/>
    <cellStyle name="RowTitles1-Detail 2 2 3 3 6 2" xfId="7037"/>
    <cellStyle name="RowTitles1-Detail 2 2 3 3 6 2 2" xfId="7038"/>
    <cellStyle name="RowTitles1-Detail 2 2 3 3 6 2 2 2" xfId="7039"/>
    <cellStyle name="RowTitles1-Detail 2 2 3 3 6 2 2_Tertiary Salaries Survey" xfId="7040"/>
    <cellStyle name="RowTitles1-Detail 2 2 3 3 6 2 3" xfId="7041"/>
    <cellStyle name="RowTitles1-Detail 2 2 3 3 6 2_Tertiary Salaries Survey" xfId="7042"/>
    <cellStyle name="RowTitles1-Detail 2 2 3 3 6 3" xfId="7043"/>
    <cellStyle name="RowTitles1-Detail 2 2 3 3 6 3 2" xfId="7044"/>
    <cellStyle name="RowTitles1-Detail 2 2 3 3 6 3 2 2" xfId="7045"/>
    <cellStyle name="RowTitles1-Detail 2 2 3 3 6 3 2_Tertiary Salaries Survey" xfId="7046"/>
    <cellStyle name="RowTitles1-Detail 2 2 3 3 6 3 3" xfId="7047"/>
    <cellStyle name="RowTitles1-Detail 2 2 3 3 6 3_Tertiary Salaries Survey" xfId="7048"/>
    <cellStyle name="RowTitles1-Detail 2 2 3 3 6 4" xfId="7049"/>
    <cellStyle name="RowTitles1-Detail 2 2 3 3 6 4 2" xfId="7050"/>
    <cellStyle name="RowTitles1-Detail 2 2 3 3 6 4_Tertiary Salaries Survey" xfId="7051"/>
    <cellStyle name="RowTitles1-Detail 2 2 3 3 6 5" xfId="7052"/>
    <cellStyle name="RowTitles1-Detail 2 2 3 3 6_Tertiary Salaries Survey" xfId="7053"/>
    <cellStyle name="RowTitles1-Detail 2 2 3 3 7" xfId="7054"/>
    <cellStyle name="RowTitles1-Detail 2 2 3 3 7 2" xfId="7055"/>
    <cellStyle name="RowTitles1-Detail 2 2 3 3 7 2 2" xfId="7056"/>
    <cellStyle name="RowTitles1-Detail 2 2 3 3 7 2_Tertiary Salaries Survey" xfId="7057"/>
    <cellStyle name="RowTitles1-Detail 2 2 3 3 7 3" xfId="7058"/>
    <cellStyle name="RowTitles1-Detail 2 2 3 3 7_Tertiary Salaries Survey" xfId="7059"/>
    <cellStyle name="RowTitles1-Detail 2 2 3 3 8" xfId="7060"/>
    <cellStyle name="RowTitles1-Detail 2 2 3 3 8 2" xfId="7061"/>
    <cellStyle name="RowTitles1-Detail 2 2 3 3 8 2 2" xfId="7062"/>
    <cellStyle name="RowTitles1-Detail 2 2 3 3 8 2_Tertiary Salaries Survey" xfId="7063"/>
    <cellStyle name="RowTitles1-Detail 2 2 3 3 8 3" xfId="7064"/>
    <cellStyle name="RowTitles1-Detail 2 2 3 3 8_Tertiary Salaries Survey" xfId="7065"/>
    <cellStyle name="RowTitles1-Detail 2 2 3 3 9" xfId="7066"/>
    <cellStyle name="RowTitles1-Detail 2 2 3 3_STUD aligned by INSTIT" xfId="7067"/>
    <cellStyle name="RowTitles1-Detail 2 2 3 4" xfId="7068"/>
    <cellStyle name="RowTitles1-Detail 2 2 3 4 2" xfId="7069"/>
    <cellStyle name="RowTitles1-Detail 2 2 3 4 2 2" xfId="7070"/>
    <cellStyle name="RowTitles1-Detail 2 2 3 4 2 2 2" xfId="7071"/>
    <cellStyle name="RowTitles1-Detail 2 2 3 4 2 2 2 2" xfId="7072"/>
    <cellStyle name="RowTitles1-Detail 2 2 3 4 2 2 2_Tertiary Salaries Survey" xfId="7073"/>
    <cellStyle name="RowTitles1-Detail 2 2 3 4 2 2 3" xfId="7074"/>
    <cellStyle name="RowTitles1-Detail 2 2 3 4 2 2_Tertiary Salaries Survey" xfId="7075"/>
    <cellStyle name="RowTitles1-Detail 2 2 3 4 2 3" xfId="7076"/>
    <cellStyle name="RowTitles1-Detail 2 2 3 4 2 3 2" xfId="7077"/>
    <cellStyle name="RowTitles1-Detail 2 2 3 4 2 3 2 2" xfId="7078"/>
    <cellStyle name="RowTitles1-Detail 2 2 3 4 2 3 2_Tertiary Salaries Survey" xfId="7079"/>
    <cellStyle name="RowTitles1-Detail 2 2 3 4 2 3 3" xfId="7080"/>
    <cellStyle name="RowTitles1-Detail 2 2 3 4 2 3_Tertiary Salaries Survey" xfId="7081"/>
    <cellStyle name="RowTitles1-Detail 2 2 3 4 2 4" xfId="7082"/>
    <cellStyle name="RowTitles1-Detail 2 2 3 4 2 5" xfId="7083"/>
    <cellStyle name="RowTitles1-Detail 2 2 3 4 2 5 2" xfId="7084"/>
    <cellStyle name="RowTitles1-Detail 2 2 3 4 2 5_Tertiary Salaries Survey" xfId="7085"/>
    <cellStyle name="RowTitles1-Detail 2 2 3 4 2 6" xfId="7086"/>
    <cellStyle name="RowTitles1-Detail 2 2 3 4 2_Tertiary Salaries Survey" xfId="7087"/>
    <cellStyle name="RowTitles1-Detail 2 2 3 4 3" xfId="7088"/>
    <cellStyle name="RowTitles1-Detail 2 2 3 4 3 2" xfId="7089"/>
    <cellStyle name="RowTitles1-Detail 2 2 3 4 3 2 2" xfId="7090"/>
    <cellStyle name="RowTitles1-Detail 2 2 3 4 3 2 2 2" xfId="7091"/>
    <cellStyle name="RowTitles1-Detail 2 2 3 4 3 2 2_Tertiary Salaries Survey" xfId="7092"/>
    <cellStyle name="RowTitles1-Detail 2 2 3 4 3 2 3" xfId="7093"/>
    <cellStyle name="RowTitles1-Detail 2 2 3 4 3 2_Tertiary Salaries Survey" xfId="7094"/>
    <cellStyle name="RowTitles1-Detail 2 2 3 4 3 3" xfId="7095"/>
    <cellStyle name="RowTitles1-Detail 2 2 3 4 3 3 2" xfId="7096"/>
    <cellStyle name="RowTitles1-Detail 2 2 3 4 3 3 2 2" xfId="7097"/>
    <cellStyle name="RowTitles1-Detail 2 2 3 4 3 3 2_Tertiary Salaries Survey" xfId="7098"/>
    <cellStyle name="RowTitles1-Detail 2 2 3 4 3 3 3" xfId="7099"/>
    <cellStyle name="RowTitles1-Detail 2 2 3 4 3 3_Tertiary Salaries Survey" xfId="7100"/>
    <cellStyle name="RowTitles1-Detail 2 2 3 4 3 4" xfId="7101"/>
    <cellStyle name="RowTitles1-Detail 2 2 3 4 3 5" xfId="7102"/>
    <cellStyle name="RowTitles1-Detail 2 2 3 4 3_Tertiary Salaries Survey" xfId="7103"/>
    <cellStyle name="RowTitles1-Detail 2 2 3 4 4" xfId="7104"/>
    <cellStyle name="RowTitles1-Detail 2 2 3 4 4 2" xfId="7105"/>
    <cellStyle name="RowTitles1-Detail 2 2 3 4 4 2 2" xfId="7106"/>
    <cellStyle name="RowTitles1-Detail 2 2 3 4 4 2 2 2" xfId="7107"/>
    <cellStyle name="RowTitles1-Detail 2 2 3 4 4 2 2_Tertiary Salaries Survey" xfId="7108"/>
    <cellStyle name="RowTitles1-Detail 2 2 3 4 4 2 3" xfId="7109"/>
    <cellStyle name="RowTitles1-Detail 2 2 3 4 4 2_Tertiary Salaries Survey" xfId="7110"/>
    <cellStyle name="RowTitles1-Detail 2 2 3 4 4 3" xfId="7111"/>
    <cellStyle name="RowTitles1-Detail 2 2 3 4 4 3 2" xfId="7112"/>
    <cellStyle name="RowTitles1-Detail 2 2 3 4 4 3 2 2" xfId="7113"/>
    <cellStyle name="RowTitles1-Detail 2 2 3 4 4 3 2_Tertiary Salaries Survey" xfId="7114"/>
    <cellStyle name="RowTitles1-Detail 2 2 3 4 4 3 3" xfId="7115"/>
    <cellStyle name="RowTitles1-Detail 2 2 3 4 4 3_Tertiary Salaries Survey" xfId="7116"/>
    <cellStyle name="RowTitles1-Detail 2 2 3 4 4 4" xfId="7117"/>
    <cellStyle name="RowTitles1-Detail 2 2 3 4 4 5" xfId="7118"/>
    <cellStyle name="RowTitles1-Detail 2 2 3 4 4 5 2" xfId="7119"/>
    <cellStyle name="RowTitles1-Detail 2 2 3 4 4 5_Tertiary Salaries Survey" xfId="7120"/>
    <cellStyle name="RowTitles1-Detail 2 2 3 4 4 6" xfId="7121"/>
    <cellStyle name="RowTitles1-Detail 2 2 3 4 4_Tertiary Salaries Survey" xfId="7122"/>
    <cellStyle name="RowTitles1-Detail 2 2 3 4 5" xfId="7123"/>
    <cellStyle name="RowTitles1-Detail 2 2 3 4 5 2" xfId="7124"/>
    <cellStyle name="RowTitles1-Detail 2 2 3 4 5 2 2" xfId="7125"/>
    <cellStyle name="RowTitles1-Detail 2 2 3 4 5 2 2 2" xfId="7126"/>
    <cellStyle name="RowTitles1-Detail 2 2 3 4 5 2 2_Tertiary Salaries Survey" xfId="7127"/>
    <cellStyle name="RowTitles1-Detail 2 2 3 4 5 2 3" xfId="7128"/>
    <cellStyle name="RowTitles1-Detail 2 2 3 4 5 2_Tertiary Salaries Survey" xfId="7129"/>
    <cellStyle name="RowTitles1-Detail 2 2 3 4 5 3" xfId="7130"/>
    <cellStyle name="RowTitles1-Detail 2 2 3 4 5 3 2" xfId="7131"/>
    <cellStyle name="RowTitles1-Detail 2 2 3 4 5 3 2 2" xfId="7132"/>
    <cellStyle name="RowTitles1-Detail 2 2 3 4 5 3 2_Tertiary Salaries Survey" xfId="7133"/>
    <cellStyle name="RowTitles1-Detail 2 2 3 4 5 3 3" xfId="7134"/>
    <cellStyle name="RowTitles1-Detail 2 2 3 4 5 3_Tertiary Salaries Survey" xfId="7135"/>
    <cellStyle name="RowTitles1-Detail 2 2 3 4 5 4" xfId="7136"/>
    <cellStyle name="RowTitles1-Detail 2 2 3 4 5 4 2" xfId="7137"/>
    <cellStyle name="RowTitles1-Detail 2 2 3 4 5 4_Tertiary Salaries Survey" xfId="7138"/>
    <cellStyle name="RowTitles1-Detail 2 2 3 4 5 5" xfId="7139"/>
    <cellStyle name="RowTitles1-Detail 2 2 3 4 5_Tertiary Salaries Survey" xfId="7140"/>
    <cellStyle name="RowTitles1-Detail 2 2 3 4 6" xfId="7141"/>
    <cellStyle name="RowTitles1-Detail 2 2 3 4 6 2" xfId="7142"/>
    <cellStyle name="RowTitles1-Detail 2 2 3 4 6 2 2" xfId="7143"/>
    <cellStyle name="RowTitles1-Detail 2 2 3 4 6 2 2 2" xfId="7144"/>
    <cellStyle name="RowTitles1-Detail 2 2 3 4 6 2 2_Tertiary Salaries Survey" xfId="7145"/>
    <cellStyle name="RowTitles1-Detail 2 2 3 4 6 2 3" xfId="7146"/>
    <cellStyle name="RowTitles1-Detail 2 2 3 4 6 2_Tertiary Salaries Survey" xfId="7147"/>
    <cellStyle name="RowTitles1-Detail 2 2 3 4 6 3" xfId="7148"/>
    <cellStyle name="RowTitles1-Detail 2 2 3 4 6 3 2" xfId="7149"/>
    <cellStyle name="RowTitles1-Detail 2 2 3 4 6 3 2 2" xfId="7150"/>
    <cellStyle name="RowTitles1-Detail 2 2 3 4 6 3 2_Tertiary Salaries Survey" xfId="7151"/>
    <cellStyle name="RowTitles1-Detail 2 2 3 4 6 3 3" xfId="7152"/>
    <cellStyle name="RowTitles1-Detail 2 2 3 4 6 3_Tertiary Salaries Survey" xfId="7153"/>
    <cellStyle name="RowTitles1-Detail 2 2 3 4 6 4" xfId="7154"/>
    <cellStyle name="RowTitles1-Detail 2 2 3 4 6 4 2" xfId="7155"/>
    <cellStyle name="RowTitles1-Detail 2 2 3 4 6 4_Tertiary Salaries Survey" xfId="7156"/>
    <cellStyle name="RowTitles1-Detail 2 2 3 4 6 5" xfId="7157"/>
    <cellStyle name="RowTitles1-Detail 2 2 3 4 6_Tertiary Salaries Survey" xfId="7158"/>
    <cellStyle name="RowTitles1-Detail 2 2 3 4 7" xfId="7159"/>
    <cellStyle name="RowTitles1-Detail 2 2 3 4 7 2" xfId="7160"/>
    <cellStyle name="RowTitles1-Detail 2 2 3 4 7 2 2" xfId="7161"/>
    <cellStyle name="RowTitles1-Detail 2 2 3 4 7 2_Tertiary Salaries Survey" xfId="7162"/>
    <cellStyle name="RowTitles1-Detail 2 2 3 4 7 3" xfId="7163"/>
    <cellStyle name="RowTitles1-Detail 2 2 3 4 7_Tertiary Salaries Survey" xfId="7164"/>
    <cellStyle name="RowTitles1-Detail 2 2 3 4 8" xfId="7165"/>
    <cellStyle name="RowTitles1-Detail 2 2 3 4 9" xfId="7166"/>
    <cellStyle name="RowTitles1-Detail 2 2 3 4_STUD aligned by INSTIT" xfId="7167"/>
    <cellStyle name="RowTitles1-Detail 2 2 3 5" xfId="7168"/>
    <cellStyle name="RowTitles1-Detail 2 2 3 5 2" xfId="7169"/>
    <cellStyle name="RowTitles1-Detail 2 2 3 5 2 2" xfId="7170"/>
    <cellStyle name="RowTitles1-Detail 2 2 3 5 2 2 2" xfId="7171"/>
    <cellStyle name="RowTitles1-Detail 2 2 3 5 2 2_Tertiary Salaries Survey" xfId="7172"/>
    <cellStyle name="RowTitles1-Detail 2 2 3 5 2 3" xfId="7173"/>
    <cellStyle name="RowTitles1-Detail 2 2 3 5 2_Tertiary Salaries Survey" xfId="7174"/>
    <cellStyle name="RowTitles1-Detail 2 2 3 5 3" xfId="7175"/>
    <cellStyle name="RowTitles1-Detail 2 2 3 5 3 2" xfId="7176"/>
    <cellStyle name="RowTitles1-Detail 2 2 3 5 3 2 2" xfId="7177"/>
    <cellStyle name="RowTitles1-Detail 2 2 3 5 3 2_Tertiary Salaries Survey" xfId="7178"/>
    <cellStyle name="RowTitles1-Detail 2 2 3 5 3 3" xfId="7179"/>
    <cellStyle name="RowTitles1-Detail 2 2 3 5 3_Tertiary Salaries Survey" xfId="7180"/>
    <cellStyle name="RowTitles1-Detail 2 2 3 5 4" xfId="7181"/>
    <cellStyle name="RowTitles1-Detail 2 2 3 5 5" xfId="7182"/>
    <cellStyle name="RowTitles1-Detail 2 2 3 5 5 2" xfId="7183"/>
    <cellStyle name="RowTitles1-Detail 2 2 3 5 5_Tertiary Salaries Survey" xfId="7184"/>
    <cellStyle name="RowTitles1-Detail 2 2 3 5 6" xfId="7185"/>
    <cellStyle name="RowTitles1-Detail 2 2 3 5_Tertiary Salaries Survey" xfId="7186"/>
    <cellStyle name="RowTitles1-Detail 2 2 3 6" xfId="7187"/>
    <cellStyle name="RowTitles1-Detail 2 2 3 6 2" xfId="7188"/>
    <cellStyle name="RowTitles1-Detail 2 2 3 6 2 2" xfId="7189"/>
    <cellStyle name="RowTitles1-Detail 2 2 3 6 2 2 2" xfId="7190"/>
    <cellStyle name="RowTitles1-Detail 2 2 3 6 2 2_Tertiary Salaries Survey" xfId="7191"/>
    <cellStyle name="RowTitles1-Detail 2 2 3 6 2 3" xfId="7192"/>
    <cellStyle name="RowTitles1-Detail 2 2 3 6 2_Tertiary Salaries Survey" xfId="7193"/>
    <cellStyle name="RowTitles1-Detail 2 2 3 6 3" xfId="7194"/>
    <cellStyle name="RowTitles1-Detail 2 2 3 6 3 2" xfId="7195"/>
    <cellStyle name="RowTitles1-Detail 2 2 3 6 3 2 2" xfId="7196"/>
    <cellStyle name="RowTitles1-Detail 2 2 3 6 3 2_Tertiary Salaries Survey" xfId="7197"/>
    <cellStyle name="RowTitles1-Detail 2 2 3 6 3 3" xfId="7198"/>
    <cellStyle name="RowTitles1-Detail 2 2 3 6 3_Tertiary Salaries Survey" xfId="7199"/>
    <cellStyle name="RowTitles1-Detail 2 2 3 6 4" xfId="7200"/>
    <cellStyle name="RowTitles1-Detail 2 2 3 6 5" xfId="7201"/>
    <cellStyle name="RowTitles1-Detail 2 2 3 6_Tertiary Salaries Survey" xfId="7202"/>
    <cellStyle name="RowTitles1-Detail 2 2 3 7" xfId="7203"/>
    <cellStyle name="RowTitles1-Detail 2 2 3 7 2" xfId="7204"/>
    <cellStyle name="RowTitles1-Detail 2 2 3 7 2 2" xfId="7205"/>
    <cellStyle name="RowTitles1-Detail 2 2 3 7 2 2 2" xfId="7206"/>
    <cellStyle name="RowTitles1-Detail 2 2 3 7 2 2_Tertiary Salaries Survey" xfId="7207"/>
    <cellStyle name="RowTitles1-Detail 2 2 3 7 2 3" xfId="7208"/>
    <cellStyle name="RowTitles1-Detail 2 2 3 7 2_Tertiary Salaries Survey" xfId="7209"/>
    <cellStyle name="RowTitles1-Detail 2 2 3 7 3" xfId="7210"/>
    <cellStyle name="RowTitles1-Detail 2 2 3 7 3 2" xfId="7211"/>
    <cellStyle name="RowTitles1-Detail 2 2 3 7 3 2 2" xfId="7212"/>
    <cellStyle name="RowTitles1-Detail 2 2 3 7 3 2_Tertiary Salaries Survey" xfId="7213"/>
    <cellStyle name="RowTitles1-Detail 2 2 3 7 3 3" xfId="7214"/>
    <cellStyle name="RowTitles1-Detail 2 2 3 7 3_Tertiary Salaries Survey" xfId="7215"/>
    <cellStyle name="RowTitles1-Detail 2 2 3 7 4" xfId="7216"/>
    <cellStyle name="RowTitles1-Detail 2 2 3 7 5" xfId="7217"/>
    <cellStyle name="RowTitles1-Detail 2 2 3 7 5 2" xfId="7218"/>
    <cellStyle name="RowTitles1-Detail 2 2 3 7 5_Tertiary Salaries Survey" xfId="7219"/>
    <cellStyle name="RowTitles1-Detail 2 2 3 7 6" xfId="7220"/>
    <cellStyle name="RowTitles1-Detail 2 2 3 7_Tertiary Salaries Survey" xfId="7221"/>
    <cellStyle name="RowTitles1-Detail 2 2 3 8" xfId="7222"/>
    <cellStyle name="RowTitles1-Detail 2 2 3 8 2" xfId="7223"/>
    <cellStyle name="RowTitles1-Detail 2 2 3 8 2 2" xfId="7224"/>
    <cellStyle name="RowTitles1-Detail 2 2 3 8 2 2 2" xfId="7225"/>
    <cellStyle name="RowTitles1-Detail 2 2 3 8 2 2_Tertiary Salaries Survey" xfId="7226"/>
    <cellStyle name="RowTitles1-Detail 2 2 3 8 2 3" xfId="7227"/>
    <cellStyle name="RowTitles1-Detail 2 2 3 8 2_Tertiary Salaries Survey" xfId="7228"/>
    <cellStyle name="RowTitles1-Detail 2 2 3 8 3" xfId="7229"/>
    <cellStyle name="RowTitles1-Detail 2 2 3 8 3 2" xfId="7230"/>
    <cellStyle name="RowTitles1-Detail 2 2 3 8 3 2 2" xfId="7231"/>
    <cellStyle name="RowTitles1-Detail 2 2 3 8 3 2_Tertiary Salaries Survey" xfId="7232"/>
    <cellStyle name="RowTitles1-Detail 2 2 3 8 3 3" xfId="7233"/>
    <cellStyle name="RowTitles1-Detail 2 2 3 8 3_Tertiary Salaries Survey" xfId="7234"/>
    <cellStyle name="RowTitles1-Detail 2 2 3 8 4" xfId="7235"/>
    <cellStyle name="RowTitles1-Detail 2 2 3 8 4 2" xfId="7236"/>
    <cellStyle name="RowTitles1-Detail 2 2 3 8 4_Tertiary Salaries Survey" xfId="7237"/>
    <cellStyle name="RowTitles1-Detail 2 2 3 8 5" xfId="7238"/>
    <cellStyle name="RowTitles1-Detail 2 2 3 8_Tertiary Salaries Survey" xfId="7239"/>
    <cellStyle name="RowTitles1-Detail 2 2 3 9" xfId="7240"/>
    <cellStyle name="RowTitles1-Detail 2 2 3 9 2" xfId="7241"/>
    <cellStyle name="RowTitles1-Detail 2 2 3 9 2 2" xfId="7242"/>
    <cellStyle name="RowTitles1-Detail 2 2 3 9 2 2 2" xfId="7243"/>
    <cellStyle name="RowTitles1-Detail 2 2 3 9 2 2_Tertiary Salaries Survey" xfId="7244"/>
    <cellStyle name="RowTitles1-Detail 2 2 3 9 2 3" xfId="7245"/>
    <cellStyle name="RowTitles1-Detail 2 2 3 9 2_Tertiary Salaries Survey" xfId="7246"/>
    <cellStyle name="RowTitles1-Detail 2 2 3 9 3" xfId="7247"/>
    <cellStyle name="RowTitles1-Detail 2 2 3 9 3 2" xfId="7248"/>
    <cellStyle name="RowTitles1-Detail 2 2 3 9 3 2 2" xfId="7249"/>
    <cellStyle name="RowTitles1-Detail 2 2 3 9 3 2_Tertiary Salaries Survey" xfId="7250"/>
    <cellStyle name="RowTitles1-Detail 2 2 3 9 3 3" xfId="7251"/>
    <cellStyle name="RowTitles1-Detail 2 2 3 9 3_Tertiary Salaries Survey" xfId="7252"/>
    <cellStyle name="RowTitles1-Detail 2 2 3 9 4" xfId="7253"/>
    <cellStyle name="RowTitles1-Detail 2 2 3 9 4 2" xfId="7254"/>
    <cellStyle name="RowTitles1-Detail 2 2 3 9 4_Tertiary Salaries Survey" xfId="7255"/>
    <cellStyle name="RowTitles1-Detail 2 2 3 9 5" xfId="7256"/>
    <cellStyle name="RowTitles1-Detail 2 2 3 9_Tertiary Salaries Survey" xfId="7257"/>
    <cellStyle name="RowTitles1-Detail 2 2 3_STUD aligned by INSTIT" xfId="7258"/>
    <cellStyle name="RowTitles1-Detail 2 2 4" xfId="7259"/>
    <cellStyle name="RowTitles1-Detail 2 2 4 2" xfId="7260"/>
    <cellStyle name="RowTitles1-Detail 2 2 4 2 2" xfId="7261"/>
    <cellStyle name="RowTitles1-Detail 2 2 4 2 2 2" xfId="7262"/>
    <cellStyle name="RowTitles1-Detail 2 2 4 2 2 2 2" xfId="7263"/>
    <cellStyle name="RowTitles1-Detail 2 2 4 2 2 2_Tertiary Salaries Survey" xfId="7264"/>
    <cellStyle name="RowTitles1-Detail 2 2 4 2 2 3" xfId="7265"/>
    <cellStyle name="RowTitles1-Detail 2 2 4 2 2_Tertiary Salaries Survey" xfId="7266"/>
    <cellStyle name="RowTitles1-Detail 2 2 4 2 3" xfId="7267"/>
    <cellStyle name="RowTitles1-Detail 2 2 4 2 3 2" xfId="7268"/>
    <cellStyle name="RowTitles1-Detail 2 2 4 2 3 2 2" xfId="7269"/>
    <cellStyle name="RowTitles1-Detail 2 2 4 2 3 2_Tertiary Salaries Survey" xfId="7270"/>
    <cellStyle name="RowTitles1-Detail 2 2 4 2 3 3" xfId="7271"/>
    <cellStyle name="RowTitles1-Detail 2 2 4 2 3_Tertiary Salaries Survey" xfId="7272"/>
    <cellStyle name="RowTitles1-Detail 2 2 4 2 4" xfId="7273"/>
    <cellStyle name="RowTitles1-Detail 2 2 4 2 5" xfId="7274"/>
    <cellStyle name="RowTitles1-Detail 2 2 4 2_Tertiary Salaries Survey" xfId="7275"/>
    <cellStyle name="RowTitles1-Detail 2 2 4 3" xfId="7276"/>
    <cellStyle name="RowTitles1-Detail 2 2 4 3 2" xfId="7277"/>
    <cellStyle name="RowTitles1-Detail 2 2 4 3 2 2" xfId="7278"/>
    <cellStyle name="RowTitles1-Detail 2 2 4 3 2 2 2" xfId="7279"/>
    <cellStyle name="RowTitles1-Detail 2 2 4 3 2 2_Tertiary Salaries Survey" xfId="7280"/>
    <cellStyle name="RowTitles1-Detail 2 2 4 3 2 3" xfId="7281"/>
    <cellStyle name="RowTitles1-Detail 2 2 4 3 2_Tertiary Salaries Survey" xfId="7282"/>
    <cellStyle name="RowTitles1-Detail 2 2 4 3 3" xfId="7283"/>
    <cellStyle name="RowTitles1-Detail 2 2 4 3 3 2" xfId="7284"/>
    <cellStyle name="RowTitles1-Detail 2 2 4 3 3 2 2" xfId="7285"/>
    <cellStyle name="RowTitles1-Detail 2 2 4 3 3 2_Tertiary Salaries Survey" xfId="7286"/>
    <cellStyle name="RowTitles1-Detail 2 2 4 3 3 3" xfId="7287"/>
    <cellStyle name="RowTitles1-Detail 2 2 4 3 3_Tertiary Salaries Survey" xfId="7288"/>
    <cellStyle name="RowTitles1-Detail 2 2 4 3 4" xfId="7289"/>
    <cellStyle name="RowTitles1-Detail 2 2 4 3 5" xfId="7290"/>
    <cellStyle name="RowTitles1-Detail 2 2 4 3 5 2" xfId="7291"/>
    <cellStyle name="RowTitles1-Detail 2 2 4 3 5_Tertiary Salaries Survey" xfId="7292"/>
    <cellStyle name="RowTitles1-Detail 2 2 4 3 6" xfId="7293"/>
    <cellStyle name="RowTitles1-Detail 2 2 4 3_Tertiary Salaries Survey" xfId="7294"/>
    <cellStyle name="RowTitles1-Detail 2 2 4 4" xfId="7295"/>
    <cellStyle name="RowTitles1-Detail 2 2 4 4 2" xfId="7296"/>
    <cellStyle name="RowTitles1-Detail 2 2 4 4 2 2" xfId="7297"/>
    <cellStyle name="RowTitles1-Detail 2 2 4 4 2 2 2" xfId="7298"/>
    <cellStyle name="RowTitles1-Detail 2 2 4 4 2 2_Tertiary Salaries Survey" xfId="7299"/>
    <cellStyle name="RowTitles1-Detail 2 2 4 4 2 3" xfId="7300"/>
    <cellStyle name="RowTitles1-Detail 2 2 4 4 2_Tertiary Salaries Survey" xfId="7301"/>
    <cellStyle name="RowTitles1-Detail 2 2 4 4 3" xfId="7302"/>
    <cellStyle name="RowTitles1-Detail 2 2 4 4 3 2" xfId="7303"/>
    <cellStyle name="RowTitles1-Detail 2 2 4 4 3 2 2" xfId="7304"/>
    <cellStyle name="RowTitles1-Detail 2 2 4 4 3 2_Tertiary Salaries Survey" xfId="7305"/>
    <cellStyle name="RowTitles1-Detail 2 2 4 4 3 3" xfId="7306"/>
    <cellStyle name="RowTitles1-Detail 2 2 4 4 3_Tertiary Salaries Survey" xfId="7307"/>
    <cellStyle name="RowTitles1-Detail 2 2 4 4 4" xfId="7308"/>
    <cellStyle name="RowTitles1-Detail 2 2 4 4 4 2" xfId="7309"/>
    <cellStyle name="RowTitles1-Detail 2 2 4 4 4_Tertiary Salaries Survey" xfId="7310"/>
    <cellStyle name="RowTitles1-Detail 2 2 4 4 5" xfId="7311"/>
    <cellStyle name="RowTitles1-Detail 2 2 4 4_Tertiary Salaries Survey" xfId="7312"/>
    <cellStyle name="RowTitles1-Detail 2 2 4 5" xfId="7313"/>
    <cellStyle name="RowTitles1-Detail 2 2 4 5 2" xfId="7314"/>
    <cellStyle name="RowTitles1-Detail 2 2 4 5 2 2" xfId="7315"/>
    <cellStyle name="RowTitles1-Detail 2 2 4 5 2 2 2" xfId="7316"/>
    <cellStyle name="RowTitles1-Detail 2 2 4 5 2 2_Tertiary Salaries Survey" xfId="7317"/>
    <cellStyle name="RowTitles1-Detail 2 2 4 5 2 3" xfId="7318"/>
    <cellStyle name="RowTitles1-Detail 2 2 4 5 2_Tertiary Salaries Survey" xfId="7319"/>
    <cellStyle name="RowTitles1-Detail 2 2 4 5 3" xfId="7320"/>
    <cellStyle name="RowTitles1-Detail 2 2 4 5 3 2" xfId="7321"/>
    <cellStyle name="RowTitles1-Detail 2 2 4 5 3 2 2" xfId="7322"/>
    <cellStyle name="RowTitles1-Detail 2 2 4 5 3 2_Tertiary Salaries Survey" xfId="7323"/>
    <cellStyle name="RowTitles1-Detail 2 2 4 5 3 3" xfId="7324"/>
    <cellStyle name="RowTitles1-Detail 2 2 4 5 3_Tertiary Salaries Survey" xfId="7325"/>
    <cellStyle name="RowTitles1-Detail 2 2 4 5 4" xfId="7326"/>
    <cellStyle name="RowTitles1-Detail 2 2 4 5 4 2" xfId="7327"/>
    <cellStyle name="RowTitles1-Detail 2 2 4 5 4_Tertiary Salaries Survey" xfId="7328"/>
    <cellStyle name="RowTitles1-Detail 2 2 4 5 5" xfId="7329"/>
    <cellStyle name="RowTitles1-Detail 2 2 4 5_Tertiary Salaries Survey" xfId="7330"/>
    <cellStyle name="RowTitles1-Detail 2 2 4 6" xfId="7331"/>
    <cellStyle name="RowTitles1-Detail 2 2 4 6 2" xfId="7332"/>
    <cellStyle name="RowTitles1-Detail 2 2 4 6 2 2" xfId="7333"/>
    <cellStyle name="RowTitles1-Detail 2 2 4 6 2 2 2" xfId="7334"/>
    <cellStyle name="RowTitles1-Detail 2 2 4 6 2 2_Tertiary Salaries Survey" xfId="7335"/>
    <cellStyle name="RowTitles1-Detail 2 2 4 6 2 3" xfId="7336"/>
    <cellStyle name="RowTitles1-Detail 2 2 4 6 2_Tertiary Salaries Survey" xfId="7337"/>
    <cellStyle name="RowTitles1-Detail 2 2 4 6 3" xfId="7338"/>
    <cellStyle name="RowTitles1-Detail 2 2 4 6 3 2" xfId="7339"/>
    <cellStyle name="RowTitles1-Detail 2 2 4 6 3 2 2" xfId="7340"/>
    <cellStyle name="RowTitles1-Detail 2 2 4 6 3 2_Tertiary Salaries Survey" xfId="7341"/>
    <cellStyle name="RowTitles1-Detail 2 2 4 6 3 3" xfId="7342"/>
    <cellStyle name="RowTitles1-Detail 2 2 4 6 3_Tertiary Salaries Survey" xfId="7343"/>
    <cellStyle name="RowTitles1-Detail 2 2 4 6 4" xfId="7344"/>
    <cellStyle name="RowTitles1-Detail 2 2 4 6 4 2" xfId="7345"/>
    <cellStyle name="RowTitles1-Detail 2 2 4 6 4_Tertiary Salaries Survey" xfId="7346"/>
    <cellStyle name="RowTitles1-Detail 2 2 4 6 5" xfId="7347"/>
    <cellStyle name="RowTitles1-Detail 2 2 4 6_Tertiary Salaries Survey" xfId="7348"/>
    <cellStyle name="RowTitles1-Detail 2 2 4 7" xfId="7349"/>
    <cellStyle name="RowTitles1-Detail 2 2 4 7 2" xfId="7350"/>
    <cellStyle name="RowTitles1-Detail 2 2 4 7 2 2" xfId="7351"/>
    <cellStyle name="RowTitles1-Detail 2 2 4 7 2_Tertiary Salaries Survey" xfId="7352"/>
    <cellStyle name="RowTitles1-Detail 2 2 4 7 3" xfId="7353"/>
    <cellStyle name="RowTitles1-Detail 2 2 4 7_Tertiary Salaries Survey" xfId="7354"/>
    <cellStyle name="RowTitles1-Detail 2 2 4 8" xfId="7355"/>
    <cellStyle name="RowTitles1-Detail 2 2 4 9" xfId="7356"/>
    <cellStyle name="RowTitles1-Detail 2 2 4_STUD aligned by INSTIT" xfId="7357"/>
    <cellStyle name="RowTitles1-Detail 2 2 5" xfId="7358"/>
    <cellStyle name="RowTitles1-Detail 2 2 5 2" xfId="7359"/>
    <cellStyle name="RowTitles1-Detail 2 2 5 2 2" xfId="7360"/>
    <cellStyle name="RowTitles1-Detail 2 2 5 2 2 2" xfId="7361"/>
    <cellStyle name="RowTitles1-Detail 2 2 5 2 2 2 2" xfId="7362"/>
    <cellStyle name="RowTitles1-Detail 2 2 5 2 2 2_Tertiary Salaries Survey" xfId="7363"/>
    <cellStyle name="RowTitles1-Detail 2 2 5 2 2 3" xfId="7364"/>
    <cellStyle name="RowTitles1-Detail 2 2 5 2 2_Tertiary Salaries Survey" xfId="7365"/>
    <cellStyle name="RowTitles1-Detail 2 2 5 2 3" xfId="7366"/>
    <cellStyle name="RowTitles1-Detail 2 2 5 2 3 2" xfId="7367"/>
    <cellStyle name="RowTitles1-Detail 2 2 5 2 3 2 2" xfId="7368"/>
    <cellStyle name="RowTitles1-Detail 2 2 5 2 3 2_Tertiary Salaries Survey" xfId="7369"/>
    <cellStyle name="RowTitles1-Detail 2 2 5 2 3 3" xfId="7370"/>
    <cellStyle name="RowTitles1-Detail 2 2 5 2 3_Tertiary Salaries Survey" xfId="7371"/>
    <cellStyle name="RowTitles1-Detail 2 2 5 2 4" xfId="7372"/>
    <cellStyle name="RowTitles1-Detail 2 2 5 2 5" xfId="7373"/>
    <cellStyle name="RowTitles1-Detail 2 2 5 2 5 2" xfId="7374"/>
    <cellStyle name="RowTitles1-Detail 2 2 5 2 5_Tertiary Salaries Survey" xfId="7375"/>
    <cellStyle name="RowTitles1-Detail 2 2 5 2 6" xfId="7376"/>
    <cellStyle name="RowTitles1-Detail 2 2 5 2_Tertiary Salaries Survey" xfId="7377"/>
    <cellStyle name="RowTitles1-Detail 2 2 5 3" xfId="7378"/>
    <cellStyle name="RowTitles1-Detail 2 2 5 3 2" xfId="7379"/>
    <cellStyle name="RowTitles1-Detail 2 2 5 3 2 2" xfId="7380"/>
    <cellStyle name="RowTitles1-Detail 2 2 5 3 2 2 2" xfId="7381"/>
    <cellStyle name="RowTitles1-Detail 2 2 5 3 2 2_Tertiary Salaries Survey" xfId="7382"/>
    <cellStyle name="RowTitles1-Detail 2 2 5 3 2 3" xfId="7383"/>
    <cellStyle name="RowTitles1-Detail 2 2 5 3 2_Tertiary Salaries Survey" xfId="7384"/>
    <cellStyle name="RowTitles1-Detail 2 2 5 3 3" xfId="7385"/>
    <cellStyle name="RowTitles1-Detail 2 2 5 3 3 2" xfId="7386"/>
    <cellStyle name="RowTitles1-Detail 2 2 5 3 3 2 2" xfId="7387"/>
    <cellStyle name="RowTitles1-Detail 2 2 5 3 3 2_Tertiary Salaries Survey" xfId="7388"/>
    <cellStyle name="RowTitles1-Detail 2 2 5 3 3 3" xfId="7389"/>
    <cellStyle name="RowTitles1-Detail 2 2 5 3 3_Tertiary Salaries Survey" xfId="7390"/>
    <cellStyle name="RowTitles1-Detail 2 2 5 3 4" xfId="7391"/>
    <cellStyle name="RowTitles1-Detail 2 2 5 3 5" xfId="7392"/>
    <cellStyle name="RowTitles1-Detail 2 2 5 3_Tertiary Salaries Survey" xfId="7393"/>
    <cellStyle name="RowTitles1-Detail 2 2 5 4" xfId="7394"/>
    <cellStyle name="RowTitles1-Detail 2 2 5 4 2" xfId="7395"/>
    <cellStyle name="RowTitles1-Detail 2 2 5 4 2 2" xfId="7396"/>
    <cellStyle name="RowTitles1-Detail 2 2 5 4 2 2 2" xfId="7397"/>
    <cellStyle name="RowTitles1-Detail 2 2 5 4 2 2_Tertiary Salaries Survey" xfId="7398"/>
    <cellStyle name="RowTitles1-Detail 2 2 5 4 2 3" xfId="7399"/>
    <cellStyle name="RowTitles1-Detail 2 2 5 4 2_Tertiary Salaries Survey" xfId="7400"/>
    <cellStyle name="RowTitles1-Detail 2 2 5 4 3" xfId="7401"/>
    <cellStyle name="RowTitles1-Detail 2 2 5 4 3 2" xfId="7402"/>
    <cellStyle name="RowTitles1-Detail 2 2 5 4 3 2 2" xfId="7403"/>
    <cellStyle name="RowTitles1-Detail 2 2 5 4 3 2_Tertiary Salaries Survey" xfId="7404"/>
    <cellStyle name="RowTitles1-Detail 2 2 5 4 3 3" xfId="7405"/>
    <cellStyle name="RowTitles1-Detail 2 2 5 4 3_Tertiary Salaries Survey" xfId="7406"/>
    <cellStyle name="RowTitles1-Detail 2 2 5 4 4" xfId="7407"/>
    <cellStyle name="RowTitles1-Detail 2 2 5 4 4 2" xfId="7408"/>
    <cellStyle name="RowTitles1-Detail 2 2 5 4 4_Tertiary Salaries Survey" xfId="7409"/>
    <cellStyle name="RowTitles1-Detail 2 2 5 4 5" xfId="7410"/>
    <cellStyle name="RowTitles1-Detail 2 2 5 4_Tertiary Salaries Survey" xfId="7411"/>
    <cellStyle name="RowTitles1-Detail 2 2 5 5" xfId="7412"/>
    <cellStyle name="RowTitles1-Detail 2 2 5 5 2" xfId="7413"/>
    <cellStyle name="RowTitles1-Detail 2 2 5 5 2 2" xfId="7414"/>
    <cellStyle name="RowTitles1-Detail 2 2 5 5 2 2 2" xfId="7415"/>
    <cellStyle name="RowTitles1-Detail 2 2 5 5 2 2_Tertiary Salaries Survey" xfId="7416"/>
    <cellStyle name="RowTitles1-Detail 2 2 5 5 2 3" xfId="7417"/>
    <cellStyle name="RowTitles1-Detail 2 2 5 5 2_Tertiary Salaries Survey" xfId="7418"/>
    <cellStyle name="RowTitles1-Detail 2 2 5 5 3" xfId="7419"/>
    <cellStyle name="RowTitles1-Detail 2 2 5 5 3 2" xfId="7420"/>
    <cellStyle name="RowTitles1-Detail 2 2 5 5 3 2 2" xfId="7421"/>
    <cellStyle name="RowTitles1-Detail 2 2 5 5 3 2_Tertiary Salaries Survey" xfId="7422"/>
    <cellStyle name="RowTitles1-Detail 2 2 5 5 3 3" xfId="7423"/>
    <cellStyle name="RowTitles1-Detail 2 2 5 5 3_Tertiary Salaries Survey" xfId="7424"/>
    <cellStyle name="RowTitles1-Detail 2 2 5 5 4" xfId="7425"/>
    <cellStyle name="RowTitles1-Detail 2 2 5 5 4 2" xfId="7426"/>
    <cellStyle name="RowTitles1-Detail 2 2 5 5 4_Tertiary Salaries Survey" xfId="7427"/>
    <cellStyle name="RowTitles1-Detail 2 2 5 5 5" xfId="7428"/>
    <cellStyle name="RowTitles1-Detail 2 2 5 5_Tertiary Salaries Survey" xfId="7429"/>
    <cellStyle name="RowTitles1-Detail 2 2 5 6" xfId="7430"/>
    <cellStyle name="RowTitles1-Detail 2 2 5 6 2" xfId="7431"/>
    <cellStyle name="RowTitles1-Detail 2 2 5 6 2 2" xfId="7432"/>
    <cellStyle name="RowTitles1-Detail 2 2 5 6 2 2 2" xfId="7433"/>
    <cellStyle name="RowTitles1-Detail 2 2 5 6 2 2_Tertiary Salaries Survey" xfId="7434"/>
    <cellStyle name="RowTitles1-Detail 2 2 5 6 2 3" xfId="7435"/>
    <cellStyle name="RowTitles1-Detail 2 2 5 6 2_Tertiary Salaries Survey" xfId="7436"/>
    <cellStyle name="RowTitles1-Detail 2 2 5 6 3" xfId="7437"/>
    <cellStyle name="RowTitles1-Detail 2 2 5 6 3 2" xfId="7438"/>
    <cellStyle name="RowTitles1-Detail 2 2 5 6 3 2 2" xfId="7439"/>
    <cellStyle name="RowTitles1-Detail 2 2 5 6 3 2_Tertiary Salaries Survey" xfId="7440"/>
    <cellStyle name="RowTitles1-Detail 2 2 5 6 3 3" xfId="7441"/>
    <cellStyle name="RowTitles1-Detail 2 2 5 6 3_Tertiary Salaries Survey" xfId="7442"/>
    <cellStyle name="RowTitles1-Detail 2 2 5 6 4" xfId="7443"/>
    <cellStyle name="RowTitles1-Detail 2 2 5 6 4 2" xfId="7444"/>
    <cellStyle name="RowTitles1-Detail 2 2 5 6 4_Tertiary Salaries Survey" xfId="7445"/>
    <cellStyle name="RowTitles1-Detail 2 2 5 6 5" xfId="7446"/>
    <cellStyle name="RowTitles1-Detail 2 2 5 6_Tertiary Salaries Survey" xfId="7447"/>
    <cellStyle name="RowTitles1-Detail 2 2 5 7" xfId="7448"/>
    <cellStyle name="RowTitles1-Detail 2 2 5 7 2" xfId="7449"/>
    <cellStyle name="RowTitles1-Detail 2 2 5 7 2 2" xfId="7450"/>
    <cellStyle name="RowTitles1-Detail 2 2 5 7 2_Tertiary Salaries Survey" xfId="7451"/>
    <cellStyle name="RowTitles1-Detail 2 2 5 7 3" xfId="7452"/>
    <cellStyle name="RowTitles1-Detail 2 2 5 7_Tertiary Salaries Survey" xfId="7453"/>
    <cellStyle name="RowTitles1-Detail 2 2 5 8" xfId="7454"/>
    <cellStyle name="RowTitles1-Detail 2 2 5 8 2" xfId="7455"/>
    <cellStyle name="RowTitles1-Detail 2 2 5 8 2 2" xfId="7456"/>
    <cellStyle name="RowTitles1-Detail 2 2 5 8 2_Tertiary Salaries Survey" xfId="7457"/>
    <cellStyle name="RowTitles1-Detail 2 2 5 8 3" xfId="7458"/>
    <cellStyle name="RowTitles1-Detail 2 2 5 8_Tertiary Salaries Survey" xfId="7459"/>
    <cellStyle name="RowTitles1-Detail 2 2 5 9" xfId="7460"/>
    <cellStyle name="RowTitles1-Detail 2 2 5_STUD aligned by INSTIT" xfId="7461"/>
    <cellStyle name="RowTitles1-Detail 2 2 6" xfId="7462"/>
    <cellStyle name="RowTitles1-Detail 2 2 6 2" xfId="7463"/>
    <cellStyle name="RowTitles1-Detail 2 2 6 2 2" xfId="7464"/>
    <cellStyle name="RowTitles1-Detail 2 2 6 2 2 2" xfId="7465"/>
    <cellStyle name="RowTitles1-Detail 2 2 6 2 2 2 2" xfId="7466"/>
    <cellStyle name="RowTitles1-Detail 2 2 6 2 2 2_Tertiary Salaries Survey" xfId="7467"/>
    <cellStyle name="RowTitles1-Detail 2 2 6 2 2 3" xfId="7468"/>
    <cellStyle name="RowTitles1-Detail 2 2 6 2 2_Tertiary Salaries Survey" xfId="7469"/>
    <cellStyle name="RowTitles1-Detail 2 2 6 2 3" xfId="7470"/>
    <cellStyle name="RowTitles1-Detail 2 2 6 2 3 2" xfId="7471"/>
    <cellStyle name="RowTitles1-Detail 2 2 6 2 3 2 2" xfId="7472"/>
    <cellStyle name="RowTitles1-Detail 2 2 6 2 3 2_Tertiary Salaries Survey" xfId="7473"/>
    <cellStyle name="RowTitles1-Detail 2 2 6 2 3 3" xfId="7474"/>
    <cellStyle name="RowTitles1-Detail 2 2 6 2 3_Tertiary Salaries Survey" xfId="7475"/>
    <cellStyle name="RowTitles1-Detail 2 2 6 2 4" xfId="7476"/>
    <cellStyle name="RowTitles1-Detail 2 2 6 2 5" xfId="7477"/>
    <cellStyle name="RowTitles1-Detail 2 2 6 2 5 2" xfId="7478"/>
    <cellStyle name="RowTitles1-Detail 2 2 6 2 5_Tertiary Salaries Survey" xfId="7479"/>
    <cellStyle name="RowTitles1-Detail 2 2 6 2 6" xfId="7480"/>
    <cellStyle name="RowTitles1-Detail 2 2 6 2_Tertiary Salaries Survey" xfId="7481"/>
    <cellStyle name="RowTitles1-Detail 2 2 6 3" xfId="7482"/>
    <cellStyle name="RowTitles1-Detail 2 2 6 3 2" xfId="7483"/>
    <cellStyle name="RowTitles1-Detail 2 2 6 3 2 2" xfId="7484"/>
    <cellStyle name="RowTitles1-Detail 2 2 6 3 2 2 2" xfId="7485"/>
    <cellStyle name="RowTitles1-Detail 2 2 6 3 2 2_Tertiary Salaries Survey" xfId="7486"/>
    <cellStyle name="RowTitles1-Detail 2 2 6 3 2 3" xfId="7487"/>
    <cellStyle name="RowTitles1-Detail 2 2 6 3 2_Tertiary Salaries Survey" xfId="7488"/>
    <cellStyle name="RowTitles1-Detail 2 2 6 3 3" xfId="7489"/>
    <cellStyle name="RowTitles1-Detail 2 2 6 3 3 2" xfId="7490"/>
    <cellStyle name="RowTitles1-Detail 2 2 6 3 3 2 2" xfId="7491"/>
    <cellStyle name="RowTitles1-Detail 2 2 6 3 3 2_Tertiary Salaries Survey" xfId="7492"/>
    <cellStyle name="RowTitles1-Detail 2 2 6 3 3 3" xfId="7493"/>
    <cellStyle name="RowTitles1-Detail 2 2 6 3 3_Tertiary Salaries Survey" xfId="7494"/>
    <cellStyle name="RowTitles1-Detail 2 2 6 3 4" xfId="7495"/>
    <cellStyle name="RowTitles1-Detail 2 2 6 3 5" xfId="7496"/>
    <cellStyle name="RowTitles1-Detail 2 2 6 3_Tertiary Salaries Survey" xfId="7497"/>
    <cellStyle name="RowTitles1-Detail 2 2 6 4" xfId="7498"/>
    <cellStyle name="RowTitles1-Detail 2 2 6 4 2" xfId="7499"/>
    <cellStyle name="RowTitles1-Detail 2 2 6 4 2 2" xfId="7500"/>
    <cellStyle name="RowTitles1-Detail 2 2 6 4 2 2 2" xfId="7501"/>
    <cellStyle name="RowTitles1-Detail 2 2 6 4 2 2_Tertiary Salaries Survey" xfId="7502"/>
    <cellStyle name="RowTitles1-Detail 2 2 6 4 2 3" xfId="7503"/>
    <cellStyle name="RowTitles1-Detail 2 2 6 4 2_Tertiary Salaries Survey" xfId="7504"/>
    <cellStyle name="RowTitles1-Detail 2 2 6 4 3" xfId="7505"/>
    <cellStyle name="RowTitles1-Detail 2 2 6 4 3 2" xfId="7506"/>
    <cellStyle name="RowTitles1-Detail 2 2 6 4 3 2 2" xfId="7507"/>
    <cellStyle name="RowTitles1-Detail 2 2 6 4 3 2_Tertiary Salaries Survey" xfId="7508"/>
    <cellStyle name="RowTitles1-Detail 2 2 6 4 3 3" xfId="7509"/>
    <cellStyle name="RowTitles1-Detail 2 2 6 4 3_Tertiary Salaries Survey" xfId="7510"/>
    <cellStyle name="RowTitles1-Detail 2 2 6 4 4" xfId="7511"/>
    <cellStyle name="RowTitles1-Detail 2 2 6 4 5" xfId="7512"/>
    <cellStyle name="RowTitles1-Detail 2 2 6 4 5 2" xfId="7513"/>
    <cellStyle name="RowTitles1-Detail 2 2 6 4 5_Tertiary Salaries Survey" xfId="7514"/>
    <cellStyle name="RowTitles1-Detail 2 2 6 4 6" xfId="7515"/>
    <cellStyle name="RowTitles1-Detail 2 2 6 4_Tertiary Salaries Survey" xfId="7516"/>
    <cellStyle name="RowTitles1-Detail 2 2 6 5" xfId="7517"/>
    <cellStyle name="RowTitles1-Detail 2 2 6 5 2" xfId="7518"/>
    <cellStyle name="RowTitles1-Detail 2 2 6 5 2 2" xfId="7519"/>
    <cellStyle name="RowTitles1-Detail 2 2 6 5 2 2 2" xfId="7520"/>
    <cellStyle name="RowTitles1-Detail 2 2 6 5 2 2_Tertiary Salaries Survey" xfId="7521"/>
    <cellStyle name="RowTitles1-Detail 2 2 6 5 2 3" xfId="7522"/>
    <cellStyle name="RowTitles1-Detail 2 2 6 5 2_Tertiary Salaries Survey" xfId="7523"/>
    <cellStyle name="RowTitles1-Detail 2 2 6 5 3" xfId="7524"/>
    <cellStyle name="RowTitles1-Detail 2 2 6 5 3 2" xfId="7525"/>
    <cellStyle name="RowTitles1-Detail 2 2 6 5 3 2 2" xfId="7526"/>
    <cellStyle name="RowTitles1-Detail 2 2 6 5 3 2_Tertiary Salaries Survey" xfId="7527"/>
    <cellStyle name="RowTitles1-Detail 2 2 6 5 3 3" xfId="7528"/>
    <cellStyle name="RowTitles1-Detail 2 2 6 5 3_Tertiary Salaries Survey" xfId="7529"/>
    <cellStyle name="RowTitles1-Detail 2 2 6 5 4" xfId="7530"/>
    <cellStyle name="RowTitles1-Detail 2 2 6 5 4 2" xfId="7531"/>
    <cellStyle name="RowTitles1-Detail 2 2 6 5 4_Tertiary Salaries Survey" xfId="7532"/>
    <cellStyle name="RowTitles1-Detail 2 2 6 5 5" xfId="7533"/>
    <cellStyle name="RowTitles1-Detail 2 2 6 5_Tertiary Salaries Survey" xfId="7534"/>
    <cellStyle name="RowTitles1-Detail 2 2 6 6" xfId="7535"/>
    <cellStyle name="RowTitles1-Detail 2 2 6 6 2" xfId="7536"/>
    <cellStyle name="RowTitles1-Detail 2 2 6 6 2 2" xfId="7537"/>
    <cellStyle name="RowTitles1-Detail 2 2 6 6 2 2 2" xfId="7538"/>
    <cellStyle name="RowTitles1-Detail 2 2 6 6 2 2_Tertiary Salaries Survey" xfId="7539"/>
    <cellStyle name="RowTitles1-Detail 2 2 6 6 2 3" xfId="7540"/>
    <cellStyle name="RowTitles1-Detail 2 2 6 6 2_Tertiary Salaries Survey" xfId="7541"/>
    <cellStyle name="RowTitles1-Detail 2 2 6 6 3" xfId="7542"/>
    <cellStyle name="RowTitles1-Detail 2 2 6 6 3 2" xfId="7543"/>
    <cellStyle name="RowTitles1-Detail 2 2 6 6 3 2 2" xfId="7544"/>
    <cellStyle name="RowTitles1-Detail 2 2 6 6 3 2_Tertiary Salaries Survey" xfId="7545"/>
    <cellStyle name="RowTitles1-Detail 2 2 6 6 3 3" xfId="7546"/>
    <cellStyle name="RowTitles1-Detail 2 2 6 6 3_Tertiary Salaries Survey" xfId="7547"/>
    <cellStyle name="RowTitles1-Detail 2 2 6 6 4" xfId="7548"/>
    <cellStyle name="RowTitles1-Detail 2 2 6 6 4 2" xfId="7549"/>
    <cellStyle name="RowTitles1-Detail 2 2 6 6 4_Tertiary Salaries Survey" xfId="7550"/>
    <cellStyle name="RowTitles1-Detail 2 2 6 6 5" xfId="7551"/>
    <cellStyle name="RowTitles1-Detail 2 2 6 6_Tertiary Salaries Survey" xfId="7552"/>
    <cellStyle name="RowTitles1-Detail 2 2 6 7" xfId="7553"/>
    <cellStyle name="RowTitles1-Detail 2 2 6 7 2" xfId="7554"/>
    <cellStyle name="RowTitles1-Detail 2 2 6 7 2 2" xfId="7555"/>
    <cellStyle name="RowTitles1-Detail 2 2 6 7 2_Tertiary Salaries Survey" xfId="7556"/>
    <cellStyle name="RowTitles1-Detail 2 2 6 7 3" xfId="7557"/>
    <cellStyle name="RowTitles1-Detail 2 2 6 7_Tertiary Salaries Survey" xfId="7558"/>
    <cellStyle name="RowTitles1-Detail 2 2 6 8" xfId="7559"/>
    <cellStyle name="RowTitles1-Detail 2 2 6 9" xfId="7560"/>
    <cellStyle name="RowTitles1-Detail 2 2 6_STUD aligned by INSTIT" xfId="7561"/>
    <cellStyle name="RowTitles1-Detail 2 2 7" xfId="7562"/>
    <cellStyle name="RowTitles1-Detail 2 2 7 2" xfId="7563"/>
    <cellStyle name="RowTitles1-Detail 2 2 7 2 2" xfId="7564"/>
    <cellStyle name="RowTitles1-Detail 2 2 7 2 2 2" xfId="7565"/>
    <cellStyle name="RowTitles1-Detail 2 2 7 2 2_Tertiary Salaries Survey" xfId="7566"/>
    <cellStyle name="RowTitles1-Detail 2 2 7 2 3" xfId="7567"/>
    <cellStyle name="RowTitles1-Detail 2 2 7 2_Tertiary Salaries Survey" xfId="7568"/>
    <cellStyle name="RowTitles1-Detail 2 2 7 3" xfId="7569"/>
    <cellStyle name="RowTitles1-Detail 2 2 7 3 2" xfId="7570"/>
    <cellStyle name="RowTitles1-Detail 2 2 7 3 2 2" xfId="7571"/>
    <cellStyle name="RowTitles1-Detail 2 2 7 3 2_Tertiary Salaries Survey" xfId="7572"/>
    <cellStyle name="RowTitles1-Detail 2 2 7 3 3" xfId="7573"/>
    <cellStyle name="RowTitles1-Detail 2 2 7 3_Tertiary Salaries Survey" xfId="7574"/>
    <cellStyle name="RowTitles1-Detail 2 2 7 4" xfId="7575"/>
    <cellStyle name="RowTitles1-Detail 2 2 7 5" xfId="7576"/>
    <cellStyle name="RowTitles1-Detail 2 2 7 5 2" xfId="7577"/>
    <cellStyle name="RowTitles1-Detail 2 2 7 5_Tertiary Salaries Survey" xfId="7578"/>
    <cellStyle name="RowTitles1-Detail 2 2 7 6" xfId="7579"/>
    <cellStyle name="RowTitles1-Detail 2 2 7_Tertiary Salaries Survey" xfId="7580"/>
    <cellStyle name="RowTitles1-Detail 2 2 8" xfId="7581"/>
    <cellStyle name="RowTitles1-Detail 2 2 8 2" xfId="7582"/>
    <cellStyle name="RowTitles1-Detail 2 2 8 2 2" xfId="7583"/>
    <cellStyle name="RowTitles1-Detail 2 2 8 2 2 2" xfId="7584"/>
    <cellStyle name="RowTitles1-Detail 2 2 8 2 2_Tertiary Salaries Survey" xfId="7585"/>
    <cellStyle name="RowTitles1-Detail 2 2 8 2 3" xfId="7586"/>
    <cellStyle name="RowTitles1-Detail 2 2 8 2_Tertiary Salaries Survey" xfId="7587"/>
    <cellStyle name="RowTitles1-Detail 2 2 8 3" xfId="7588"/>
    <cellStyle name="RowTitles1-Detail 2 2 8 3 2" xfId="7589"/>
    <cellStyle name="RowTitles1-Detail 2 2 8 3 2 2" xfId="7590"/>
    <cellStyle name="RowTitles1-Detail 2 2 8 3 2_Tertiary Salaries Survey" xfId="7591"/>
    <cellStyle name="RowTitles1-Detail 2 2 8 3 3" xfId="7592"/>
    <cellStyle name="RowTitles1-Detail 2 2 8 3_Tertiary Salaries Survey" xfId="7593"/>
    <cellStyle name="RowTitles1-Detail 2 2 8 4" xfId="7594"/>
    <cellStyle name="RowTitles1-Detail 2 2 8 5" xfId="7595"/>
    <cellStyle name="RowTitles1-Detail 2 2 8_Tertiary Salaries Survey" xfId="7596"/>
    <cellStyle name="RowTitles1-Detail 2 2 9" xfId="7597"/>
    <cellStyle name="RowTitles1-Detail 2 2 9 2" xfId="7598"/>
    <cellStyle name="RowTitles1-Detail 2 2 9 2 2" xfId="7599"/>
    <cellStyle name="RowTitles1-Detail 2 2 9 2 2 2" xfId="7600"/>
    <cellStyle name="RowTitles1-Detail 2 2 9 2 2_Tertiary Salaries Survey" xfId="7601"/>
    <cellStyle name="RowTitles1-Detail 2 2 9 2 3" xfId="7602"/>
    <cellStyle name="RowTitles1-Detail 2 2 9 2_Tertiary Salaries Survey" xfId="7603"/>
    <cellStyle name="RowTitles1-Detail 2 2 9 3" xfId="7604"/>
    <cellStyle name="RowTitles1-Detail 2 2 9 3 2" xfId="7605"/>
    <cellStyle name="RowTitles1-Detail 2 2 9 3 2 2" xfId="7606"/>
    <cellStyle name="RowTitles1-Detail 2 2 9 3 2_Tertiary Salaries Survey" xfId="7607"/>
    <cellStyle name="RowTitles1-Detail 2 2 9 3 3" xfId="7608"/>
    <cellStyle name="RowTitles1-Detail 2 2 9 3_Tertiary Salaries Survey" xfId="7609"/>
    <cellStyle name="RowTitles1-Detail 2 2 9 4" xfId="7610"/>
    <cellStyle name="RowTitles1-Detail 2 2 9 5" xfId="7611"/>
    <cellStyle name="RowTitles1-Detail 2 2 9 5 2" xfId="7612"/>
    <cellStyle name="RowTitles1-Detail 2 2 9 5_Tertiary Salaries Survey" xfId="7613"/>
    <cellStyle name="RowTitles1-Detail 2 2 9 6" xfId="7614"/>
    <cellStyle name="RowTitles1-Detail 2 2 9_Tertiary Salaries Survey" xfId="7615"/>
    <cellStyle name="RowTitles1-Detail 2 2_STUD aligned by INSTIT" xfId="7616"/>
    <cellStyle name="RowTitles1-Detail 2 3" xfId="7617"/>
    <cellStyle name="RowTitles1-Detail 2 3 10" xfId="7618"/>
    <cellStyle name="RowTitles1-Detail 2 3 10 2" xfId="7619"/>
    <cellStyle name="RowTitles1-Detail 2 3 10 2 2" xfId="7620"/>
    <cellStyle name="RowTitles1-Detail 2 3 10 2 2 2" xfId="7621"/>
    <cellStyle name="RowTitles1-Detail 2 3 10 2 2_Tertiary Salaries Survey" xfId="7622"/>
    <cellStyle name="RowTitles1-Detail 2 3 10 2 3" xfId="7623"/>
    <cellStyle name="RowTitles1-Detail 2 3 10 2_Tertiary Salaries Survey" xfId="7624"/>
    <cellStyle name="RowTitles1-Detail 2 3 10 3" xfId="7625"/>
    <cellStyle name="RowTitles1-Detail 2 3 10 3 2" xfId="7626"/>
    <cellStyle name="RowTitles1-Detail 2 3 10 3 2 2" xfId="7627"/>
    <cellStyle name="RowTitles1-Detail 2 3 10 3 2_Tertiary Salaries Survey" xfId="7628"/>
    <cellStyle name="RowTitles1-Detail 2 3 10 3 3" xfId="7629"/>
    <cellStyle name="RowTitles1-Detail 2 3 10 3_Tertiary Salaries Survey" xfId="7630"/>
    <cellStyle name="RowTitles1-Detail 2 3 10 4" xfId="7631"/>
    <cellStyle name="RowTitles1-Detail 2 3 10 4 2" xfId="7632"/>
    <cellStyle name="RowTitles1-Detail 2 3 10 4_Tertiary Salaries Survey" xfId="7633"/>
    <cellStyle name="RowTitles1-Detail 2 3 10 5" xfId="7634"/>
    <cellStyle name="RowTitles1-Detail 2 3 10_Tertiary Salaries Survey" xfId="7635"/>
    <cellStyle name="RowTitles1-Detail 2 3 11" xfId="7636"/>
    <cellStyle name="RowTitles1-Detail 2 3 11 2" xfId="7637"/>
    <cellStyle name="RowTitles1-Detail 2 3 11 2 2" xfId="7638"/>
    <cellStyle name="RowTitles1-Detail 2 3 11 2 2 2" xfId="7639"/>
    <cellStyle name="RowTitles1-Detail 2 3 11 2 2_Tertiary Salaries Survey" xfId="7640"/>
    <cellStyle name="RowTitles1-Detail 2 3 11 2 3" xfId="7641"/>
    <cellStyle name="RowTitles1-Detail 2 3 11 2_Tertiary Salaries Survey" xfId="7642"/>
    <cellStyle name="RowTitles1-Detail 2 3 11 3" xfId="7643"/>
    <cellStyle name="RowTitles1-Detail 2 3 11 3 2" xfId="7644"/>
    <cellStyle name="RowTitles1-Detail 2 3 11 3 2 2" xfId="7645"/>
    <cellStyle name="RowTitles1-Detail 2 3 11 3 2_Tertiary Salaries Survey" xfId="7646"/>
    <cellStyle name="RowTitles1-Detail 2 3 11 3 3" xfId="7647"/>
    <cellStyle name="RowTitles1-Detail 2 3 11 3_Tertiary Salaries Survey" xfId="7648"/>
    <cellStyle name="RowTitles1-Detail 2 3 11 4" xfId="7649"/>
    <cellStyle name="RowTitles1-Detail 2 3 11 4 2" xfId="7650"/>
    <cellStyle name="RowTitles1-Detail 2 3 11 4_Tertiary Salaries Survey" xfId="7651"/>
    <cellStyle name="RowTitles1-Detail 2 3 11 5" xfId="7652"/>
    <cellStyle name="RowTitles1-Detail 2 3 11_Tertiary Salaries Survey" xfId="7653"/>
    <cellStyle name="RowTitles1-Detail 2 3 12" xfId="7654"/>
    <cellStyle name="RowTitles1-Detail 2 3 12 2" xfId="7655"/>
    <cellStyle name="RowTitles1-Detail 2 3 12 2 2" xfId="7656"/>
    <cellStyle name="RowTitles1-Detail 2 3 12 2_Tertiary Salaries Survey" xfId="7657"/>
    <cellStyle name="RowTitles1-Detail 2 3 12 3" xfId="7658"/>
    <cellStyle name="RowTitles1-Detail 2 3 12_Tertiary Salaries Survey" xfId="7659"/>
    <cellStyle name="RowTitles1-Detail 2 3 13" xfId="7660"/>
    <cellStyle name="RowTitles1-Detail 2 3 14" xfId="7661"/>
    <cellStyle name="RowTitles1-Detail 2 3 15" xfId="7662"/>
    <cellStyle name="RowTitles1-Detail 2 3 2" xfId="7663"/>
    <cellStyle name="RowTitles1-Detail 2 3 2 10" xfId="7664"/>
    <cellStyle name="RowTitles1-Detail 2 3 2 10 2" xfId="7665"/>
    <cellStyle name="RowTitles1-Detail 2 3 2 10 2 2" xfId="7666"/>
    <cellStyle name="RowTitles1-Detail 2 3 2 10 2 2 2" xfId="7667"/>
    <cellStyle name="RowTitles1-Detail 2 3 2 10 2 2_Tertiary Salaries Survey" xfId="7668"/>
    <cellStyle name="RowTitles1-Detail 2 3 2 10 2 3" xfId="7669"/>
    <cellStyle name="RowTitles1-Detail 2 3 2 10 2_Tertiary Salaries Survey" xfId="7670"/>
    <cellStyle name="RowTitles1-Detail 2 3 2 10 3" xfId="7671"/>
    <cellStyle name="RowTitles1-Detail 2 3 2 10 3 2" xfId="7672"/>
    <cellStyle name="RowTitles1-Detail 2 3 2 10 3 2 2" xfId="7673"/>
    <cellStyle name="RowTitles1-Detail 2 3 2 10 3 2_Tertiary Salaries Survey" xfId="7674"/>
    <cellStyle name="RowTitles1-Detail 2 3 2 10 3 3" xfId="7675"/>
    <cellStyle name="RowTitles1-Detail 2 3 2 10 3_Tertiary Salaries Survey" xfId="7676"/>
    <cellStyle name="RowTitles1-Detail 2 3 2 10 4" xfId="7677"/>
    <cellStyle name="RowTitles1-Detail 2 3 2 10 4 2" xfId="7678"/>
    <cellStyle name="RowTitles1-Detail 2 3 2 10 4_Tertiary Salaries Survey" xfId="7679"/>
    <cellStyle name="RowTitles1-Detail 2 3 2 10 5" xfId="7680"/>
    <cellStyle name="RowTitles1-Detail 2 3 2 10_Tertiary Salaries Survey" xfId="7681"/>
    <cellStyle name="RowTitles1-Detail 2 3 2 11" xfId="7682"/>
    <cellStyle name="RowTitles1-Detail 2 3 2 11 2" xfId="7683"/>
    <cellStyle name="RowTitles1-Detail 2 3 2 11 2 2" xfId="7684"/>
    <cellStyle name="RowTitles1-Detail 2 3 2 11 2_Tertiary Salaries Survey" xfId="7685"/>
    <cellStyle name="RowTitles1-Detail 2 3 2 11 3" xfId="7686"/>
    <cellStyle name="RowTitles1-Detail 2 3 2 11_Tertiary Salaries Survey" xfId="7687"/>
    <cellStyle name="RowTitles1-Detail 2 3 2 12" xfId="7688"/>
    <cellStyle name="RowTitles1-Detail 2 3 2 13" xfId="7689"/>
    <cellStyle name="RowTitles1-Detail 2 3 2 2" xfId="7690"/>
    <cellStyle name="RowTitles1-Detail 2 3 2 2 10" xfId="7691"/>
    <cellStyle name="RowTitles1-Detail 2 3 2 2 10 2" xfId="7692"/>
    <cellStyle name="RowTitles1-Detail 2 3 2 2 10 2 2" xfId="7693"/>
    <cellStyle name="RowTitles1-Detail 2 3 2 2 10 2_Tertiary Salaries Survey" xfId="7694"/>
    <cellStyle name="RowTitles1-Detail 2 3 2 2 10 3" xfId="7695"/>
    <cellStyle name="RowTitles1-Detail 2 3 2 2 10_Tertiary Salaries Survey" xfId="7696"/>
    <cellStyle name="RowTitles1-Detail 2 3 2 2 11" xfId="7697"/>
    <cellStyle name="RowTitles1-Detail 2 3 2 2 12" xfId="7698"/>
    <cellStyle name="RowTitles1-Detail 2 3 2 2 2" xfId="7699"/>
    <cellStyle name="RowTitles1-Detail 2 3 2 2 2 2" xfId="7700"/>
    <cellStyle name="RowTitles1-Detail 2 3 2 2 2 2 2" xfId="7701"/>
    <cellStyle name="RowTitles1-Detail 2 3 2 2 2 2 2 2" xfId="7702"/>
    <cellStyle name="RowTitles1-Detail 2 3 2 2 2 2 2 2 2" xfId="7703"/>
    <cellStyle name="RowTitles1-Detail 2 3 2 2 2 2 2 2_Tertiary Salaries Survey" xfId="7704"/>
    <cellStyle name="RowTitles1-Detail 2 3 2 2 2 2 2 3" xfId="7705"/>
    <cellStyle name="RowTitles1-Detail 2 3 2 2 2 2 2_Tertiary Salaries Survey" xfId="7706"/>
    <cellStyle name="RowTitles1-Detail 2 3 2 2 2 2 3" xfId="7707"/>
    <cellStyle name="RowTitles1-Detail 2 3 2 2 2 2 3 2" xfId="7708"/>
    <cellStyle name="RowTitles1-Detail 2 3 2 2 2 2 3 2 2" xfId="7709"/>
    <cellStyle name="RowTitles1-Detail 2 3 2 2 2 2 3 2_Tertiary Salaries Survey" xfId="7710"/>
    <cellStyle name="RowTitles1-Detail 2 3 2 2 2 2 3 3" xfId="7711"/>
    <cellStyle name="RowTitles1-Detail 2 3 2 2 2 2 3_Tertiary Salaries Survey" xfId="7712"/>
    <cellStyle name="RowTitles1-Detail 2 3 2 2 2 2 4" xfId="7713"/>
    <cellStyle name="RowTitles1-Detail 2 3 2 2 2 2 5" xfId="7714"/>
    <cellStyle name="RowTitles1-Detail 2 3 2 2 2 2_Tertiary Salaries Survey" xfId="7715"/>
    <cellStyle name="RowTitles1-Detail 2 3 2 2 2 3" xfId="7716"/>
    <cellStyle name="RowTitles1-Detail 2 3 2 2 2 3 2" xfId="7717"/>
    <cellStyle name="RowTitles1-Detail 2 3 2 2 2 3 2 2" xfId="7718"/>
    <cellStyle name="RowTitles1-Detail 2 3 2 2 2 3 2 2 2" xfId="7719"/>
    <cellStyle name="RowTitles1-Detail 2 3 2 2 2 3 2 2_Tertiary Salaries Survey" xfId="7720"/>
    <cellStyle name="RowTitles1-Detail 2 3 2 2 2 3 2 3" xfId="7721"/>
    <cellStyle name="RowTitles1-Detail 2 3 2 2 2 3 2_Tertiary Salaries Survey" xfId="7722"/>
    <cellStyle name="RowTitles1-Detail 2 3 2 2 2 3 3" xfId="7723"/>
    <cellStyle name="RowTitles1-Detail 2 3 2 2 2 3 3 2" xfId="7724"/>
    <cellStyle name="RowTitles1-Detail 2 3 2 2 2 3 3 2 2" xfId="7725"/>
    <cellStyle name="RowTitles1-Detail 2 3 2 2 2 3 3 2_Tertiary Salaries Survey" xfId="7726"/>
    <cellStyle name="RowTitles1-Detail 2 3 2 2 2 3 3 3" xfId="7727"/>
    <cellStyle name="RowTitles1-Detail 2 3 2 2 2 3 3_Tertiary Salaries Survey" xfId="7728"/>
    <cellStyle name="RowTitles1-Detail 2 3 2 2 2 3 4" xfId="7729"/>
    <cellStyle name="RowTitles1-Detail 2 3 2 2 2 3 5" xfId="7730"/>
    <cellStyle name="RowTitles1-Detail 2 3 2 2 2 3 5 2" xfId="7731"/>
    <cellStyle name="RowTitles1-Detail 2 3 2 2 2 3 5_Tertiary Salaries Survey" xfId="7732"/>
    <cellStyle name="RowTitles1-Detail 2 3 2 2 2 3 6" xfId="7733"/>
    <cellStyle name="RowTitles1-Detail 2 3 2 2 2 3_Tertiary Salaries Survey" xfId="7734"/>
    <cellStyle name="RowTitles1-Detail 2 3 2 2 2 4" xfId="7735"/>
    <cellStyle name="RowTitles1-Detail 2 3 2 2 2 4 2" xfId="7736"/>
    <cellStyle name="RowTitles1-Detail 2 3 2 2 2 4 2 2" xfId="7737"/>
    <cellStyle name="RowTitles1-Detail 2 3 2 2 2 4 2 2 2" xfId="7738"/>
    <cellStyle name="RowTitles1-Detail 2 3 2 2 2 4 2 2_Tertiary Salaries Survey" xfId="7739"/>
    <cellStyle name="RowTitles1-Detail 2 3 2 2 2 4 2 3" xfId="7740"/>
    <cellStyle name="RowTitles1-Detail 2 3 2 2 2 4 2_Tertiary Salaries Survey" xfId="7741"/>
    <cellStyle name="RowTitles1-Detail 2 3 2 2 2 4 3" xfId="7742"/>
    <cellStyle name="RowTitles1-Detail 2 3 2 2 2 4 3 2" xfId="7743"/>
    <cellStyle name="RowTitles1-Detail 2 3 2 2 2 4 3 2 2" xfId="7744"/>
    <cellStyle name="RowTitles1-Detail 2 3 2 2 2 4 3 2_Tertiary Salaries Survey" xfId="7745"/>
    <cellStyle name="RowTitles1-Detail 2 3 2 2 2 4 3 3" xfId="7746"/>
    <cellStyle name="RowTitles1-Detail 2 3 2 2 2 4 3_Tertiary Salaries Survey" xfId="7747"/>
    <cellStyle name="RowTitles1-Detail 2 3 2 2 2 4 4" xfId="7748"/>
    <cellStyle name="RowTitles1-Detail 2 3 2 2 2 4 4 2" xfId="7749"/>
    <cellStyle name="RowTitles1-Detail 2 3 2 2 2 4 4_Tertiary Salaries Survey" xfId="7750"/>
    <cellStyle name="RowTitles1-Detail 2 3 2 2 2 4 5" xfId="7751"/>
    <cellStyle name="RowTitles1-Detail 2 3 2 2 2 4_Tertiary Salaries Survey" xfId="7752"/>
    <cellStyle name="RowTitles1-Detail 2 3 2 2 2 5" xfId="7753"/>
    <cellStyle name="RowTitles1-Detail 2 3 2 2 2 5 2" xfId="7754"/>
    <cellStyle name="RowTitles1-Detail 2 3 2 2 2 5 2 2" xfId="7755"/>
    <cellStyle name="RowTitles1-Detail 2 3 2 2 2 5 2 2 2" xfId="7756"/>
    <cellStyle name="RowTitles1-Detail 2 3 2 2 2 5 2 2_Tertiary Salaries Survey" xfId="7757"/>
    <cellStyle name="RowTitles1-Detail 2 3 2 2 2 5 2 3" xfId="7758"/>
    <cellStyle name="RowTitles1-Detail 2 3 2 2 2 5 2_Tertiary Salaries Survey" xfId="7759"/>
    <cellStyle name="RowTitles1-Detail 2 3 2 2 2 5 3" xfId="7760"/>
    <cellStyle name="RowTitles1-Detail 2 3 2 2 2 5 3 2" xfId="7761"/>
    <cellStyle name="RowTitles1-Detail 2 3 2 2 2 5 3 2 2" xfId="7762"/>
    <cellStyle name="RowTitles1-Detail 2 3 2 2 2 5 3 2_Tertiary Salaries Survey" xfId="7763"/>
    <cellStyle name="RowTitles1-Detail 2 3 2 2 2 5 3 3" xfId="7764"/>
    <cellStyle name="RowTitles1-Detail 2 3 2 2 2 5 3_Tertiary Salaries Survey" xfId="7765"/>
    <cellStyle name="RowTitles1-Detail 2 3 2 2 2 5 4" xfId="7766"/>
    <cellStyle name="RowTitles1-Detail 2 3 2 2 2 5 4 2" xfId="7767"/>
    <cellStyle name="RowTitles1-Detail 2 3 2 2 2 5 4_Tertiary Salaries Survey" xfId="7768"/>
    <cellStyle name="RowTitles1-Detail 2 3 2 2 2 5 5" xfId="7769"/>
    <cellStyle name="RowTitles1-Detail 2 3 2 2 2 5_Tertiary Salaries Survey" xfId="7770"/>
    <cellStyle name="RowTitles1-Detail 2 3 2 2 2 6" xfId="7771"/>
    <cellStyle name="RowTitles1-Detail 2 3 2 2 2 6 2" xfId="7772"/>
    <cellStyle name="RowTitles1-Detail 2 3 2 2 2 6 2 2" xfId="7773"/>
    <cellStyle name="RowTitles1-Detail 2 3 2 2 2 6 2 2 2" xfId="7774"/>
    <cellStyle name="RowTitles1-Detail 2 3 2 2 2 6 2 2_Tertiary Salaries Survey" xfId="7775"/>
    <cellStyle name="RowTitles1-Detail 2 3 2 2 2 6 2 3" xfId="7776"/>
    <cellStyle name="RowTitles1-Detail 2 3 2 2 2 6 2_Tertiary Salaries Survey" xfId="7777"/>
    <cellStyle name="RowTitles1-Detail 2 3 2 2 2 6 3" xfId="7778"/>
    <cellStyle name="RowTitles1-Detail 2 3 2 2 2 6 3 2" xfId="7779"/>
    <cellStyle name="RowTitles1-Detail 2 3 2 2 2 6 3 2 2" xfId="7780"/>
    <cellStyle name="RowTitles1-Detail 2 3 2 2 2 6 3 2_Tertiary Salaries Survey" xfId="7781"/>
    <cellStyle name="RowTitles1-Detail 2 3 2 2 2 6 3 3" xfId="7782"/>
    <cellStyle name="RowTitles1-Detail 2 3 2 2 2 6 3_Tertiary Salaries Survey" xfId="7783"/>
    <cellStyle name="RowTitles1-Detail 2 3 2 2 2 6 4" xfId="7784"/>
    <cellStyle name="RowTitles1-Detail 2 3 2 2 2 6 4 2" xfId="7785"/>
    <cellStyle name="RowTitles1-Detail 2 3 2 2 2 6 4_Tertiary Salaries Survey" xfId="7786"/>
    <cellStyle name="RowTitles1-Detail 2 3 2 2 2 6 5" xfId="7787"/>
    <cellStyle name="RowTitles1-Detail 2 3 2 2 2 6_Tertiary Salaries Survey" xfId="7788"/>
    <cellStyle name="RowTitles1-Detail 2 3 2 2 2 7" xfId="7789"/>
    <cellStyle name="RowTitles1-Detail 2 3 2 2 2 7 2" xfId="7790"/>
    <cellStyle name="RowTitles1-Detail 2 3 2 2 2 7 2 2" xfId="7791"/>
    <cellStyle name="RowTitles1-Detail 2 3 2 2 2 7 2_Tertiary Salaries Survey" xfId="7792"/>
    <cellStyle name="RowTitles1-Detail 2 3 2 2 2 7 3" xfId="7793"/>
    <cellStyle name="RowTitles1-Detail 2 3 2 2 2 7_Tertiary Salaries Survey" xfId="7794"/>
    <cellStyle name="RowTitles1-Detail 2 3 2 2 2 8" xfId="7795"/>
    <cellStyle name="RowTitles1-Detail 2 3 2 2 2 9" xfId="7796"/>
    <cellStyle name="RowTitles1-Detail 2 3 2 2 2_STUD aligned by INSTIT" xfId="7797"/>
    <cellStyle name="RowTitles1-Detail 2 3 2 2 3" xfId="7798"/>
    <cellStyle name="RowTitles1-Detail 2 3 2 2 3 2" xfId="7799"/>
    <cellStyle name="RowTitles1-Detail 2 3 2 2 3 2 2" xfId="7800"/>
    <cellStyle name="RowTitles1-Detail 2 3 2 2 3 2 2 2" xfId="7801"/>
    <cellStyle name="RowTitles1-Detail 2 3 2 2 3 2 2 2 2" xfId="7802"/>
    <cellStyle name="RowTitles1-Detail 2 3 2 2 3 2 2 2_Tertiary Salaries Survey" xfId="7803"/>
    <cellStyle name="RowTitles1-Detail 2 3 2 2 3 2 2 3" xfId="7804"/>
    <cellStyle name="RowTitles1-Detail 2 3 2 2 3 2 2_Tertiary Salaries Survey" xfId="7805"/>
    <cellStyle name="RowTitles1-Detail 2 3 2 2 3 2 3" xfId="7806"/>
    <cellStyle name="RowTitles1-Detail 2 3 2 2 3 2 3 2" xfId="7807"/>
    <cellStyle name="RowTitles1-Detail 2 3 2 2 3 2 3 2 2" xfId="7808"/>
    <cellStyle name="RowTitles1-Detail 2 3 2 2 3 2 3 2_Tertiary Salaries Survey" xfId="7809"/>
    <cellStyle name="RowTitles1-Detail 2 3 2 2 3 2 3 3" xfId="7810"/>
    <cellStyle name="RowTitles1-Detail 2 3 2 2 3 2 3_Tertiary Salaries Survey" xfId="7811"/>
    <cellStyle name="RowTitles1-Detail 2 3 2 2 3 2 4" xfId="7812"/>
    <cellStyle name="RowTitles1-Detail 2 3 2 2 3 2 5" xfId="7813"/>
    <cellStyle name="RowTitles1-Detail 2 3 2 2 3 2 5 2" xfId="7814"/>
    <cellStyle name="RowTitles1-Detail 2 3 2 2 3 2 5_Tertiary Salaries Survey" xfId="7815"/>
    <cellStyle name="RowTitles1-Detail 2 3 2 2 3 2 6" xfId="7816"/>
    <cellStyle name="RowTitles1-Detail 2 3 2 2 3 2_Tertiary Salaries Survey" xfId="7817"/>
    <cellStyle name="RowTitles1-Detail 2 3 2 2 3 3" xfId="7818"/>
    <cellStyle name="RowTitles1-Detail 2 3 2 2 3 3 2" xfId="7819"/>
    <cellStyle name="RowTitles1-Detail 2 3 2 2 3 3 2 2" xfId="7820"/>
    <cellStyle name="RowTitles1-Detail 2 3 2 2 3 3 2 2 2" xfId="7821"/>
    <cellStyle name="RowTitles1-Detail 2 3 2 2 3 3 2 2_Tertiary Salaries Survey" xfId="7822"/>
    <cellStyle name="RowTitles1-Detail 2 3 2 2 3 3 2 3" xfId="7823"/>
    <cellStyle name="RowTitles1-Detail 2 3 2 2 3 3 2_Tertiary Salaries Survey" xfId="7824"/>
    <cellStyle name="RowTitles1-Detail 2 3 2 2 3 3 3" xfId="7825"/>
    <cellStyle name="RowTitles1-Detail 2 3 2 2 3 3 3 2" xfId="7826"/>
    <cellStyle name="RowTitles1-Detail 2 3 2 2 3 3 3 2 2" xfId="7827"/>
    <cellStyle name="RowTitles1-Detail 2 3 2 2 3 3 3 2_Tertiary Salaries Survey" xfId="7828"/>
    <cellStyle name="RowTitles1-Detail 2 3 2 2 3 3 3 3" xfId="7829"/>
    <cellStyle name="RowTitles1-Detail 2 3 2 2 3 3 3_Tertiary Salaries Survey" xfId="7830"/>
    <cellStyle name="RowTitles1-Detail 2 3 2 2 3 3 4" xfId="7831"/>
    <cellStyle name="RowTitles1-Detail 2 3 2 2 3 3 5" xfId="7832"/>
    <cellStyle name="RowTitles1-Detail 2 3 2 2 3 3_Tertiary Salaries Survey" xfId="7833"/>
    <cellStyle name="RowTitles1-Detail 2 3 2 2 3 4" xfId="7834"/>
    <cellStyle name="RowTitles1-Detail 2 3 2 2 3 4 2" xfId="7835"/>
    <cellStyle name="RowTitles1-Detail 2 3 2 2 3 4 2 2" xfId="7836"/>
    <cellStyle name="RowTitles1-Detail 2 3 2 2 3 4 2 2 2" xfId="7837"/>
    <cellStyle name="RowTitles1-Detail 2 3 2 2 3 4 2 2_Tertiary Salaries Survey" xfId="7838"/>
    <cellStyle name="RowTitles1-Detail 2 3 2 2 3 4 2 3" xfId="7839"/>
    <cellStyle name="RowTitles1-Detail 2 3 2 2 3 4 2_Tertiary Salaries Survey" xfId="7840"/>
    <cellStyle name="RowTitles1-Detail 2 3 2 2 3 4 3" xfId="7841"/>
    <cellStyle name="RowTitles1-Detail 2 3 2 2 3 4 3 2" xfId="7842"/>
    <cellStyle name="RowTitles1-Detail 2 3 2 2 3 4 3 2 2" xfId="7843"/>
    <cellStyle name="RowTitles1-Detail 2 3 2 2 3 4 3 2_Tertiary Salaries Survey" xfId="7844"/>
    <cellStyle name="RowTitles1-Detail 2 3 2 2 3 4 3 3" xfId="7845"/>
    <cellStyle name="RowTitles1-Detail 2 3 2 2 3 4 3_Tertiary Salaries Survey" xfId="7846"/>
    <cellStyle name="RowTitles1-Detail 2 3 2 2 3 4 4" xfId="7847"/>
    <cellStyle name="RowTitles1-Detail 2 3 2 2 3 4 4 2" xfId="7848"/>
    <cellStyle name="RowTitles1-Detail 2 3 2 2 3 4 4_Tertiary Salaries Survey" xfId="7849"/>
    <cellStyle name="RowTitles1-Detail 2 3 2 2 3 4 5" xfId="7850"/>
    <cellStyle name="RowTitles1-Detail 2 3 2 2 3 4_Tertiary Salaries Survey" xfId="7851"/>
    <cellStyle name="RowTitles1-Detail 2 3 2 2 3 5" xfId="7852"/>
    <cellStyle name="RowTitles1-Detail 2 3 2 2 3 5 2" xfId="7853"/>
    <cellStyle name="RowTitles1-Detail 2 3 2 2 3 5 2 2" xfId="7854"/>
    <cellStyle name="RowTitles1-Detail 2 3 2 2 3 5 2 2 2" xfId="7855"/>
    <cellStyle name="RowTitles1-Detail 2 3 2 2 3 5 2 2_Tertiary Salaries Survey" xfId="7856"/>
    <cellStyle name="RowTitles1-Detail 2 3 2 2 3 5 2 3" xfId="7857"/>
    <cellStyle name="RowTitles1-Detail 2 3 2 2 3 5 2_Tertiary Salaries Survey" xfId="7858"/>
    <cellStyle name="RowTitles1-Detail 2 3 2 2 3 5 3" xfId="7859"/>
    <cellStyle name="RowTitles1-Detail 2 3 2 2 3 5 3 2" xfId="7860"/>
    <cellStyle name="RowTitles1-Detail 2 3 2 2 3 5 3 2 2" xfId="7861"/>
    <cellStyle name="RowTitles1-Detail 2 3 2 2 3 5 3 2_Tertiary Salaries Survey" xfId="7862"/>
    <cellStyle name="RowTitles1-Detail 2 3 2 2 3 5 3 3" xfId="7863"/>
    <cellStyle name="RowTitles1-Detail 2 3 2 2 3 5 3_Tertiary Salaries Survey" xfId="7864"/>
    <cellStyle name="RowTitles1-Detail 2 3 2 2 3 5 4" xfId="7865"/>
    <cellStyle name="RowTitles1-Detail 2 3 2 2 3 5 4 2" xfId="7866"/>
    <cellStyle name="RowTitles1-Detail 2 3 2 2 3 5 4_Tertiary Salaries Survey" xfId="7867"/>
    <cellStyle name="RowTitles1-Detail 2 3 2 2 3 5 5" xfId="7868"/>
    <cellStyle name="RowTitles1-Detail 2 3 2 2 3 5_Tertiary Salaries Survey" xfId="7869"/>
    <cellStyle name="RowTitles1-Detail 2 3 2 2 3 6" xfId="7870"/>
    <cellStyle name="RowTitles1-Detail 2 3 2 2 3 6 2" xfId="7871"/>
    <cellStyle name="RowTitles1-Detail 2 3 2 2 3 6 2 2" xfId="7872"/>
    <cellStyle name="RowTitles1-Detail 2 3 2 2 3 6 2 2 2" xfId="7873"/>
    <cellStyle name="RowTitles1-Detail 2 3 2 2 3 6 2 2_Tertiary Salaries Survey" xfId="7874"/>
    <cellStyle name="RowTitles1-Detail 2 3 2 2 3 6 2 3" xfId="7875"/>
    <cellStyle name="RowTitles1-Detail 2 3 2 2 3 6 2_Tertiary Salaries Survey" xfId="7876"/>
    <cellStyle name="RowTitles1-Detail 2 3 2 2 3 6 3" xfId="7877"/>
    <cellStyle name="RowTitles1-Detail 2 3 2 2 3 6 3 2" xfId="7878"/>
    <cellStyle name="RowTitles1-Detail 2 3 2 2 3 6 3 2 2" xfId="7879"/>
    <cellStyle name="RowTitles1-Detail 2 3 2 2 3 6 3 2_Tertiary Salaries Survey" xfId="7880"/>
    <cellStyle name="RowTitles1-Detail 2 3 2 2 3 6 3 3" xfId="7881"/>
    <cellStyle name="RowTitles1-Detail 2 3 2 2 3 6 3_Tertiary Salaries Survey" xfId="7882"/>
    <cellStyle name="RowTitles1-Detail 2 3 2 2 3 6 4" xfId="7883"/>
    <cellStyle name="RowTitles1-Detail 2 3 2 2 3 6 4 2" xfId="7884"/>
    <cellStyle name="RowTitles1-Detail 2 3 2 2 3 6 4_Tertiary Salaries Survey" xfId="7885"/>
    <cellStyle name="RowTitles1-Detail 2 3 2 2 3 6 5" xfId="7886"/>
    <cellStyle name="RowTitles1-Detail 2 3 2 2 3 6_Tertiary Salaries Survey" xfId="7887"/>
    <cellStyle name="RowTitles1-Detail 2 3 2 2 3 7" xfId="7888"/>
    <cellStyle name="RowTitles1-Detail 2 3 2 2 3 7 2" xfId="7889"/>
    <cellStyle name="RowTitles1-Detail 2 3 2 2 3 7 2 2" xfId="7890"/>
    <cellStyle name="RowTitles1-Detail 2 3 2 2 3 7 2_Tertiary Salaries Survey" xfId="7891"/>
    <cellStyle name="RowTitles1-Detail 2 3 2 2 3 7 3" xfId="7892"/>
    <cellStyle name="RowTitles1-Detail 2 3 2 2 3 7_Tertiary Salaries Survey" xfId="7893"/>
    <cellStyle name="RowTitles1-Detail 2 3 2 2 3 8" xfId="7894"/>
    <cellStyle name="RowTitles1-Detail 2 3 2 2 3 8 2" xfId="7895"/>
    <cellStyle name="RowTitles1-Detail 2 3 2 2 3 8 2 2" xfId="7896"/>
    <cellStyle name="RowTitles1-Detail 2 3 2 2 3 8 2_Tertiary Salaries Survey" xfId="7897"/>
    <cellStyle name="RowTitles1-Detail 2 3 2 2 3 8 3" xfId="7898"/>
    <cellStyle name="RowTitles1-Detail 2 3 2 2 3 8_Tertiary Salaries Survey" xfId="7899"/>
    <cellStyle name="RowTitles1-Detail 2 3 2 2 3 9" xfId="7900"/>
    <cellStyle name="RowTitles1-Detail 2 3 2 2 3_STUD aligned by INSTIT" xfId="7901"/>
    <cellStyle name="RowTitles1-Detail 2 3 2 2 4" xfId="7902"/>
    <cellStyle name="RowTitles1-Detail 2 3 2 2 4 2" xfId="7903"/>
    <cellStyle name="RowTitles1-Detail 2 3 2 2 4 2 2" xfId="7904"/>
    <cellStyle name="RowTitles1-Detail 2 3 2 2 4 2 2 2" xfId="7905"/>
    <cellStyle name="RowTitles1-Detail 2 3 2 2 4 2 2 2 2" xfId="7906"/>
    <cellStyle name="RowTitles1-Detail 2 3 2 2 4 2 2 2_Tertiary Salaries Survey" xfId="7907"/>
    <cellStyle name="RowTitles1-Detail 2 3 2 2 4 2 2 3" xfId="7908"/>
    <cellStyle name="RowTitles1-Detail 2 3 2 2 4 2 2_Tertiary Salaries Survey" xfId="7909"/>
    <cellStyle name="RowTitles1-Detail 2 3 2 2 4 2 3" xfId="7910"/>
    <cellStyle name="RowTitles1-Detail 2 3 2 2 4 2 3 2" xfId="7911"/>
    <cellStyle name="RowTitles1-Detail 2 3 2 2 4 2 3 2 2" xfId="7912"/>
    <cellStyle name="RowTitles1-Detail 2 3 2 2 4 2 3 2_Tertiary Salaries Survey" xfId="7913"/>
    <cellStyle name="RowTitles1-Detail 2 3 2 2 4 2 3 3" xfId="7914"/>
    <cellStyle name="RowTitles1-Detail 2 3 2 2 4 2 3_Tertiary Salaries Survey" xfId="7915"/>
    <cellStyle name="RowTitles1-Detail 2 3 2 2 4 2 4" xfId="7916"/>
    <cellStyle name="RowTitles1-Detail 2 3 2 2 4 2 5" xfId="7917"/>
    <cellStyle name="RowTitles1-Detail 2 3 2 2 4 2 5 2" xfId="7918"/>
    <cellStyle name="RowTitles1-Detail 2 3 2 2 4 2 5_Tertiary Salaries Survey" xfId="7919"/>
    <cellStyle name="RowTitles1-Detail 2 3 2 2 4 2 6" xfId="7920"/>
    <cellStyle name="RowTitles1-Detail 2 3 2 2 4 2_Tertiary Salaries Survey" xfId="7921"/>
    <cellStyle name="RowTitles1-Detail 2 3 2 2 4 3" xfId="7922"/>
    <cellStyle name="RowTitles1-Detail 2 3 2 2 4 3 2" xfId="7923"/>
    <cellStyle name="RowTitles1-Detail 2 3 2 2 4 3 2 2" xfId="7924"/>
    <cellStyle name="RowTitles1-Detail 2 3 2 2 4 3 2 2 2" xfId="7925"/>
    <cellStyle name="RowTitles1-Detail 2 3 2 2 4 3 2 2_Tertiary Salaries Survey" xfId="7926"/>
    <cellStyle name="RowTitles1-Detail 2 3 2 2 4 3 2 3" xfId="7927"/>
    <cellStyle name="RowTitles1-Detail 2 3 2 2 4 3 2_Tertiary Salaries Survey" xfId="7928"/>
    <cellStyle name="RowTitles1-Detail 2 3 2 2 4 3 3" xfId="7929"/>
    <cellStyle name="RowTitles1-Detail 2 3 2 2 4 3 3 2" xfId="7930"/>
    <cellStyle name="RowTitles1-Detail 2 3 2 2 4 3 3 2 2" xfId="7931"/>
    <cellStyle name="RowTitles1-Detail 2 3 2 2 4 3 3 2_Tertiary Salaries Survey" xfId="7932"/>
    <cellStyle name="RowTitles1-Detail 2 3 2 2 4 3 3 3" xfId="7933"/>
    <cellStyle name="RowTitles1-Detail 2 3 2 2 4 3 3_Tertiary Salaries Survey" xfId="7934"/>
    <cellStyle name="RowTitles1-Detail 2 3 2 2 4 3 4" xfId="7935"/>
    <cellStyle name="RowTitles1-Detail 2 3 2 2 4 3 5" xfId="7936"/>
    <cellStyle name="RowTitles1-Detail 2 3 2 2 4 3_Tertiary Salaries Survey" xfId="7937"/>
    <cellStyle name="RowTitles1-Detail 2 3 2 2 4 4" xfId="7938"/>
    <cellStyle name="RowTitles1-Detail 2 3 2 2 4 4 2" xfId="7939"/>
    <cellStyle name="RowTitles1-Detail 2 3 2 2 4 4 2 2" xfId="7940"/>
    <cellStyle name="RowTitles1-Detail 2 3 2 2 4 4 2 2 2" xfId="7941"/>
    <cellStyle name="RowTitles1-Detail 2 3 2 2 4 4 2 2_Tertiary Salaries Survey" xfId="7942"/>
    <cellStyle name="RowTitles1-Detail 2 3 2 2 4 4 2 3" xfId="7943"/>
    <cellStyle name="RowTitles1-Detail 2 3 2 2 4 4 2_Tertiary Salaries Survey" xfId="7944"/>
    <cellStyle name="RowTitles1-Detail 2 3 2 2 4 4 3" xfId="7945"/>
    <cellStyle name="RowTitles1-Detail 2 3 2 2 4 4 3 2" xfId="7946"/>
    <cellStyle name="RowTitles1-Detail 2 3 2 2 4 4 3 2 2" xfId="7947"/>
    <cellStyle name="RowTitles1-Detail 2 3 2 2 4 4 3 2_Tertiary Salaries Survey" xfId="7948"/>
    <cellStyle name="RowTitles1-Detail 2 3 2 2 4 4 3 3" xfId="7949"/>
    <cellStyle name="RowTitles1-Detail 2 3 2 2 4 4 3_Tertiary Salaries Survey" xfId="7950"/>
    <cellStyle name="RowTitles1-Detail 2 3 2 2 4 4 4" xfId="7951"/>
    <cellStyle name="RowTitles1-Detail 2 3 2 2 4 4 5" xfId="7952"/>
    <cellStyle name="RowTitles1-Detail 2 3 2 2 4 4 5 2" xfId="7953"/>
    <cellStyle name="RowTitles1-Detail 2 3 2 2 4 4 5_Tertiary Salaries Survey" xfId="7954"/>
    <cellStyle name="RowTitles1-Detail 2 3 2 2 4 4 6" xfId="7955"/>
    <cellStyle name="RowTitles1-Detail 2 3 2 2 4 4_Tertiary Salaries Survey" xfId="7956"/>
    <cellStyle name="RowTitles1-Detail 2 3 2 2 4 5" xfId="7957"/>
    <cellStyle name="RowTitles1-Detail 2 3 2 2 4 5 2" xfId="7958"/>
    <cellStyle name="RowTitles1-Detail 2 3 2 2 4 5 2 2" xfId="7959"/>
    <cellStyle name="RowTitles1-Detail 2 3 2 2 4 5 2 2 2" xfId="7960"/>
    <cellStyle name="RowTitles1-Detail 2 3 2 2 4 5 2 2_Tertiary Salaries Survey" xfId="7961"/>
    <cellStyle name="RowTitles1-Detail 2 3 2 2 4 5 2 3" xfId="7962"/>
    <cellStyle name="RowTitles1-Detail 2 3 2 2 4 5 2_Tertiary Salaries Survey" xfId="7963"/>
    <cellStyle name="RowTitles1-Detail 2 3 2 2 4 5 3" xfId="7964"/>
    <cellStyle name="RowTitles1-Detail 2 3 2 2 4 5 3 2" xfId="7965"/>
    <cellStyle name="RowTitles1-Detail 2 3 2 2 4 5 3 2 2" xfId="7966"/>
    <cellStyle name="RowTitles1-Detail 2 3 2 2 4 5 3 2_Tertiary Salaries Survey" xfId="7967"/>
    <cellStyle name="RowTitles1-Detail 2 3 2 2 4 5 3 3" xfId="7968"/>
    <cellStyle name="RowTitles1-Detail 2 3 2 2 4 5 3_Tertiary Salaries Survey" xfId="7969"/>
    <cellStyle name="RowTitles1-Detail 2 3 2 2 4 5 4" xfId="7970"/>
    <cellStyle name="RowTitles1-Detail 2 3 2 2 4 5 4 2" xfId="7971"/>
    <cellStyle name="RowTitles1-Detail 2 3 2 2 4 5 4_Tertiary Salaries Survey" xfId="7972"/>
    <cellStyle name="RowTitles1-Detail 2 3 2 2 4 5 5" xfId="7973"/>
    <cellStyle name="RowTitles1-Detail 2 3 2 2 4 5_Tertiary Salaries Survey" xfId="7974"/>
    <cellStyle name="RowTitles1-Detail 2 3 2 2 4 6" xfId="7975"/>
    <cellStyle name="RowTitles1-Detail 2 3 2 2 4 6 2" xfId="7976"/>
    <cellStyle name="RowTitles1-Detail 2 3 2 2 4 6 2 2" xfId="7977"/>
    <cellStyle name="RowTitles1-Detail 2 3 2 2 4 6 2 2 2" xfId="7978"/>
    <cellStyle name="RowTitles1-Detail 2 3 2 2 4 6 2 2_Tertiary Salaries Survey" xfId="7979"/>
    <cellStyle name="RowTitles1-Detail 2 3 2 2 4 6 2 3" xfId="7980"/>
    <cellStyle name="RowTitles1-Detail 2 3 2 2 4 6 2_Tertiary Salaries Survey" xfId="7981"/>
    <cellStyle name="RowTitles1-Detail 2 3 2 2 4 6 3" xfId="7982"/>
    <cellStyle name="RowTitles1-Detail 2 3 2 2 4 6 3 2" xfId="7983"/>
    <cellStyle name="RowTitles1-Detail 2 3 2 2 4 6 3 2 2" xfId="7984"/>
    <cellStyle name="RowTitles1-Detail 2 3 2 2 4 6 3 2_Tertiary Salaries Survey" xfId="7985"/>
    <cellStyle name="RowTitles1-Detail 2 3 2 2 4 6 3 3" xfId="7986"/>
    <cellStyle name="RowTitles1-Detail 2 3 2 2 4 6 3_Tertiary Salaries Survey" xfId="7987"/>
    <cellStyle name="RowTitles1-Detail 2 3 2 2 4 6 4" xfId="7988"/>
    <cellStyle name="RowTitles1-Detail 2 3 2 2 4 6 4 2" xfId="7989"/>
    <cellStyle name="RowTitles1-Detail 2 3 2 2 4 6 4_Tertiary Salaries Survey" xfId="7990"/>
    <cellStyle name="RowTitles1-Detail 2 3 2 2 4 6 5" xfId="7991"/>
    <cellStyle name="RowTitles1-Detail 2 3 2 2 4 6_Tertiary Salaries Survey" xfId="7992"/>
    <cellStyle name="RowTitles1-Detail 2 3 2 2 4 7" xfId="7993"/>
    <cellStyle name="RowTitles1-Detail 2 3 2 2 4 7 2" xfId="7994"/>
    <cellStyle name="RowTitles1-Detail 2 3 2 2 4 7 2 2" xfId="7995"/>
    <cellStyle name="RowTitles1-Detail 2 3 2 2 4 7 2_Tertiary Salaries Survey" xfId="7996"/>
    <cellStyle name="RowTitles1-Detail 2 3 2 2 4 7 3" xfId="7997"/>
    <cellStyle name="RowTitles1-Detail 2 3 2 2 4 7_Tertiary Salaries Survey" xfId="7998"/>
    <cellStyle name="RowTitles1-Detail 2 3 2 2 4 8" xfId="7999"/>
    <cellStyle name="RowTitles1-Detail 2 3 2 2 4 9" xfId="8000"/>
    <cellStyle name="RowTitles1-Detail 2 3 2 2 4_STUD aligned by INSTIT" xfId="8001"/>
    <cellStyle name="RowTitles1-Detail 2 3 2 2 5" xfId="8002"/>
    <cellStyle name="RowTitles1-Detail 2 3 2 2 5 2" xfId="8003"/>
    <cellStyle name="RowTitles1-Detail 2 3 2 2 5 2 2" xfId="8004"/>
    <cellStyle name="RowTitles1-Detail 2 3 2 2 5 2 2 2" xfId="8005"/>
    <cellStyle name="RowTitles1-Detail 2 3 2 2 5 2 2_Tertiary Salaries Survey" xfId="8006"/>
    <cellStyle name="RowTitles1-Detail 2 3 2 2 5 2 3" xfId="8007"/>
    <cellStyle name="RowTitles1-Detail 2 3 2 2 5 2_Tertiary Salaries Survey" xfId="8008"/>
    <cellStyle name="RowTitles1-Detail 2 3 2 2 5 3" xfId="8009"/>
    <cellStyle name="RowTitles1-Detail 2 3 2 2 5 3 2" xfId="8010"/>
    <cellStyle name="RowTitles1-Detail 2 3 2 2 5 3 2 2" xfId="8011"/>
    <cellStyle name="RowTitles1-Detail 2 3 2 2 5 3 2_Tertiary Salaries Survey" xfId="8012"/>
    <cellStyle name="RowTitles1-Detail 2 3 2 2 5 3 3" xfId="8013"/>
    <cellStyle name="RowTitles1-Detail 2 3 2 2 5 3_Tertiary Salaries Survey" xfId="8014"/>
    <cellStyle name="RowTitles1-Detail 2 3 2 2 5 4" xfId="8015"/>
    <cellStyle name="RowTitles1-Detail 2 3 2 2 5 5" xfId="8016"/>
    <cellStyle name="RowTitles1-Detail 2 3 2 2 5 5 2" xfId="8017"/>
    <cellStyle name="RowTitles1-Detail 2 3 2 2 5 5_Tertiary Salaries Survey" xfId="8018"/>
    <cellStyle name="RowTitles1-Detail 2 3 2 2 5 6" xfId="8019"/>
    <cellStyle name="RowTitles1-Detail 2 3 2 2 5_Tertiary Salaries Survey" xfId="8020"/>
    <cellStyle name="RowTitles1-Detail 2 3 2 2 6" xfId="8021"/>
    <cellStyle name="RowTitles1-Detail 2 3 2 2 6 2" xfId="8022"/>
    <cellStyle name="RowTitles1-Detail 2 3 2 2 6 2 2" xfId="8023"/>
    <cellStyle name="RowTitles1-Detail 2 3 2 2 6 2 2 2" xfId="8024"/>
    <cellStyle name="RowTitles1-Detail 2 3 2 2 6 2 2_Tertiary Salaries Survey" xfId="8025"/>
    <cellStyle name="RowTitles1-Detail 2 3 2 2 6 2 3" xfId="8026"/>
    <cellStyle name="RowTitles1-Detail 2 3 2 2 6 2_Tertiary Salaries Survey" xfId="8027"/>
    <cellStyle name="RowTitles1-Detail 2 3 2 2 6 3" xfId="8028"/>
    <cellStyle name="RowTitles1-Detail 2 3 2 2 6 3 2" xfId="8029"/>
    <cellStyle name="RowTitles1-Detail 2 3 2 2 6 3 2 2" xfId="8030"/>
    <cellStyle name="RowTitles1-Detail 2 3 2 2 6 3 2_Tertiary Salaries Survey" xfId="8031"/>
    <cellStyle name="RowTitles1-Detail 2 3 2 2 6 3 3" xfId="8032"/>
    <cellStyle name="RowTitles1-Detail 2 3 2 2 6 3_Tertiary Salaries Survey" xfId="8033"/>
    <cellStyle name="RowTitles1-Detail 2 3 2 2 6 4" xfId="8034"/>
    <cellStyle name="RowTitles1-Detail 2 3 2 2 6 5" xfId="8035"/>
    <cellStyle name="RowTitles1-Detail 2 3 2 2 6_Tertiary Salaries Survey" xfId="8036"/>
    <cellStyle name="RowTitles1-Detail 2 3 2 2 7" xfId="8037"/>
    <cellStyle name="RowTitles1-Detail 2 3 2 2 7 2" xfId="8038"/>
    <cellStyle name="RowTitles1-Detail 2 3 2 2 7 2 2" xfId="8039"/>
    <cellStyle name="RowTitles1-Detail 2 3 2 2 7 2 2 2" xfId="8040"/>
    <cellStyle name="RowTitles1-Detail 2 3 2 2 7 2 2_Tertiary Salaries Survey" xfId="8041"/>
    <cellStyle name="RowTitles1-Detail 2 3 2 2 7 2 3" xfId="8042"/>
    <cellStyle name="RowTitles1-Detail 2 3 2 2 7 2_Tertiary Salaries Survey" xfId="8043"/>
    <cellStyle name="RowTitles1-Detail 2 3 2 2 7 3" xfId="8044"/>
    <cellStyle name="RowTitles1-Detail 2 3 2 2 7 3 2" xfId="8045"/>
    <cellStyle name="RowTitles1-Detail 2 3 2 2 7 3 2 2" xfId="8046"/>
    <cellStyle name="RowTitles1-Detail 2 3 2 2 7 3 2_Tertiary Salaries Survey" xfId="8047"/>
    <cellStyle name="RowTitles1-Detail 2 3 2 2 7 3 3" xfId="8048"/>
    <cellStyle name="RowTitles1-Detail 2 3 2 2 7 3_Tertiary Salaries Survey" xfId="8049"/>
    <cellStyle name="RowTitles1-Detail 2 3 2 2 7 4" xfId="8050"/>
    <cellStyle name="RowTitles1-Detail 2 3 2 2 7 5" xfId="8051"/>
    <cellStyle name="RowTitles1-Detail 2 3 2 2 7 5 2" xfId="8052"/>
    <cellStyle name="RowTitles1-Detail 2 3 2 2 7 5_Tertiary Salaries Survey" xfId="8053"/>
    <cellStyle name="RowTitles1-Detail 2 3 2 2 7 6" xfId="8054"/>
    <cellStyle name="RowTitles1-Detail 2 3 2 2 7_Tertiary Salaries Survey" xfId="8055"/>
    <cellStyle name="RowTitles1-Detail 2 3 2 2 8" xfId="8056"/>
    <cellStyle name="RowTitles1-Detail 2 3 2 2 8 2" xfId="8057"/>
    <cellStyle name="RowTitles1-Detail 2 3 2 2 8 2 2" xfId="8058"/>
    <cellStyle name="RowTitles1-Detail 2 3 2 2 8 2 2 2" xfId="8059"/>
    <cellStyle name="RowTitles1-Detail 2 3 2 2 8 2 2_Tertiary Salaries Survey" xfId="8060"/>
    <cellStyle name="RowTitles1-Detail 2 3 2 2 8 2 3" xfId="8061"/>
    <cellStyle name="RowTitles1-Detail 2 3 2 2 8 2_Tertiary Salaries Survey" xfId="8062"/>
    <cellStyle name="RowTitles1-Detail 2 3 2 2 8 3" xfId="8063"/>
    <cellStyle name="RowTitles1-Detail 2 3 2 2 8 3 2" xfId="8064"/>
    <cellStyle name="RowTitles1-Detail 2 3 2 2 8 3 2 2" xfId="8065"/>
    <cellStyle name="RowTitles1-Detail 2 3 2 2 8 3 2_Tertiary Salaries Survey" xfId="8066"/>
    <cellStyle name="RowTitles1-Detail 2 3 2 2 8 3 3" xfId="8067"/>
    <cellStyle name="RowTitles1-Detail 2 3 2 2 8 3_Tertiary Salaries Survey" xfId="8068"/>
    <cellStyle name="RowTitles1-Detail 2 3 2 2 8 4" xfId="8069"/>
    <cellStyle name="RowTitles1-Detail 2 3 2 2 8 4 2" xfId="8070"/>
    <cellStyle name="RowTitles1-Detail 2 3 2 2 8 4_Tertiary Salaries Survey" xfId="8071"/>
    <cellStyle name="RowTitles1-Detail 2 3 2 2 8 5" xfId="8072"/>
    <cellStyle name="RowTitles1-Detail 2 3 2 2 8_Tertiary Salaries Survey" xfId="8073"/>
    <cellStyle name="RowTitles1-Detail 2 3 2 2 9" xfId="8074"/>
    <cellStyle name="RowTitles1-Detail 2 3 2 2 9 2" xfId="8075"/>
    <cellStyle name="RowTitles1-Detail 2 3 2 2 9 2 2" xfId="8076"/>
    <cellStyle name="RowTitles1-Detail 2 3 2 2 9 2 2 2" xfId="8077"/>
    <cellStyle name="RowTitles1-Detail 2 3 2 2 9 2 2_Tertiary Salaries Survey" xfId="8078"/>
    <cellStyle name="RowTitles1-Detail 2 3 2 2 9 2 3" xfId="8079"/>
    <cellStyle name="RowTitles1-Detail 2 3 2 2 9 2_Tertiary Salaries Survey" xfId="8080"/>
    <cellStyle name="RowTitles1-Detail 2 3 2 2 9 3" xfId="8081"/>
    <cellStyle name="RowTitles1-Detail 2 3 2 2 9 3 2" xfId="8082"/>
    <cellStyle name="RowTitles1-Detail 2 3 2 2 9 3 2 2" xfId="8083"/>
    <cellStyle name="RowTitles1-Detail 2 3 2 2 9 3 2_Tertiary Salaries Survey" xfId="8084"/>
    <cellStyle name="RowTitles1-Detail 2 3 2 2 9 3 3" xfId="8085"/>
    <cellStyle name="RowTitles1-Detail 2 3 2 2 9 3_Tertiary Salaries Survey" xfId="8086"/>
    <cellStyle name="RowTitles1-Detail 2 3 2 2 9 4" xfId="8087"/>
    <cellStyle name="RowTitles1-Detail 2 3 2 2 9 4 2" xfId="8088"/>
    <cellStyle name="RowTitles1-Detail 2 3 2 2 9 4_Tertiary Salaries Survey" xfId="8089"/>
    <cellStyle name="RowTitles1-Detail 2 3 2 2 9 5" xfId="8090"/>
    <cellStyle name="RowTitles1-Detail 2 3 2 2 9_Tertiary Salaries Survey" xfId="8091"/>
    <cellStyle name="RowTitles1-Detail 2 3 2 2_STUD aligned by INSTIT" xfId="8092"/>
    <cellStyle name="RowTitles1-Detail 2 3 2 3" xfId="8093"/>
    <cellStyle name="RowTitles1-Detail 2 3 2 3 2" xfId="8094"/>
    <cellStyle name="RowTitles1-Detail 2 3 2 3 2 2" xfId="8095"/>
    <cellStyle name="RowTitles1-Detail 2 3 2 3 2 2 2" xfId="8096"/>
    <cellStyle name="RowTitles1-Detail 2 3 2 3 2 2 2 2" xfId="8097"/>
    <cellStyle name="RowTitles1-Detail 2 3 2 3 2 2 2_Tertiary Salaries Survey" xfId="8098"/>
    <cellStyle name="RowTitles1-Detail 2 3 2 3 2 2 3" xfId="8099"/>
    <cellStyle name="RowTitles1-Detail 2 3 2 3 2 2_Tertiary Salaries Survey" xfId="8100"/>
    <cellStyle name="RowTitles1-Detail 2 3 2 3 2 3" xfId="8101"/>
    <cellStyle name="RowTitles1-Detail 2 3 2 3 2 3 2" xfId="8102"/>
    <cellStyle name="RowTitles1-Detail 2 3 2 3 2 3 2 2" xfId="8103"/>
    <cellStyle name="RowTitles1-Detail 2 3 2 3 2 3 2_Tertiary Salaries Survey" xfId="8104"/>
    <cellStyle name="RowTitles1-Detail 2 3 2 3 2 3 3" xfId="8105"/>
    <cellStyle name="RowTitles1-Detail 2 3 2 3 2 3_Tertiary Salaries Survey" xfId="8106"/>
    <cellStyle name="RowTitles1-Detail 2 3 2 3 2 4" xfId="8107"/>
    <cellStyle name="RowTitles1-Detail 2 3 2 3 2 5" xfId="8108"/>
    <cellStyle name="RowTitles1-Detail 2 3 2 3 2_Tertiary Salaries Survey" xfId="8109"/>
    <cellStyle name="RowTitles1-Detail 2 3 2 3 3" xfId="8110"/>
    <cellStyle name="RowTitles1-Detail 2 3 2 3 3 2" xfId="8111"/>
    <cellStyle name="RowTitles1-Detail 2 3 2 3 3 2 2" xfId="8112"/>
    <cellStyle name="RowTitles1-Detail 2 3 2 3 3 2 2 2" xfId="8113"/>
    <cellStyle name="RowTitles1-Detail 2 3 2 3 3 2 2_Tertiary Salaries Survey" xfId="8114"/>
    <cellStyle name="RowTitles1-Detail 2 3 2 3 3 2 3" xfId="8115"/>
    <cellStyle name="RowTitles1-Detail 2 3 2 3 3 2_Tertiary Salaries Survey" xfId="8116"/>
    <cellStyle name="RowTitles1-Detail 2 3 2 3 3 3" xfId="8117"/>
    <cellStyle name="RowTitles1-Detail 2 3 2 3 3 3 2" xfId="8118"/>
    <cellStyle name="RowTitles1-Detail 2 3 2 3 3 3 2 2" xfId="8119"/>
    <cellStyle name="RowTitles1-Detail 2 3 2 3 3 3 2_Tertiary Salaries Survey" xfId="8120"/>
    <cellStyle name="RowTitles1-Detail 2 3 2 3 3 3 3" xfId="8121"/>
    <cellStyle name="RowTitles1-Detail 2 3 2 3 3 3_Tertiary Salaries Survey" xfId="8122"/>
    <cellStyle name="RowTitles1-Detail 2 3 2 3 3 4" xfId="8123"/>
    <cellStyle name="RowTitles1-Detail 2 3 2 3 3 5" xfId="8124"/>
    <cellStyle name="RowTitles1-Detail 2 3 2 3 3 5 2" xfId="8125"/>
    <cellStyle name="RowTitles1-Detail 2 3 2 3 3 5_Tertiary Salaries Survey" xfId="8126"/>
    <cellStyle name="RowTitles1-Detail 2 3 2 3 3 6" xfId="8127"/>
    <cellStyle name="RowTitles1-Detail 2 3 2 3 3_Tertiary Salaries Survey" xfId="8128"/>
    <cellStyle name="RowTitles1-Detail 2 3 2 3 4" xfId="8129"/>
    <cellStyle name="RowTitles1-Detail 2 3 2 3 4 2" xfId="8130"/>
    <cellStyle name="RowTitles1-Detail 2 3 2 3 4 2 2" xfId="8131"/>
    <cellStyle name="RowTitles1-Detail 2 3 2 3 4 2 2 2" xfId="8132"/>
    <cellStyle name="RowTitles1-Detail 2 3 2 3 4 2 2_Tertiary Salaries Survey" xfId="8133"/>
    <cellStyle name="RowTitles1-Detail 2 3 2 3 4 2 3" xfId="8134"/>
    <cellStyle name="RowTitles1-Detail 2 3 2 3 4 2_Tertiary Salaries Survey" xfId="8135"/>
    <cellStyle name="RowTitles1-Detail 2 3 2 3 4 3" xfId="8136"/>
    <cellStyle name="RowTitles1-Detail 2 3 2 3 4 3 2" xfId="8137"/>
    <cellStyle name="RowTitles1-Detail 2 3 2 3 4 3 2 2" xfId="8138"/>
    <cellStyle name="RowTitles1-Detail 2 3 2 3 4 3 2_Tertiary Salaries Survey" xfId="8139"/>
    <cellStyle name="RowTitles1-Detail 2 3 2 3 4 3 3" xfId="8140"/>
    <cellStyle name="RowTitles1-Detail 2 3 2 3 4 3_Tertiary Salaries Survey" xfId="8141"/>
    <cellStyle name="RowTitles1-Detail 2 3 2 3 4 4" xfId="8142"/>
    <cellStyle name="RowTitles1-Detail 2 3 2 3 4 4 2" xfId="8143"/>
    <cellStyle name="RowTitles1-Detail 2 3 2 3 4 4_Tertiary Salaries Survey" xfId="8144"/>
    <cellStyle name="RowTitles1-Detail 2 3 2 3 4 5" xfId="8145"/>
    <cellStyle name="RowTitles1-Detail 2 3 2 3 4_Tertiary Salaries Survey" xfId="8146"/>
    <cellStyle name="RowTitles1-Detail 2 3 2 3 5" xfId="8147"/>
    <cellStyle name="RowTitles1-Detail 2 3 2 3 5 2" xfId="8148"/>
    <cellStyle name="RowTitles1-Detail 2 3 2 3 5 2 2" xfId="8149"/>
    <cellStyle name="RowTitles1-Detail 2 3 2 3 5 2 2 2" xfId="8150"/>
    <cellStyle name="RowTitles1-Detail 2 3 2 3 5 2 2_Tertiary Salaries Survey" xfId="8151"/>
    <cellStyle name="RowTitles1-Detail 2 3 2 3 5 2 3" xfId="8152"/>
    <cellStyle name="RowTitles1-Detail 2 3 2 3 5 2_Tertiary Salaries Survey" xfId="8153"/>
    <cellStyle name="RowTitles1-Detail 2 3 2 3 5 3" xfId="8154"/>
    <cellStyle name="RowTitles1-Detail 2 3 2 3 5 3 2" xfId="8155"/>
    <cellStyle name="RowTitles1-Detail 2 3 2 3 5 3 2 2" xfId="8156"/>
    <cellStyle name="RowTitles1-Detail 2 3 2 3 5 3 2_Tertiary Salaries Survey" xfId="8157"/>
    <cellStyle name="RowTitles1-Detail 2 3 2 3 5 3 3" xfId="8158"/>
    <cellStyle name="RowTitles1-Detail 2 3 2 3 5 3_Tertiary Salaries Survey" xfId="8159"/>
    <cellStyle name="RowTitles1-Detail 2 3 2 3 5 4" xfId="8160"/>
    <cellStyle name="RowTitles1-Detail 2 3 2 3 5 4 2" xfId="8161"/>
    <cellStyle name="RowTitles1-Detail 2 3 2 3 5 4_Tertiary Salaries Survey" xfId="8162"/>
    <cellStyle name="RowTitles1-Detail 2 3 2 3 5 5" xfId="8163"/>
    <cellStyle name="RowTitles1-Detail 2 3 2 3 5_Tertiary Salaries Survey" xfId="8164"/>
    <cellStyle name="RowTitles1-Detail 2 3 2 3 6" xfId="8165"/>
    <cellStyle name="RowTitles1-Detail 2 3 2 3 6 2" xfId="8166"/>
    <cellStyle name="RowTitles1-Detail 2 3 2 3 6 2 2" xfId="8167"/>
    <cellStyle name="RowTitles1-Detail 2 3 2 3 6 2 2 2" xfId="8168"/>
    <cellStyle name="RowTitles1-Detail 2 3 2 3 6 2 2_Tertiary Salaries Survey" xfId="8169"/>
    <cellStyle name="RowTitles1-Detail 2 3 2 3 6 2 3" xfId="8170"/>
    <cellStyle name="RowTitles1-Detail 2 3 2 3 6 2_Tertiary Salaries Survey" xfId="8171"/>
    <cellStyle name="RowTitles1-Detail 2 3 2 3 6 3" xfId="8172"/>
    <cellStyle name="RowTitles1-Detail 2 3 2 3 6 3 2" xfId="8173"/>
    <cellStyle name="RowTitles1-Detail 2 3 2 3 6 3 2 2" xfId="8174"/>
    <cellStyle name="RowTitles1-Detail 2 3 2 3 6 3 2_Tertiary Salaries Survey" xfId="8175"/>
    <cellStyle name="RowTitles1-Detail 2 3 2 3 6 3 3" xfId="8176"/>
    <cellStyle name="RowTitles1-Detail 2 3 2 3 6 3_Tertiary Salaries Survey" xfId="8177"/>
    <cellStyle name="RowTitles1-Detail 2 3 2 3 6 4" xfId="8178"/>
    <cellStyle name="RowTitles1-Detail 2 3 2 3 6 4 2" xfId="8179"/>
    <cellStyle name="RowTitles1-Detail 2 3 2 3 6 4_Tertiary Salaries Survey" xfId="8180"/>
    <cellStyle name="RowTitles1-Detail 2 3 2 3 6 5" xfId="8181"/>
    <cellStyle name="RowTitles1-Detail 2 3 2 3 6_Tertiary Salaries Survey" xfId="8182"/>
    <cellStyle name="RowTitles1-Detail 2 3 2 3 7" xfId="8183"/>
    <cellStyle name="RowTitles1-Detail 2 3 2 3 7 2" xfId="8184"/>
    <cellStyle name="RowTitles1-Detail 2 3 2 3 7 2 2" xfId="8185"/>
    <cellStyle name="RowTitles1-Detail 2 3 2 3 7 2_Tertiary Salaries Survey" xfId="8186"/>
    <cellStyle name="RowTitles1-Detail 2 3 2 3 7 3" xfId="8187"/>
    <cellStyle name="RowTitles1-Detail 2 3 2 3 7_Tertiary Salaries Survey" xfId="8188"/>
    <cellStyle name="RowTitles1-Detail 2 3 2 3 8" xfId="8189"/>
    <cellStyle name="RowTitles1-Detail 2 3 2 3 9" xfId="8190"/>
    <cellStyle name="RowTitles1-Detail 2 3 2 3_STUD aligned by INSTIT" xfId="8191"/>
    <cellStyle name="RowTitles1-Detail 2 3 2 4" xfId="8192"/>
    <cellStyle name="RowTitles1-Detail 2 3 2 4 2" xfId="8193"/>
    <cellStyle name="RowTitles1-Detail 2 3 2 4 2 2" xfId="8194"/>
    <cellStyle name="RowTitles1-Detail 2 3 2 4 2 2 2" xfId="8195"/>
    <cellStyle name="RowTitles1-Detail 2 3 2 4 2 2 2 2" xfId="8196"/>
    <cellStyle name="RowTitles1-Detail 2 3 2 4 2 2 2_Tertiary Salaries Survey" xfId="8197"/>
    <cellStyle name="RowTitles1-Detail 2 3 2 4 2 2 3" xfId="8198"/>
    <cellStyle name="RowTitles1-Detail 2 3 2 4 2 2_Tertiary Salaries Survey" xfId="8199"/>
    <cellStyle name="RowTitles1-Detail 2 3 2 4 2 3" xfId="8200"/>
    <cellStyle name="RowTitles1-Detail 2 3 2 4 2 3 2" xfId="8201"/>
    <cellStyle name="RowTitles1-Detail 2 3 2 4 2 3 2 2" xfId="8202"/>
    <cellStyle name="RowTitles1-Detail 2 3 2 4 2 3 2_Tertiary Salaries Survey" xfId="8203"/>
    <cellStyle name="RowTitles1-Detail 2 3 2 4 2 3 3" xfId="8204"/>
    <cellStyle name="RowTitles1-Detail 2 3 2 4 2 3_Tertiary Salaries Survey" xfId="8205"/>
    <cellStyle name="RowTitles1-Detail 2 3 2 4 2 4" xfId="8206"/>
    <cellStyle name="RowTitles1-Detail 2 3 2 4 2 5" xfId="8207"/>
    <cellStyle name="RowTitles1-Detail 2 3 2 4 2 5 2" xfId="8208"/>
    <cellStyle name="RowTitles1-Detail 2 3 2 4 2 5_Tertiary Salaries Survey" xfId="8209"/>
    <cellStyle name="RowTitles1-Detail 2 3 2 4 2 6" xfId="8210"/>
    <cellStyle name="RowTitles1-Detail 2 3 2 4 2_Tertiary Salaries Survey" xfId="8211"/>
    <cellStyle name="RowTitles1-Detail 2 3 2 4 3" xfId="8212"/>
    <cellStyle name="RowTitles1-Detail 2 3 2 4 3 2" xfId="8213"/>
    <cellStyle name="RowTitles1-Detail 2 3 2 4 3 2 2" xfId="8214"/>
    <cellStyle name="RowTitles1-Detail 2 3 2 4 3 2 2 2" xfId="8215"/>
    <cellStyle name="RowTitles1-Detail 2 3 2 4 3 2 2_Tertiary Salaries Survey" xfId="8216"/>
    <cellStyle name="RowTitles1-Detail 2 3 2 4 3 2 3" xfId="8217"/>
    <cellStyle name="RowTitles1-Detail 2 3 2 4 3 2_Tertiary Salaries Survey" xfId="8218"/>
    <cellStyle name="RowTitles1-Detail 2 3 2 4 3 3" xfId="8219"/>
    <cellStyle name="RowTitles1-Detail 2 3 2 4 3 3 2" xfId="8220"/>
    <cellStyle name="RowTitles1-Detail 2 3 2 4 3 3 2 2" xfId="8221"/>
    <cellStyle name="RowTitles1-Detail 2 3 2 4 3 3 2_Tertiary Salaries Survey" xfId="8222"/>
    <cellStyle name="RowTitles1-Detail 2 3 2 4 3 3 3" xfId="8223"/>
    <cellStyle name="RowTitles1-Detail 2 3 2 4 3 3_Tertiary Salaries Survey" xfId="8224"/>
    <cellStyle name="RowTitles1-Detail 2 3 2 4 3 4" xfId="8225"/>
    <cellStyle name="RowTitles1-Detail 2 3 2 4 3 5" xfId="8226"/>
    <cellStyle name="RowTitles1-Detail 2 3 2 4 3_Tertiary Salaries Survey" xfId="8227"/>
    <cellStyle name="RowTitles1-Detail 2 3 2 4 4" xfId="8228"/>
    <cellStyle name="RowTitles1-Detail 2 3 2 4 4 2" xfId="8229"/>
    <cellStyle name="RowTitles1-Detail 2 3 2 4 4 2 2" xfId="8230"/>
    <cellStyle name="RowTitles1-Detail 2 3 2 4 4 2 2 2" xfId="8231"/>
    <cellStyle name="RowTitles1-Detail 2 3 2 4 4 2 2_Tertiary Salaries Survey" xfId="8232"/>
    <cellStyle name="RowTitles1-Detail 2 3 2 4 4 2 3" xfId="8233"/>
    <cellStyle name="RowTitles1-Detail 2 3 2 4 4 2_Tertiary Salaries Survey" xfId="8234"/>
    <cellStyle name="RowTitles1-Detail 2 3 2 4 4 3" xfId="8235"/>
    <cellStyle name="RowTitles1-Detail 2 3 2 4 4 3 2" xfId="8236"/>
    <cellStyle name="RowTitles1-Detail 2 3 2 4 4 3 2 2" xfId="8237"/>
    <cellStyle name="RowTitles1-Detail 2 3 2 4 4 3 2_Tertiary Salaries Survey" xfId="8238"/>
    <cellStyle name="RowTitles1-Detail 2 3 2 4 4 3 3" xfId="8239"/>
    <cellStyle name="RowTitles1-Detail 2 3 2 4 4 3_Tertiary Salaries Survey" xfId="8240"/>
    <cellStyle name="RowTitles1-Detail 2 3 2 4 4 4" xfId="8241"/>
    <cellStyle name="RowTitles1-Detail 2 3 2 4 4 4 2" xfId="8242"/>
    <cellStyle name="RowTitles1-Detail 2 3 2 4 4 4_Tertiary Salaries Survey" xfId="8243"/>
    <cellStyle name="RowTitles1-Detail 2 3 2 4 4 5" xfId="8244"/>
    <cellStyle name="RowTitles1-Detail 2 3 2 4 4_Tertiary Salaries Survey" xfId="8245"/>
    <cellStyle name="RowTitles1-Detail 2 3 2 4 5" xfId="8246"/>
    <cellStyle name="RowTitles1-Detail 2 3 2 4 5 2" xfId="8247"/>
    <cellStyle name="RowTitles1-Detail 2 3 2 4 5 2 2" xfId="8248"/>
    <cellStyle name="RowTitles1-Detail 2 3 2 4 5 2 2 2" xfId="8249"/>
    <cellStyle name="RowTitles1-Detail 2 3 2 4 5 2 2_Tertiary Salaries Survey" xfId="8250"/>
    <cellStyle name="RowTitles1-Detail 2 3 2 4 5 2 3" xfId="8251"/>
    <cellStyle name="RowTitles1-Detail 2 3 2 4 5 2_Tertiary Salaries Survey" xfId="8252"/>
    <cellStyle name="RowTitles1-Detail 2 3 2 4 5 3" xfId="8253"/>
    <cellStyle name="RowTitles1-Detail 2 3 2 4 5 3 2" xfId="8254"/>
    <cellStyle name="RowTitles1-Detail 2 3 2 4 5 3 2 2" xfId="8255"/>
    <cellStyle name="RowTitles1-Detail 2 3 2 4 5 3 2_Tertiary Salaries Survey" xfId="8256"/>
    <cellStyle name="RowTitles1-Detail 2 3 2 4 5 3 3" xfId="8257"/>
    <cellStyle name="RowTitles1-Detail 2 3 2 4 5 3_Tertiary Salaries Survey" xfId="8258"/>
    <cellStyle name="RowTitles1-Detail 2 3 2 4 5 4" xfId="8259"/>
    <cellStyle name="RowTitles1-Detail 2 3 2 4 5 4 2" xfId="8260"/>
    <cellStyle name="RowTitles1-Detail 2 3 2 4 5 4_Tertiary Salaries Survey" xfId="8261"/>
    <cellStyle name="RowTitles1-Detail 2 3 2 4 5 5" xfId="8262"/>
    <cellStyle name="RowTitles1-Detail 2 3 2 4 5_Tertiary Salaries Survey" xfId="8263"/>
    <cellStyle name="RowTitles1-Detail 2 3 2 4 6" xfId="8264"/>
    <cellStyle name="RowTitles1-Detail 2 3 2 4 6 2" xfId="8265"/>
    <cellStyle name="RowTitles1-Detail 2 3 2 4 6 2 2" xfId="8266"/>
    <cellStyle name="RowTitles1-Detail 2 3 2 4 6 2 2 2" xfId="8267"/>
    <cellStyle name="RowTitles1-Detail 2 3 2 4 6 2 2_Tertiary Salaries Survey" xfId="8268"/>
    <cellStyle name="RowTitles1-Detail 2 3 2 4 6 2 3" xfId="8269"/>
    <cellStyle name="RowTitles1-Detail 2 3 2 4 6 2_Tertiary Salaries Survey" xfId="8270"/>
    <cellStyle name="RowTitles1-Detail 2 3 2 4 6 3" xfId="8271"/>
    <cellStyle name="RowTitles1-Detail 2 3 2 4 6 3 2" xfId="8272"/>
    <cellStyle name="RowTitles1-Detail 2 3 2 4 6 3 2 2" xfId="8273"/>
    <cellStyle name="RowTitles1-Detail 2 3 2 4 6 3 2_Tertiary Salaries Survey" xfId="8274"/>
    <cellStyle name="RowTitles1-Detail 2 3 2 4 6 3 3" xfId="8275"/>
    <cellStyle name="RowTitles1-Detail 2 3 2 4 6 3_Tertiary Salaries Survey" xfId="8276"/>
    <cellStyle name="RowTitles1-Detail 2 3 2 4 6 4" xfId="8277"/>
    <cellStyle name="RowTitles1-Detail 2 3 2 4 6 4 2" xfId="8278"/>
    <cellStyle name="RowTitles1-Detail 2 3 2 4 6 4_Tertiary Salaries Survey" xfId="8279"/>
    <cellStyle name="RowTitles1-Detail 2 3 2 4 6 5" xfId="8280"/>
    <cellStyle name="RowTitles1-Detail 2 3 2 4 6_Tertiary Salaries Survey" xfId="8281"/>
    <cellStyle name="RowTitles1-Detail 2 3 2 4 7" xfId="8282"/>
    <cellStyle name="RowTitles1-Detail 2 3 2 4 7 2" xfId="8283"/>
    <cellStyle name="RowTitles1-Detail 2 3 2 4 7 2 2" xfId="8284"/>
    <cellStyle name="RowTitles1-Detail 2 3 2 4 7 2_Tertiary Salaries Survey" xfId="8285"/>
    <cellStyle name="RowTitles1-Detail 2 3 2 4 7 3" xfId="8286"/>
    <cellStyle name="RowTitles1-Detail 2 3 2 4 7_Tertiary Salaries Survey" xfId="8287"/>
    <cellStyle name="RowTitles1-Detail 2 3 2 4 8" xfId="8288"/>
    <cellStyle name="RowTitles1-Detail 2 3 2 4 8 2" xfId="8289"/>
    <cellStyle name="RowTitles1-Detail 2 3 2 4 8 2 2" xfId="8290"/>
    <cellStyle name="RowTitles1-Detail 2 3 2 4 8 2_Tertiary Salaries Survey" xfId="8291"/>
    <cellStyle name="RowTitles1-Detail 2 3 2 4 8 3" xfId="8292"/>
    <cellStyle name="RowTitles1-Detail 2 3 2 4 8_Tertiary Salaries Survey" xfId="8293"/>
    <cellStyle name="RowTitles1-Detail 2 3 2 4 9" xfId="8294"/>
    <cellStyle name="RowTitles1-Detail 2 3 2 4_STUD aligned by INSTIT" xfId="8295"/>
    <cellStyle name="RowTitles1-Detail 2 3 2 5" xfId="8296"/>
    <cellStyle name="RowTitles1-Detail 2 3 2 5 2" xfId="8297"/>
    <cellStyle name="RowTitles1-Detail 2 3 2 5 2 2" xfId="8298"/>
    <cellStyle name="RowTitles1-Detail 2 3 2 5 2 2 2" xfId="8299"/>
    <cellStyle name="RowTitles1-Detail 2 3 2 5 2 2 2 2" xfId="8300"/>
    <cellStyle name="RowTitles1-Detail 2 3 2 5 2 2 2_Tertiary Salaries Survey" xfId="8301"/>
    <cellStyle name="RowTitles1-Detail 2 3 2 5 2 2 3" xfId="8302"/>
    <cellStyle name="RowTitles1-Detail 2 3 2 5 2 2_Tertiary Salaries Survey" xfId="8303"/>
    <cellStyle name="RowTitles1-Detail 2 3 2 5 2 3" xfId="8304"/>
    <cellStyle name="RowTitles1-Detail 2 3 2 5 2 3 2" xfId="8305"/>
    <cellStyle name="RowTitles1-Detail 2 3 2 5 2 3 2 2" xfId="8306"/>
    <cellStyle name="RowTitles1-Detail 2 3 2 5 2 3 2_Tertiary Salaries Survey" xfId="8307"/>
    <cellStyle name="RowTitles1-Detail 2 3 2 5 2 3 3" xfId="8308"/>
    <cellStyle name="RowTitles1-Detail 2 3 2 5 2 3_Tertiary Salaries Survey" xfId="8309"/>
    <cellStyle name="RowTitles1-Detail 2 3 2 5 2 4" xfId="8310"/>
    <cellStyle name="RowTitles1-Detail 2 3 2 5 2 5" xfId="8311"/>
    <cellStyle name="RowTitles1-Detail 2 3 2 5 2 5 2" xfId="8312"/>
    <cellStyle name="RowTitles1-Detail 2 3 2 5 2 5_Tertiary Salaries Survey" xfId="8313"/>
    <cellStyle name="RowTitles1-Detail 2 3 2 5 2 6" xfId="8314"/>
    <cellStyle name="RowTitles1-Detail 2 3 2 5 2_Tertiary Salaries Survey" xfId="8315"/>
    <cellStyle name="RowTitles1-Detail 2 3 2 5 3" xfId="8316"/>
    <cellStyle name="RowTitles1-Detail 2 3 2 5 3 2" xfId="8317"/>
    <cellStyle name="RowTitles1-Detail 2 3 2 5 3 2 2" xfId="8318"/>
    <cellStyle name="RowTitles1-Detail 2 3 2 5 3 2 2 2" xfId="8319"/>
    <cellStyle name="RowTitles1-Detail 2 3 2 5 3 2 2_Tertiary Salaries Survey" xfId="8320"/>
    <cellStyle name="RowTitles1-Detail 2 3 2 5 3 2 3" xfId="8321"/>
    <cellStyle name="RowTitles1-Detail 2 3 2 5 3 2_Tertiary Salaries Survey" xfId="8322"/>
    <cellStyle name="RowTitles1-Detail 2 3 2 5 3 3" xfId="8323"/>
    <cellStyle name="RowTitles1-Detail 2 3 2 5 3 3 2" xfId="8324"/>
    <cellStyle name="RowTitles1-Detail 2 3 2 5 3 3 2 2" xfId="8325"/>
    <cellStyle name="RowTitles1-Detail 2 3 2 5 3 3 2_Tertiary Salaries Survey" xfId="8326"/>
    <cellStyle name="RowTitles1-Detail 2 3 2 5 3 3 3" xfId="8327"/>
    <cellStyle name="RowTitles1-Detail 2 3 2 5 3 3_Tertiary Salaries Survey" xfId="8328"/>
    <cellStyle name="RowTitles1-Detail 2 3 2 5 3 4" xfId="8329"/>
    <cellStyle name="RowTitles1-Detail 2 3 2 5 3 5" xfId="8330"/>
    <cellStyle name="RowTitles1-Detail 2 3 2 5 3_Tertiary Salaries Survey" xfId="8331"/>
    <cellStyle name="RowTitles1-Detail 2 3 2 5 4" xfId="8332"/>
    <cellStyle name="RowTitles1-Detail 2 3 2 5 4 2" xfId="8333"/>
    <cellStyle name="RowTitles1-Detail 2 3 2 5 4 2 2" xfId="8334"/>
    <cellStyle name="RowTitles1-Detail 2 3 2 5 4 2 2 2" xfId="8335"/>
    <cellStyle name="RowTitles1-Detail 2 3 2 5 4 2 2_Tertiary Salaries Survey" xfId="8336"/>
    <cellStyle name="RowTitles1-Detail 2 3 2 5 4 2 3" xfId="8337"/>
    <cellStyle name="RowTitles1-Detail 2 3 2 5 4 2_Tertiary Salaries Survey" xfId="8338"/>
    <cellStyle name="RowTitles1-Detail 2 3 2 5 4 3" xfId="8339"/>
    <cellStyle name="RowTitles1-Detail 2 3 2 5 4 3 2" xfId="8340"/>
    <cellStyle name="RowTitles1-Detail 2 3 2 5 4 3 2 2" xfId="8341"/>
    <cellStyle name="RowTitles1-Detail 2 3 2 5 4 3 2_Tertiary Salaries Survey" xfId="8342"/>
    <cellStyle name="RowTitles1-Detail 2 3 2 5 4 3 3" xfId="8343"/>
    <cellStyle name="RowTitles1-Detail 2 3 2 5 4 3_Tertiary Salaries Survey" xfId="8344"/>
    <cellStyle name="RowTitles1-Detail 2 3 2 5 4 4" xfId="8345"/>
    <cellStyle name="RowTitles1-Detail 2 3 2 5 4 5" xfId="8346"/>
    <cellStyle name="RowTitles1-Detail 2 3 2 5 4 5 2" xfId="8347"/>
    <cellStyle name="RowTitles1-Detail 2 3 2 5 4 5_Tertiary Salaries Survey" xfId="8348"/>
    <cellStyle name="RowTitles1-Detail 2 3 2 5 4 6" xfId="8349"/>
    <cellStyle name="RowTitles1-Detail 2 3 2 5 4_Tertiary Salaries Survey" xfId="8350"/>
    <cellStyle name="RowTitles1-Detail 2 3 2 5 5" xfId="8351"/>
    <cellStyle name="RowTitles1-Detail 2 3 2 5 5 2" xfId="8352"/>
    <cellStyle name="RowTitles1-Detail 2 3 2 5 5 2 2" xfId="8353"/>
    <cellStyle name="RowTitles1-Detail 2 3 2 5 5 2 2 2" xfId="8354"/>
    <cellStyle name="RowTitles1-Detail 2 3 2 5 5 2 2_Tertiary Salaries Survey" xfId="8355"/>
    <cellStyle name="RowTitles1-Detail 2 3 2 5 5 2 3" xfId="8356"/>
    <cellStyle name="RowTitles1-Detail 2 3 2 5 5 2_Tertiary Salaries Survey" xfId="8357"/>
    <cellStyle name="RowTitles1-Detail 2 3 2 5 5 3" xfId="8358"/>
    <cellStyle name="RowTitles1-Detail 2 3 2 5 5 3 2" xfId="8359"/>
    <cellStyle name="RowTitles1-Detail 2 3 2 5 5 3 2 2" xfId="8360"/>
    <cellStyle name="RowTitles1-Detail 2 3 2 5 5 3 2_Tertiary Salaries Survey" xfId="8361"/>
    <cellStyle name="RowTitles1-Detail 2 3 2 5 5 3 3" xfId="8362"/>
    <cellStyle name="RowTitles1-Detail 2 3 2 5 5 3_Tertiary Salaries Survey" xfId="8363"/>
    <cellStyle name="RowTitles1-Detail 2 3 2 5 5 4" xfId="8364"/>
    <cellStyle name="RowTitles1-Detail 2 3 2 5 5 4 2" xfId="8365"/>
    <cellStyle name="RowTitles1-Detail 2 3 2 5 5 4_Tertiary Salaries Survey" xfId="8366"/>
    <cellStyle name="RowTitles1-Detail 2 3 2 5 5 5" xfId="8367"/>
    <cellStyle name="RowTitles1-Detail 2 3 2 5 5_Tertiary Salaries Survey" xfId="8368"/>
    <cellStyle name="RowTitles1-Detail 2 3 2 5 6" xfId="8369"/>
    <cellStyle name="RowTitles1-Detail 2 3 2 5 6 2" xfId="8370"/>
    <cellStyle name="RowTitles1-Detail 2 3 2 5 6 2 2" xfId="8371"/>
    <cellStyle name="RowTitles1-Detail 2 3 2 5 6 2 2 2" xfId="8372"/>
    <cellStyle name="RowTitles1-Detail 2 3 2 5 6 2 2_Tertiary Salaries Survey" xfId="8373"/>
    <cellStyle name="RowTitles1-Detail 2 3 2 5 6 2 3" xfId="8374"/>
    <cellStyle name="RowTitles1-Detail 2 3 2 5 6 2_Tertiary Salaries Survey" xfId="8375"/>
    <cellStyle name="RowTitles1-Detail 2 3 2 5 6 3" xfId="8376"/>
    <cellStyle name="RowTitles1-Detail 2 3 2 5 6 3 2" xfId="8377"/>
    <cellStyle name="RowTitles1-Detail 2 3 2 5 6 3 2 2" xfId="8378"/>
    <cellStyle name="RowTitles1-Detail 2 3 2 5 6 3 2_Tertiary Salaries Survey" xfId="8379"/>
    <cellStyle name="RowTitles1-Detail 2 3 2 5 6 3 3" xfId="8380"/>
    <cellStyle name="RowTitles1-Detail 2 3 2 5 6 3_Tertiary Salaries Survey" xfId="8381"/>
    <cellStyle name="RowTitles1-Detail 2 3 2 5 6 4" xfId="8382"/>
    <cellStyle name="RowTitles1-Detail 2 3 2 5 6 4 2" xfId="8383"/>
    <cellStyle name="RowTitles1-Detail 2 3 2 5 6 4_Tertiary Salaries Survey" xfId="8384"/>
    <cellStyle name="RowTitles1-Detail 2 3 2 5 6 5" xfId="8385"/>
    <cellStyle name="RowTitles1-Detail 2 3 2 5 6_Tertiary Salaries Survey" xfId="8386"/>
    <cellStyle name="RowTitles1-Detail 2 3 2 5 7" xfId="8387"/>
    <cellStyle name="RowTitles1-Detail 2 3 2 5 7 2" xfId="8388"/>
    <cellStyle name="RowTitles1-Detail 2 3 2 5 7 2 2" xfId="8389"/>
    <cellStyle name="RowTitles1-Detail 2 3 2 5 7 2_Tertiary Salaries Survey" xfId="8390"/>
    <cellStyle name="RowTitles1-Detail 2 3 2 5 7 3" xfId="8391"/>
    <cellStyle name="RowTitles1-Detail 2 3 2 5 7_Tertiary Salaries Survey" xfId="8392"/>
    <cellStyle name="RowTitles1-Detail 2 3 2 5 8" xfId="8393"/>
    <cellStyle name="RowTitles1-Detail 2 3 2 5 9" xfId="8394"/>
    <cellStyle name="RowTitles1-Detail 2 3 2 5_STUD aligned by INSTIT" xfId="8395"/>
    <cellStyle name="RowTitles1-Detail 2 3 2 6" xfId="8396"/>
    <cellStyle name="RowTitles1-Detail 2 3 2 6 2" xfId="8397"/>
    <cellStyle name="RowTitles1-Detail 2 3 2 6 2 2" xfId="8398"/>
    <cellStyle name="RowTitles1-Detail 2 3 2 6 2 2 2" xfId="8399"/>
    <cellStyle name="RowTitles1-Detail 2 3 2 6 2 2_Tertiary Salaries Survey" xfId="8400"/>
    <cellStyle name="RowTitles1-Detail 2 3 2 6 2 3" xfId="8401"/>
    <cellStyle name="RowTitles1-Detail 2 3 2 6 2_Tertiary Salaries Survey" xfId="8402"/>
    <cellStyle name="RowTitles1-Detail 2 3 2 6 3" xfId="8403"/>
    <cellStyle name="RowTitles1-Detail 2 3 2 6 3 2" xfId="8404"/>
    <cellStyle name="RowTitles1-Detail 2 3 2 6 3 2 2" xfId="8405"/>
    <cellStyle name="RowTitles1-Detail 2 3 2 6 3 2_Tertiary Salaries Survey" xfId="8406"/>
    <cellStyle name="RowTitles1-Detail 2 3 2 6 3 3" xfId="8407"/>
    <cellStyle name="RowTitles1-Detail 2 3 2 6 3_Tertiary Salaries Survey" xfId="8408"/>
    <cellStyle name="RowTitles1-Detail 2 3 2 6 4" xfId="8409"/>
    <cellStyle name="RowTitles1-Detail 2 3 2 6 5" xfId="8410"/>
    <cellStyle name="RowTitles1-Detail 2 3 2 6 5 2" xfId="8411"/>
    <cellStyle name="RowTitles1-Detail 2 3 2 6 5_Tertiary Salaries Survey" xfId="8412"/>
    <cellStyle name="RowTitles1-Detail 2 3 2 6 6" xfId="8413"/>
    <cellStyle name="RowTitles1-Detail 2 3 2 6_Tertiary Salaries Survey" xfId="8414"/>
    <cellStyle name="RowTitles1-Detail 2 3 2 7" xfId="8415"/>
    <cellStyle name="RowTitles1-Detail 2 3 2 7 2" xfId="8416"/>
    <cellStyle name="RowTitles1-Detail 2 3 2 7 2 2" xfId="8417"/>
    <cellStyle name="RowTitles1-Detail 2 3 2 7 2 2 2" xfId="8418"/>
    <cellStyle name="RowTitles1-Detail 2 3 2 7 2 2_Tertiary Salaries Survey" xfId="8419"/>
    <cellStyle name="RowTitles1-Detail 2 3 2 7 2 3" xfId="8420"/>
    <cellStyle name="RowTitles1-Detail 2 3 2 7 2_Tertiary Salaries Survey" xfId="8421"/>
    <cellStyle name="RowTitles1-Detail 2 3 2 7 3" xfId="8422"/>
    <cellStyle name="RowTitles1-Detail 2 3 2 7 3 2" xfId="8423"/>
    <cellStyle name="RowTitles1-Detail 2 3 2 7 3 2 2" xfId="8424"/>
    <cellStyle name="RowTitles1-Detail 2 3 2 7 3 2_Tertiary Salaries Survey" xfId="8425"/>
    <cellStyle name="RowTitles1-Detail 2 3 2 7 3 3" xfId="8426"/>
    <cellStyle name="RowTitles1-Detail 2 3 2 7 3_Tertiary Salaries Survey" xfId="8427"/>
    <cellStyle name="RowTitles1-Detail 2 3 2 7 4" xfId="8428"/>
    <cellStyle name="RowTitles1-Detail 2 3 2 7 5" xfId="8429"/>
    <cellStyle name="RowTitles1-Detail 2 3 2 7_Tertiary Salaries Survey" xfId="8430"/>
    <cellStyle name="RowTitles1-Detail 2 3 2 8" xfId="8431"/>
    <cellStyle name="RowTitles1-Detail 2 3 2 8 2" xfId="8432"/>
    <cellStyle name="RowTitles1-Detail 2 3 2 8 2 2" xfId="8433"/>
    <cellStyle name="RowTitles1-Detail 2 3 2 8 2 2 2" xfId="8434"/>
    <cellStyle name="RowTitles1-Detail 2 3 2 8 2 2_Tertiary Salaries Survey" xfId="8435"/>
    <cellStyle name="RowTitles1-Detail 2 3 2 8 2 3" xfId="8436"/>
    <cellStyle name="RowTitles1-Detail 2 3 2 8 2_Tertiary Salaries Survey" xfId="8437"/>
    <cellStyle name="RowTitles1-Detail 2 3 2 8 3" xfId="8438"/>
    <cellStyle name="RowTitles1-Detail 2 3 2 8 3 2" xfId="8439"/>
    <cellStyle name="RowTitles1-Detail 2 3 2 8 3 2 2" xfId="8440"/>
    <cellStyle name="RowTitles1-Detail 2 3 2 8 3 2_Tertiary Salaries Survey" xfId="8441"/>
    <cellStyle name="RowTitles1-Detail 2 3 2 8 3 3" xfId="8442"/>
    <cellStyle name="RowTitles1-Detail 2 3 2 8 3_Tertiary Salaries Survey" xfId="8443"/>
    <cellStyle name="RowTitles1-Detail 2 3 2 8 4" xfId="8444"/>
    <cellStyle name="RowTitles1-Detail 2 3 2 8 5" xfId="8445"/>
    <cellStyle name="RowTitles1-Detail 2 3 2 8 5 2" xfId="8446"/>
    <cellStyle name="RowTitles1-Detail 2 3 2 8 5_Tertiary Salaries Survey" xfId="8447"/>
    <cellStyle name="RowTitles1-Detail 2 3 2 8 6" xfId="8448"/>
    <cellStyle name="RowTitles1-Detail 2 3 2 8_Tertiary Salaries Survey" xfId="8449"/>
    <cellStyle name="RowTitles1-Detail 2 3 2 9" xfId="8450"/>
    <cellStyle name="RowTitles1-Detail 2 3 2 9 2" xfId="8451"/>
    <cellStyle name="RowTitles1-Detail 2 3 2 9 2 2" xfId="8452"/>
    <cellStyle name="RowTitles1-Detail 2 3 2 9 2 2 2" xfId="8453"/>
    <cellStyle name="RowTitles1-Detail 2 3 2 9 2 2_Tertiary Salaries Survey" xfId="8454"/>
    <cellStyle name="RowTitles1-Detail 2 3 2 9 2 3" xfId="8455"/>
    <cellStyle name="RowTitles1-Detail 2 3 2 9 2_Tertiary Salaries Survey" xfId="8456"/>
    <cellStyle name="RowTitles1-Detail 2 3 2 9 3" xfId="8457"/>
    <cellStyle name="RowTitles1-Detail 2 3 2 9 3 2" xfId="8458"/>
    <cellStyle name="RowTitles1-Detail 2 3 2 9 3 2 2" xfId="8459"/>
    <cellStyle name="RowTitles1-Detail 2 3 2 9 3 2_Tertiary Salaries Survey" xfId="8460"/>
    <cellStyle name="RowTitles1-Detail 2 3 2 9 3 3" xfId="8461"/>
    <cellStyle name="RowTitles1-Detail 2 3 2 9 3_Tertiary Salaries Survey" xfId="8462"/>
    <cellStyle name="RowTitles1-Detail 2 3 2 9 4" xfId="8463"/>
    <cellStyle name="RowTitles1-Detail 2 3 2 9 4 2" xfId="8464"/>
    <cellStyle name="RowTitles1-Detail 2 3 2 9 4_Tertiary Salaries Survey" xfId="8465"/>
    <cellStyle name="RowTitles1-Detail 2 3 2 9 5" xfId="8466"/>
    <cellStyle name="RowTitles1-Detail 2 3 2 9_Tertiary Salaries Survey" xfId="8467"/>
    <cellStyle name="RowTitles1-Detail 2 3 2_STUD aligned by INSTIT" xfId="8468"/>
    <cellStyle name="RowTitles1-Detail 2 3 3" xfId="8469"/>
    <cellStyle name="RowTitles1-Detail 2 3 3 10" xfId="8470"/>
    <cellStyle name="RowTitles1-Detail 2 3 3 10 2" xfId="8471"/>
    <cellStyle name="RowTitles1-Detail 2 3 3 10 2 2" xfId="8472"/>
    <cellStyle name="RowTitles1-Detail 2 3 3 10 2_Tertiary Salaries Survey" xfId="8473"/>
    <cellStyle name="RowTitles1-Detail 2 3 3 10 3" xfId="8474"/>
    <cellStyle name="RowTitles1-Detail 2 3 3 10_Tertiary Salaries Survey" xfId="8475"/>
    <cellStyle name="RowTitles1-Detail 2 3 3 11" xfId="8476"/>
    <cellStyle name="RowTitles1-Detail 2 3 3 12" xfId="8477"/>
    <cellStyle name="RowTitles1-Detail 2 3 3 2" xfId="8478"/>
    <cellStyle name="RowTitles1-Detail 2 3 3 2 2" xfId="8479"/>
    <cellStyle name="RowTitles1-Detail 2 3 3 2 2 2" xfId="8480"/>
    <cellStyle name="RowTitles1-Detail 2 3 3 2 2 2 2" xfId="8481"/>
    <cellStyle name="RowTitles1-Detail 2 3 3 2 2 2 2 2" xfId="8482"/>
    <cellStyle name="RowTitles1-Detail 2 3 3 2 2 2 2_Tertiary Salaries Survey" xfId="8483"/>
    <cellStyle name="RowTitles1-Detail 2 3 3 2 2 2 3" xfId="8484"/>
    <cellStyle name="RowTitles1-Detail 2 3 3 2 2 2_Tertiary Salaries Survey" xfId="8485"/>
    <cellStyle name="RowTitles1-Detail 2 3 3 2 2 3" xfId="8486"/>
    <cellStyle name="RowTitles1-Detail 2 3 3 2 2 3 2" xfId="8487"/>
    <cellStyle name="RowTitles1-Detail 2 3 3 2 2 3 2 2" xfId="8488"/>
    <cellStyle name="RowTitles1-Detail 2 3 3 2 2 3 2_Tertiary Salaries Survey" xfId="8489"/>
    <cellStyle name="RowTitles1-Detail 2 3 3 2 2 3 3" xfId="8490"/>
    <cellStyle name="RowTitles1-Detail 2 3 3 2 2 3_Tertiary Salaries Survey" xfId="8491"/>
    <cellStyle name="RowTitles1-Detail 2 3 3 2 2 4" xfId="8492"/>
    <cellStyle name="RowTitles1-Detail 2 3 3 2 2 5" xfId="8493"/>
    <cellStyle name="RowTitles1-Detail 2 3 3 2 2_Tertiary Salaries Survey" xfId="8494"/>
    <cellStyle name="RowTitles1-Detail 2 3 3 2 3" xfId="8495"/>
    <cellStyle name="RowTitles1-Detail 2 3 3 2 3 2" xfId="8496"/>
    <cellStyle name="RowTitles1-Detail 2 3 3 2 3 2 2" xfId="8497"/>
    <cellStyle name="RowTitles1-Detail 2 3 3 2 3 2 2 2" xfId="8498"/>
    <cellStyle name="RowTitles1-Detail 2 3 3 2 3 2 2_Tertiary Salaries Survey" xfId="8499"/>
    <cellStyle name="RowTitles1-Detail 2 3 3 2 3 2 3" xfId="8500"/>
    <cellStyle name="RowTitles1-Detail 2 3 3 2 3 2_Tertiary Salaries Survey" xfId="8501"/>
    <cellStyle name="RowTitles1-Detail 2 3 3 2 3 3" xfId="8502"/>
    <cellStyle name="RowTitles1-Detail 2 3 3 2 3 3 2" xfId="8503"/>
    <cellStyle name="RowTitles1-Detail 2 3 3 2 3 3 2 2" xfId="8504"/>
    <cellStyle name="RowTitles1-Detail 2 3 3 2 3 3 2_Tertiary Salaries Survey" xfId="8505"/>
    <cellStyle name="RowTitles1-Detail 2 3 3 2 3 3 3" xfId="8506"/>
    <cellStyle name="RowTitles1-Detail 2 3 3 2 3 3_Tertiary Salaries Survey" xfId="8507"/>
    <cellStyle name="RowTitles1-Detail 2 3 3 2 3 4" xfId="8508"/>
    <cellStyle name="RowTitles1-Detail 2 3 3 2 3 5" xfId="8509"/>
    <cellStyle name="RowTitles1-Detail 2 3 3 2 3 5 2" xfId="8510"/>
    <cellStyle name="RowTitles1-Detail 2 3 3 2 3 5_Tertiary Salaries Survey" xfId="8511"/>
    <cellStyle name="RowTitles1-Detail 2 3 3 2 3 6" xfId="8512"/>
    <cellStyle name="RowTitles1-Detail 2 3 3 2 3_Tertiary Salaries Survey" xfId="8513"/>
    <cellStyle name="RowTitles1-Detail 2 3 3 2 4" xfId="8514"/>
    <cellStyle name="RowTitles1-Detail 2 3 3 2 4 2" xfId="8515"/>
    <cellStyle name="RowTitles1-Detail 2 3 3 2 4 2 2" xfId="8516"/>
    <cellStyle name="RowTitles1-Detail 2 3 3 2 4 2 2 2" xfId="8517"/>
    <cellStyle name="RowTitles1-Detail 2 3 3 2 4 2 2_Tertiary Salaries Survey" xfId="8518"/>
    <cellStyle name="RowTitles1-Detail 2 3 3 2 4 2 3" xfId="8519"/>
    <cellStyle name="RowTitles1-Detail 2 3 3 2 4 2_Tertiary Salaries Survey" xfId="8520"/>
    <cellStyle name="RowTitles1-Detail 2 3 3 2 4 3" xfId="8521"/>
    <cellStyle name="RowTitles1-Detail 2 3 3 2 4 3 2" xfId="8522"/>
    <cellStyle name="RowTitles1-Detail 2 3 3 2 4 3 2 2" xfId="8523"/>
    <cellStyle name="RowTitles1-Detail 2 3 3 2 4 3 2_Tertiary Salaries Survey" xfId="8524"/>
    <cellStyle name="RowTitles1-Detail 2 3 3 2 4 3 3" xfId="8525"/>
    <cellStyle name="RowTitles1-Detail 2 3 3 2 4 3_Tertiary Salaries Survey" xfId="8526"/>
    <cellStyle name="RowTitles1-Detail 2 3 3 2 4 4" xfId="8527"/>
    <cellStyle name="RowTitles1-Detail 2 3 3 2 4 4 2" xfId="8528"/>
    <cellStyle name="RowTitles1-Detail 2 3 3 2 4 4_Tertiary Salaries Survey" xfId="8529"/>
    <cellStyle name="RowTitles1-Detail 2 3 3 2 4 5" xfId="8530"/>
    <cellStyle name="RowTitles1-Detail 2 3 3 2 4_Tertiary Salaries Survey" xfId="8531"/>
    <cellStyle name="RowTitles1-Detail 2 3 3 2 5" xfId="8532"/>
    <cellStyle name="RowTitles1-Detail 2 3 3 2 5 2" xfId="8533"/>
    <cellStyle name="RowTitles1-Detail 2 3 3 2 5 2 2" xfId="8534"/>
    <cellStyle name="RowTitles1-Detail 2 3 3 2 5 2 2 2" xfId="8535"/>
    <cellStyle name="RowTitles1-Detail 2 3 3 2 5 2 2_Tertiary Salaries Survey" xfId="8536"/>
    <cellStyle name="RowTitles1-Detail 2 3 3 2 5 2 3" xfId="8537"/>
    <cellStyle name="RowTitles1-Detail 2 3 3 2 5 2_Tertiary Salaries Survey" xfId="8538"/>
    <cellStyle name="RowTitles1-Detail 2 3 3 2 5 3" xfId="8539"/>
    <cellStyle name="RowTitles1-Detail 2 3 3 2 5 3 2" xfId="8540"/>
    <cellStyle name="RowTitles1-Detail 2 3 3 2 5 3 2 2" xfId="8541"/>
    <cellStyle name="RowTitles1-Detail 2 3 3 2 5 3 2_Tertiary Salaries Survey" xfId="8542"/>
    <cellStyle name="RowTitles1-Detail 2 3 3 2 5 3 3" xfId="8543"/>
    <cellStyle name="RowTitles1-Detail 2 3 3 2 5 3_Tertiary Salaries Survey" xfId="8544"/>
    <cellStyle name="RowTitles1-Detail 2 3 3 2 5 4" xfId="8545"/>
    <cellStyle name="RowTitles1-Detail 2 3 3 2 5 4 2" xfId="8546"/>
    <cellStyle name="RowTitles1-Detail 2 3 3 2 5 4_Tertiary Salaries Survey" xfId="8547"/>
    <cellStyle name="RowTitles1-Detail 2 3 3 2 5 5" xfId="8548"/>
    <cellStyle name="RowTitles1-Detail 2 3 3 2 5_Tertiary Salaries Survey" xfId="8549"/>
    <cellStyle name="RowTitles1-Detail 2 3 3 2 6" xfId="8550"/>
    <cellStyle name="RowTitles1-Detail 2 3 3 2 6 2" xfId="8551"/>
    <cellStyle name="RowTitles1-Detail 2 3 3 2 6 2 2" xfId="8552"/>
    <cellStyle name="RowTitles1-Detail 2 3 3 2 6 2 2 2" xfId="8553"/>
    <cellStyle name="RowTitles1-Detail 2 3 3 2 6 2 2_Tertiary Salaries Survey" xfId="8554"/>
    <cellStyle name="RowTitles1-Detail 2 3 3 2 6 2 3" xfId="8555"/>
    <cellStyle name="RowTitles1-Detail 2 3 3 2 6 2_Tertiary Salaries Survey" xfId="8556"/>
    <cellStyle name="RowTitles1-Detail 2 3 3 2 6 3" xfId="8557"/>
    <cellStyle name="RowTitles1-Detail 2 3 3 2 6 3 2" xfId="8558"/>
    <cellStyle name="RowTitles1-Detail 2 3 3 2 6 3 2 2" xfId="8559"/>
    <cellStyle name="RowTitles1-Detail 2 3 3 2 6 3 2_Tertiary Salaries Survey" xfId="8560"/>
    <cellStyle name="RowTitles1-Detail 2 3 3 2 6 3 3" xfId="8561"/>
    <cellStyle name="RowTitles1-Detail 2 3 3 2 6 3_Tertiary Salaries Survey" xfId="8562"/>
    <cellStyle name="RowTitles1-Detail 2 3 3 2 6 4" xfId="8563"/>
    <cellStyle name="RowTitles1-Detail 2 3 3 2 6 4 2" xfId="8564"/>
    <cellStyle name="RowTitles1-Detail 2 3 3 2 6 4_Tertiary Salaries Survey" xfId="8565"/>
    <cellStyle name="RowTitles1-Detail 2 3 3 2 6 5" xfId="8566"/>
    <cellStyle name="RowTitles1-Detail 2 3 3 2 6_Tertiary Salaries Survey" xfId="8567"/>
    <cellStyle name="RowTitles1-Detail 2 3 3 2 7" xfId="8568"/>
    <cellStyle name="RowTitles1-Detail 2 3 3 2 7 2" xfId="8569"/>
    <cellStyle name="RowTitles1-Detail 2 3 3 2 7 2 2" xfId="8570"/>
    <cellStyle name="RowTitles1-Detail 2 3 3 2 7 2_Tertiary Salaries Survey" xfId="8571"/>
    <cellStyle name="RowTitles1-Detail 2 3 3 2 7 3" xfId="8572"/>
    <cellStyle name="RowTitles1-Detail 2 3 3 2 7_Tertiary Salaries Survey" xfId="8573"/>
    <cellStyle name="RowTitles1-Detail 2 3 3 2 8" xfId="8574"/>
    <cellStyle name="RowTitles1-Detail 2 3 3 2 9" xfId="8575"/>
    <cellStyle name="RowTitles1-Detail 2 3 3 2_STUD aligned by INSTIT" xfId="8576"/>
    <cellStyle name="RowTitles1-Detail 2 3 3 3" xfId="8577"/>
    <cellStyle name="RowTitles1-Detail 2 3 3 3 2" xfId="8578"/>
    <cellStyle name="RowTitles1-Detail 2 3 3 3 2 2" xfId="8579"/>
    <cellStyle name="RowTitles1-Detail 2 3 3 3 2 2 2" xfId="8580"/>
    <cellStyle name="RowTitles1-Detail 2 3 3 3 2 2 2 2" xfId="8581"/>
    <cellStyle name="RowTitles1-Detail 2 3 3 3 2 2 2_Tertiary Salaries Survey" xfId="8582"/>
    <cellStyle name="RowTitles1-Detail 2 3 3 3 2 2 3" xfId="8583"/>
    <cellStyle name="RowTitles1-Detail 2 3 3 3 2 2_Tertiary Salaries Survey" xfId="8584"/>
    <cellStyle name="RowTitles1-Detail 2 3 3 3 2 3" xfId="8585"/>
    <cellStyle name="RowTitles1-Detail 2 3 3 3 2 3 2" xfId="8586"/>
    <cellStyle name="RowTitles1-Detail 2 3 3 3 2 3 2 2" xfId="8587"/>
    <cellStyle name="RowTitles1-Detail 2 3 3 3 2 3 2_Tertiary Salaries Survey" xfId="8588"/>
    <cellStyle name="RowTitles1-Detail 2 3 3 3 2 3 3" xfId="8589"/>
    <cellStyle name="RowTitles1-Detail 2 3 3 3 2 3_Tertiary Salaries Survey" xfId="8590"/>
    <cellStyle name="RowTitles1-Detail 2 3 3 3 2 4" xfId="8591"/>
    <cellStyle name="RowTitles1-Detail 2 3 3 3 2 5" xfId="8592"/>
    <cellStyle name="RowTitles1-Detail 2 3 3 3 2 5 2" xfId="8593"/>
    <cellStyle name="RowTitles1-Detail 2 3 3 3 2 5_Tertiary Salaries Survey" xfId="8594"/>
    <cellStyle name="RowTitles1-Detail 2 3 3 3 2 6" xfId="8595"/>
    <cellStyle name="RowTitles1-Detail 2 3 3 3 2_Tertiary Salaries Survey" xfId="8596"/>
    <cellStyle name="RowTitles1-Detail 2 3 3 3 3" xfId="8597"/>
    <cellStyle name="RowTitles1-Detail 2 3 3 3 3 2" xfId="8598"/>
    <cellStyle name="RowTitles1-Detail 2 3 3 3 3 2 2" xfId="8599"/>
    <cellStyle name="RowTitles1-Detail 2 3 3 3 3 2 2 2" xfId="8600"/>
    <cellStyle name="RowTitles1-Detail 2 3 3 3 3 2 2_Tertiary Salaries Survey" xfId="8601"/>
    <cellStyle name="RowTitles1-Detail 2 3 3 3 3 2 3" xfId="8602"/>
    <cellStyle name="RowTitles1-Detail 2 3 3 3 3 2_Tertiary Salaries Survey" xfId="8603"/>
    <cellStyle name="RowTitles1-Detail 2 3 3 3 3 3" xfId="8604"/>
    <cellStyle name="RowTitles1-Detail 2 3 3 3 3 3 2" xfId="8605"/>
    <cellStyle name="RowTitles1-Detail 2 3 3 3 3 3 2 2" xfId="8606"/>
    <cellStyle name="RowTitles1-Detail 2 3 3 3 3 3 2_Tertiary Salaries Survey" xfId="8607"/>
    <cellStyle name="RowTitles1-Detail 2 3 3 3 3 3 3" xfId="8608"/>
    <cellStyle name="RowTitles1-Detail 2 3 3 3 3 3_Tertiary Salaries Survey" xfId="8609"/>
    <cellStyle name="RowTitles1-Detail 2 3 3 3 3 4" xfId="8610"/>
    <cellStyle name="RowTitles1-Detail 2 3 3 3 3 5" xfId="8611"/>
    <cellStyle name="RowTitles1-Detail 2 3 3 3 3_Tertiary Salaries Survey" xfId="8612"/>
    <cellStyle name="RowTitles1-Detail 2 3 3 3 4" xfId="8613"/>
    <cellStyle name="RowTitles1-Detail 2 3 3 3 4 2" xfId="8614"/>
    <cellStyle name="RowTitles1-Detail 2 3 3 3 4 2 2" xfId="8615"/>
    <cellStyle name="RowTitles1-Detail 2 3 3 3 4 2 2 2" xfId="8616"/>
    <cellStyle name="RowTitles1-Detail 2 3 3 3 4 2 2_Tertiary Salaries Survey" xfId="8617"/>
    <cellStyle name="RowTitles1-Detail 2 3 3 3 4 2 3" xfId="8618"/>
    <cellStyle name="RowTitles1-Detail 2 3 3 3 4 2_Tertiary Salaries Survey" xfId="8619"/>
    <cellStyle name="RowTitles1-Detail 2 3 3 3 4 3" xfId="8620"/>
    <cellStyle name="RowTitles1-Detail 2 3 3 3 4 3 2" xfId="8621"/>
    <cellStyle name="RowTitles1-Detail 2 3 3 3 4 3 2 2" xfId="8622"/>
    <cellStyle name="RowTitles1-Detail 2 3 3 3 4 3 2_Tertiary Salaries Survey" xfId="8623"/>
    <cellStyle name="RowTitles1-Detail 2 3 3 3 4 3 3" xfId="8624"/>
    <cellStyle name="RowTitles1-Detail 2 3 3 3 4 3_Tertiary Salaries Survey" xfId="8625"/>
    <cellStyle name="RowTitles1-Detail 2 3 3 3 4 4" xfId="8626"/>
    <cellStyle name="RowTitles1-Detail 2 3 3 3 4 4 2" xfId="8627"/>
    <cellStyle name="RowTitles1-Detail 2 3 3 3 4 4_Tertiary Salaries Survey" xfId="8628"/>
    <cellStyle name="RowTitles1-Detail 2 3 3 3 4 5" xfId="8629"/>
    <cellStyle name="RowTitles1-Detail 2 3 3 3 4_Tertiary Salaries Survey" xfId="8630"/>
    <cellStyle name="RowTitles1-Detail 2 3 3 3 5" xfId="8631"/>
    <cellStyle name="RowTitles1-Detail 2 3 3 3 5 2" xfId="8632"/>
    <cellStyle name="RowTitles1-Detail 2 3 3 3 5 2 2" xfId="8633"/>
    <cellStyle name="RowTitles1-Detail 2 3 3 3 5 2 2 2" xfId="8634"/>
    <cellStyle name="RowTitles1-Detail 2 3 3 3 5 2 2_Tertiary Salaries Survey" xfId="8635"/>
    <cellStyle name="RowTitles1-Detail 2 3 3 3 5 2 3" xfId="8636"/>
    <cellStyle name="RowTitles1-Detail 2 3 3 3 5 2_Tertiary Salaries Survey" xfId="8637"/>
    <cellStyle name="RowTitles1-Detail 2 3 3 3 5 3" xfId="8638"/>
    <cellStyle name="RowTitles1-Detail 2 3 3 3 5 3 2" xfId="8639"/>
    <cellStyle name="RowTitles1-Detail 2 3 3 3 5 3 2 2" xfId="8640"/>
    <cellStyle name="RowTitles1-Detail 2 3 3 3 5 3 2_Tertiary Salaries Survey" xfId="8641"/>
    <cellStyle name="RowTitles1-Detail 2 3 3 3 5 3 3" xfId="8642"/>
    <cellStyle name="RowTitles1-Detail 2 3 3 3 5 3_Tertiary Salaries Survey" xfId="8643"/>
    <cellStyle name="RowTitles1-Detail 2 3 3 3 5 4" xfId="8644"/>
    <cellStyle name="RowTitles1-Detail 2 3 3 3 5 4 2" xfId="8645"/>
    <cellStyle name="RowTitles1-Detail 2 3 3 3 5 4_Tertiary Salaries Survey" xfId="8646"/>
    <cellStyle name="RowTitles1-Detail 2 3 3 3 5 5" xfId="8647"/>
    <cellStyle name="RowTitles1-Detail 2 3 3 3 5_Tertiary Salaries Survey" xfId="8648"/>
    <cellStyle name="RowTitles1-Detail 2 3 3 3 6" xfId="8649"/>
    <cellStyle name="RowTitles1-Detail 2 3 3 3 6 2" xfId="8650"/>
    <cellStyle name="RowTitles1-Detail 2 3 3 3 6 2 2" xfId="8651"/>
    <cellStyle name="RowTitles1-Detail 2 3 3 3 6 2 2 2" xfId="8652"/>
    <cellStyle name="RowTitles1-Detail 2 3 3 3 6 2 2_Tertiary Salaries Survey" xfId="8653"/>
    <cellStyle name="RowTitles1-Detail 2 3 3 3 6 2 3" xfId="8654"/>
    <cellStyle name="RowTitles1-Detail 2 3 3 3 6 2_Tertiary Salaries Survey" xfId="8655"/>
    <cellStyle name="RowTitles1-Detail 2 3 3 3 6 3" xfId="8656"/>
    <cellStyle name="RowTitles1-Detail 2 3 3 3 6 3 2" xfId="8657"/>
    <cellStyle name="RowTitles1-Detail 2 3 3 3 6 3 2 2" xfId="8658"/>
    <cellStyle name="RowTitles1-Detail 2 3 3 3 6 3 2_Tertiary Salaries Survey" xfId="8659"/>
    <cellStyle name="RowTitles1-Detail 2 3 3 3 6 3 3" xfId="8660"/>
    <cellStyle name="RowTitles1-Detail 2 3 3 3 6 3_Tertiary Salaries Survey" xfId="8661"/>
    <cellStyle name="RowTitles1-Detail 2 3 3 3 6 4" xfId="8662"/>
    <cellStyle name="RowTitles1-Detail 2 3 3 3 6 4 2" xfId="8663"/>
    <cellStyle name="RowTitles1-Detail 2 3 3 3 6 4_Tertiary Salaries Survey" xfId="8664"/>
    <cellStyle name="RowTitles1-Detail 2 3 3 3 6 5" xfId="8665"/>
    <cellStyle name="RowTitles1-Detail 2 3 3 3 6_Tertiary Salaries Survey" xfId="8666"/>
    <cellStyle name="RowTitles1-Detail 2 3 3 3 7" xfId="8667"/>
    <cellStyle name="RowTitles1-Detail 2 3 3 3 7 2" xfId="8668"/>
    <cellStyle name="RowTitles1-Detail 2 3 3 3 7 2 2" xfId="8669"/>
    <cellStyle name="RowTitles1-Detail 2 3 3 3 7 2_Tertiary Salaries Survey" xfId="8670"/>
    <cellStyle name="RowTitles1-Detail 2 3 3 3 7 3" xfId="8671"/>
    <cellStyle name="RowTitles1-Detail 2 3 3 3 7_Tertiary Salaries Survey" xfId="8672"/>
    <cellStyle name="RowTitles1-Detail 2 3 3 3 8" xfId="8673"/>
    <cellStyle name="RowTitles1-Detail 2 3 3 3 8 2" xfId="8674"/>
    <cellStyle name="RowTitles1-Detail 2 3 3 3 8 2 2" xfId="8675"/>
    <cellStyle name="RowTitles1-Detail 2 3 3 3 8 2_Tertiary Salaries Survey" xfId="8676"/>
    <cellStyle name="RowTitles1-Detail 2 3 3 3 8 3" xfId="8677"/>
    <cellStyle name="RowTitles1-Detail 2 3 3 3 8_Tertiary Salaries Survey" xfId="8678"/>
    <cellStyle name="RowTitles1-Detail 2 3 3 3 9" xfId="8679"/>
    <cellStyle name="RowTitles1-Detail 2 3 3 3_STUD aligned by INSTIT" xfId="8680"/>
    <cellStyle name="RowTitles1-Detail 2 3 3 4" xfId="8681"/>
    <cellStyle name="RowTitles1-Detail 2 3 3 4 2" xfId="8682"/>
    <cellStyle name="RowTitles1-Detail 2 3 3 4 2 2" xfId="8683"/>
    <cellStyle name="RowTitles1-Detail 2 3 3 4 2 2 2" xfId="8684"/>
    <cellStyle name="RowTitles1-Detail 2 3 3 4 2 2 2 2" xfId="8685"/>
    <cellStyle name="RowTitles1-Detail 2 3 3 4 2 2 2_Tertiary Salaries Survey" xfId="8686"/>
    <cellStyle name="RowTitles1-Detail 2 3 3 4 2 2 3" xfId="8687"/>
    <cellStyle name="RowTitles1-Detail 2 3 3 4 2 2_Tertiary Salaries Survey" xfId="8688"/>
    <cellStyle name="RowTitles1-Detail 2 3 3 4 2 3" xfId="8689"/>
    <cellStyle name="RowTitles1-Detail 2 3 3 4 2 3 2" xfId="8690"/>
    <cellStyle name="RowTitles1-Detail 2 3 3 4 2 3 2 2" xfId="8691"/>
    <cellStyle name="RowTitles1-Detail 2 3 3 4 2 3 2_Tertiary Salaries Survey" xfId="8692"/>
    <cellStyle name="RowTitles1-Detail 2 3 3 4 2 3 3" xfId="8693"/>
    <cellStyle name="RowTitles1-Detail 2 3 3 4 2 3_Tertiary Salaries Survey" xfId="8694"/>
    <cellStyle name="RowTitles1-Detail 2 3 3 4 2 4" xfId="8695"/>
    <cellStyle name="RowTitles1-Detail 2 3 3 4 2 5" xfId="8696"/>
    <cellStyle name="RowTitles1-Detail 2 3 3 4 2 5 2" xfId="8697"/>
    <cellStyle name="RowTitles1-Detail 2 3 3 4 2 5_Tertiary Salaries Survey" xfId="8698"/>
    <cellStyle name="RowTitles1-Detail 2 3 3 4 2 6" xfId="8699"/>
    <cellStyle name="RowTitles1-Detail 2 3 3 4 2_Tertiary Salaries Survey" xfId="8700"/>
    <cellStyle name="RowTitles1-Detail 2 3 3 4 3" xfId="8701"/>
    <cellStyle name="RowTitles1-Detail 2 3 3 4 3 2" xfId="8702"/>
    <cellStyle name="RowTitles1-Detail 2 3 3 4 3 2 2" xfId="8703"/>
    <cellStyle name="RowTitles1-Detail 2 3 3 4 3 2 2 2" xfId="8704"/>
    <cellStyle name="RowTitles1-Detail 2 3 3 4 3 2 2_Tertiary Salaries Survey" xfId="8705"/>
    <cellStyle name="RowTitles1-Detail 2 3 3 4 3 2 3" xfId="8706"/>
    <cellStyle name="RowTitles1-Detail 2 3 3 4 3 2_Tertiary Salaries Survey" xfId="8707"/>
    <cellStyle name="RowTitles1-Detail 2 3 3 4 3 3" xfId="8708"/>
    <cellStyle name="RowTitles1-Detail 2 3 3 4 3 3 2" xfId="8709"/>
    <cellStyle name="RowTitles1-Detail 2 3 3 4 3 3 2 2" xfId="8710"/>
    <cellStyle name="RowTitles1-Detail 2 3 3 4 3 3 2_Tertiary Salaries Survey" xfId="8711"/>
    <cellStyle name="RowTitles1-Detail 2 3 3 4 3 3 3" xfId="8712"/>
    <cellStyle name="RowTitles1-Detail 2 3 3 4 3 3_Tertiary Salaries Survey" xfId="8713"/>
    <cellStyle name="RowTitles1-Detail 2 3 3 4 3 4" xfId="8714"/>
    <cellStyle name="RowTitles1-Detail 2 3 3 4 3 5" xfId="8715"/>
    <cellStyle name="RowTitles1-Detail 2 3 3 4 3_Tertiary Salaries Survey" xfId="8716"/>
    <cellStyle name="RowTitles1-Detail 2 3 3 4 4" xfId="8717"/>
    <cellStyle name="RowTitles1-Detail 2 3 3 4 4 2" xfId="8718"/>
    <cellStyle name="RowTitles1-Detail 2 3 3 4 4 2 2" xfId="8719"/>
    <cellStyle name="RowTitles1-Detail 2 3 3 4 4 2 2 2" xfId="8720"/>
    <cellStyle name="RowTitles1-Detail 2 3 3 4 4 2 2_Tertiary Salaries Survey" xfId="8721"/>
    <cellStyle name="RowTitles1-Detail 2 3 3 4 4 2 3" xfId="8722"/>
    <cellStyle name="RowTitles1-Detail 2 3 3 4 4 2_Tertiary Salaries Survey" xfId="8723"/>
    <cellStyle name="RowTitles1-Detail 2 3 3 4 4 3" xfId="8724"/>
    <cellStyle name="RowTitles1-Detail 2 3 3 4 4 3 2" xfId="8725"/>
    <cellStyle name="RowTitles1-Detail 2 3 3 4 4 3 2 2" xfId="8726"/>
    <cellStyle name="RowTitles1-Detail 2 3 3 4 4 3 2_Tertiary Salaries Survey" xfId="8727"/>
    <cellStyle name="RowTitles1-Detail 2 3 3 4 4 3 3" xfId="8728"/>
    <cellStyle name="RowTitles1-Detail 2 3 3 4 4 3_Tertiary Salaries Survey" xfId="8729"/>
    <cellStyle name="RowTitles1-Detail 2 3 3 4 4 4" xfId="8730"/>
    <cellStyle name="RowTitles1-Detail 2 3 3 4 4 5" xfId="8731"/>
    <cellStyle name="RowTitles1-Detail 2 3 3 4 4 5 2" xfId="8732"/>
    <cellStyle name="RowTitles1-Detail 2 3 3 4 4 5_Tertiary Salaries Survey" xfId="8733"/>
    <cellStyle name="RowTitles1-Detail 2 3 3 4 4 6" xfId="8734"/>
    <cellStyle name="RowTitles1-Detail 2 3 3 4 4_Tertiary Salaries Survey" xfId="8735"/>
    <cellStyle name="RowTitles1-Detail 2 3 3 4 5" xfId="8736"/>
    <cellStyle name="RowTitles1-Detail 2 3 3 4 5 2" xfId="8737"/>
    <cellStyle name="RowTitles1-Detail 2 3 3 4 5 2 2" xfId="8738"/>
    <cellStyle name="RowTitles1-Detail 2 3 3 4 5 2 2 2" xfId="8739"/>
    <cellStyle name="RowTitles1-Detail 2 3 3 4 5 2 2_Tertiary Salaries Survey" xfId="8740"/>
    <cellStyle name="RowTitles1-Detail 2 3 3 4 5 2 3" xfId="8741"/>
    <cellStyle name="RowTitles1-Detail 2 3 3 4 5 2_Tertiary Salaries Survey" xfId="8742"/>
    <cellStyle name="RowTitles1-Detail 2 3 3 4 5 3" xfId="8743"/>
    <cellStyle name="RowTitles1-Detail 2 3 3 4 5 3 2" xfId="8744"/>
    <cellStyle name="RowTitles1-Detail 2 3 3 4 5 3 2 2" xfId="8745"/>
    <cellStyle name="RowTitles1-Detail 2 3 3 4 5 3 2_Tertiary Salaries Survey" xfId="8746"/>
    <cellStyle name="RowTitles1-Detail 2 3 3 4 5 3 3" xfId="8747"/>
    <cellStyle name="RowTitles1-Detail 2 3 3 4 5 3_Tertiary Salaries Survey" xfId="8748"/>
    <cellStyle name="RowTitles1-Detail 2 3 3 4 5 4" xfId="8749"/>
    <cellStyle name="RowTitles1-Detail 2 3 3 4 5 4 2" xfId="8750"/>
    <cellStyle name="RowTitles1-Detail 2 3 3 4 5 4_Tertiary Salaries Survey" xfId="8751"/>
    <cellStyle name="RowTitles1-Detail 2 3 3 4 5 5" xfId="8752"/>
    <cellStyle name="RowTitles1-Detail 2 3 3 4 5_Tertiary Salaries Survey" xfId="8753"/>
    <cellStyle name="RowTitles1-Detail 2 3 3 4 6" xfId="8754"/>
    <cellStyle name="RowTitles1-Detail 2 3 3 4 6 2" xfId="8755"/>
    <cellStyle name="RowTitles1-Detail 2 3 3 4 6 2 2" xfId="8756"/>
    <cellStyle name="RowTitles1-Detail 2 3 3 4 6 2 2 2" xfId="8757"/>
    <cellStyle name="RowTitles1-Detail 2 3 3 4 6 2 2_Tertiary Salaries Survey" xfId="8758"/>
    <cellStyle name="RowTitles1-Detail 2 3 3 4 6 2 3" xfId="8759"/>
    <cellStyle name="RowTitles1-Detail 2 3 3 4 6 2_Tertiary Salaries Survey" xfId="8760"/>
    <cellStyle name="RowTitles1-Detail 2 3 3 4 6 3" xfId="8761"/>
    <cellStyle name="RowTitles1-Detail 2 3 3 4 6 3 2" xfId="8762"/>
    <cellStyle name="RowTitles1-Detail 2 3 3 4 6 3 2 2" xfId="8763"/>
    <cellStyle name="RowTitles1-Detail 2 3 3 4 6 3 2_Tertiary Salaries Survey" xfId="8764"/>
    <cellStyle name="RowTitles1-Detail 2 3 3 4 6 3 3" xfId="8765"/>
    <cellStyle name="RowTitles1-Detail 2 3 3 4 6 3_Tertiary Salaries Survey" xfId="8766"/>
    <cellStyle name="RowTitles1-Detail 2 3 3 4 6 4" xfId="8767"/>
    <cellStyle name="RowTitles1-Detail 2 3 3 4 6 4 2" xfId="8768"/>
    <cellStyle name="RowTitles1-Detail 2 3 3 4 6 4_Tertiary Salaries Survey" xfId="8769"/>
    <cellStyle name="RowTitles1-Detail 2 3 3 4 6 5" xfId="8770"/>
    <cellStyle name="RowTitles1-Detail 2 3 3 4 6_Tertiary Salaries Survey" xfId="8771"/>
    <cellStyle name="RowTitles1-Detail 2 3 3 4 7" xfId="8772"/>
    <cellStyle name="RowTitles1-Detail 2 3 3 4 7 2" xfId="8773"/>
    <cellStyle name="RowTitles1-Detail 2 3 3 4 7 2 2" xfId="8774"/>
    <cellStyle name="RowTitles1-Detail 2 3 3 4 7 2_Tertiary Salaries Survey" xfId="8775"/>
    <cellStyle name="RowTitles1-Detail 2 3 3 4 7 3" xfId="8776"/>
    <cellStyle name="RowTitles1-Detail 2 3 3 4 7_Tertiary Salaries Survey" xfId="8777"/>
    <cellStyle name="RowTitles1-Detail 2 3 3 4 8" xfId="8778"/>
    <cellStyle name="RowTitles1-Detail 2 3 3 4 9" xfId="8779"/>
    <cellStyle name="RowTitles1-Detail 2 3 3 4_STUD aligned by INSTIT" xfId="8780"/>
    <cellStyle name="RowTitles1-Detail 2 3 3 5" xfId="8781"/>
    <cellStyle name="RowTitles1-Detail 2 3 3 5 2" xfId="8782"/>
    <cellStyle name="RowTitles1-Detail 2 3 3 5 2 2" xfId="8783"/>
    <cellStyle name="RowTitles1-Detail 2 3 3 5 2 2 2" xfId="8784"/>
    <cellStyle name="RowTitles1-Detail 2 3 3 5 2 2_Tertiary Salaries Survey" xfId="8785"/>
    <cellStyle name="RowTitles1-Detail 2 3 3 5 2 3" xfId="8786"/>
    <cellStyle name="RowTitles1-Detail 2 3 3 5 2_Tertiary Salaries Survey" xfId="8787"/>
    <cellStyle name="RowTitles1-Detail 2 3 3 5 3" xfId="8788"/>
    <cellStyle name="RowTitles1-Detail 2 3 3 5 3 2" xfId="8789"/>
    <cellStyle name="RowTitles1-Detail 2 3 3 5 3 2 2" xfId="8790"/>
    <cellStyle name="RowTitles1-Detail 2 3 3 5 3 2_Tertiary Salaries Survey" xfId="8791"/>
    <cellStyle name="RowTitles1-Detail 2 3 3 5 3 3" xfId="8792"/>
    <cellStyle name="RowTitles1-Detail 2 3 3 5 3_Tertiary Salaries Survey" xfId="8793"/>
    <cellStyle name="RowTitles1-Detail 2 3 3 5 4" xfId="8794"/>
    <cellStyle name="RowTitles1-Detail 2 3 3 5 5" xfId="8795"/>
    <cellStyle name="RowTitles1-Detail 2 3 3 5 5 2" xfId="8796"/>
    <cellStyle name="RowTitles1-Detail 2 3 3 5 5_Tertiary Salaries Survey" xfId="8797"/>
    <cellStyle name="RowTitles1-Detail 2 3 3 5 6" xfId="8798"/>
    <cellStyle name="RowTitles1-Detail 2 3 3 5_Tertiary Salaries Survey" xfId="8799"/>
    <cellStyle name="RowTitles1-Detail 2 3 3 6" xfId="8800"/>
    <cellStyle name="RowTitles1-Detail 2 3 3 6 2" xfId="8801"/>
    <cellStyle name="RowTitles1-Detail 2 3 3 6 2 2" xfId="8802"/>
    <cellStyle name="RowTitles1-Detail 2 3 3 6 2 2 2" xfId="8803"/>
    <cellStyle name="RowTitles1-Detail 2 3 3 6 2 2_Tertiary Salaries Survey" xfId="8804"/>
    <cellStyle name="RowTitles1-Detail 2 3 3 6 2 3" xfId="8805"/>
    <cellStyle name="RowTitles1-Detail 2 3 3 6 2_Tertiary Salaries Survey" xfId="8806"/>
    <cellStyle name="RowTitles1-Detail 2 3 3 6 3" xfId="8807"/>
    <cellStyle name="RowTitles1-Detail 2 3 3 6 3 2" xfId="8808"/>
    <cellStyle name="RowTitles1-Detail 2 3 3 6 3 2 2" xfId="8809"/>
    <cellStyle name="RowTitles1-Detail 2 3 3 6 3 2_Tertiary Salaries Survey" xfId="8810"/>
    <cellStyle name="RowTitles1-Detail 2 3 3 6 3 3" xfId="8811"/>
    <cellStyle name="RowTitles1-Detail 2 3 3 6 3_Tertiary Salaries Survey" xfId="8812"/>
    <cellStyle name="RowTitles1-Detail 2 3 3 6 4" xfId="8813"/>
    <cellStyle name="RowTitles1-Detail 2 3 3 6 5" xfId="8814"/>
    <cellStyle name="RowTitles1-Detail 2 3 3 6_Tertiary Salaries Survey" xfId="8815"/>
    <cellStyle name="RowTitles1-Detail 2 3 3 7" xfId="8816"/>
    <cellStyle name="RowTitles1-Detail 2 3 3 7 2" xfId="8817"/>
    <cellStyle name="RowTitles1-Detail 2 3 3 7 2 2" xfId="8818"/>
    <cellStyle name="RowTitles1-Detail 2 3 3 7 2 2 2" xfId="8819"/>
    <cellStyle name="RowTitles1-Detail 2 3 3 7 2 2_Tertiary Salaries Survey" xfId="8820"/>
    <cellStyle name="RowTitles1-Detail 2 3 3 7 2 3" xfId="8821"/>
    <cellStyle name="RowTitles1-Detail 2 3 3 7 2_Tertiary Salaries Survey" xfId="8822"/>
    <cellStyle name="RowTitles1-Detail 2 3 3 7 3" xfId="8823"/>
    <cellStyle name="RowTitles1-Detail 2 3 3 7 3 2" xfId="8824"/>
    <cellStyle name="RowTitles1-Detail 2 3 3 7 3 2 2" xfId="8825"/>
    <cellStyle name="RowTitles1-Detail 2 3 3 7 3 2_Tertiary Salaries Survey" xfId="8826"/>
    <cellStyle name="RowTitles1-Detail 2 3 3 7 3 3" xfId="8827"/>
    <cellStyle name="RowTitles1-Detail 2 3 3 7 3_Tertiary Salaries Survey" xfId="8828"/>
    <cellStyle name="RowTitles1-Detail 2 3 3 7 4" xfId="8829"/>
    <cellStyle name="RowTitles1-Detail 2 3 3 7 5" xfId="8830"/>
    <cellStyle name="RowTitles1-Detail 2 3 3 7 5 2" xfId="8831"/>
    <cellStyle name="RowTitles1-Detail 2 3 3 7 5_Tertiary Salaries Survey" xfId="8832"/>
    <cellStyle name="RowTitles1-Detail 2 3 3 7 6" xfId="8833"/>
    <cellStyle name="RowTitles1-Detail 2 3 3 7_Tertiary Salaries Survey" xfId="8834"/>
    <cellStyle name="RowTitles1-Detail 2 3 3 8" xfId="8835"/>
    <cellStyle name="RowTitles1-Detail 2 3 3 8 2" xfId="8836"/>
    <cellStyle name="RowTitles1-Detail 2 3 3 8 2 2" xfId="8837"/>
    <cellStyle name="RowTitles1-Detail 2 3 3 8 2 2 2" xfId="8838"/>
    <cellStyle name="RowTitles1-Detail 2 3 3 8 2 2_Tertiary Salaries Survey" xfId="8839"/>
    <cellStyle name="RowTitles1-Detail 2 3 3 8 2 3" xfId="8840"/>
    <cellStyle name="RowTitles1-Detail 2 3 3 8 2_Tertiary Salaries Survey" xfId="8841"/>
    <cellStyle name="RowTitles1-Detail 2 3 3 8 3" xfId="8842"/>
    <cellStyle name="RowTitles1-Detail 2 3 3 8 3 2" xfId="8843"/>
    <cellStyle name="RowTitles1-Detail 2 3 3 8 3 2 2" xfId="8844"/>
    <cellStyle name="RowTitles1-Detail 2 3 3 8 3 2_Tertiary Salaries Survey" xfId="8845"/>
    <cellStyle name="RowTitles1-Detail 2 3 3 8 3 3" xfId="8846"/>
    <cellStyle name="RowTitles1-Detail 2 3 3 8 3_Tertiary Salaries Survey" xfId="8847"/>
    <cellStyle name="RowTitles1-Detail 2 3 3 8 4" xfId="8848"/>
    <cellStyle name="RowTitles1-Detail 2 3 3 8 4 2" xfId="8849"/>
    <cellStyle name="RowTitles1-Detail 2 3 3 8 4_Tertiary Salaries Survey" xfId="8850"/>
    <cellStyle name="RowTitles1-Detail 2 3 3 8 5" xfId="8851"/>
    <cellStyle name="RowTitles1-Detail 2 3 3 8_Tertiary Salaries Survey" xfId="8852"/>
    <cellStyle name="RowTitles1-Detail 2 3 3 9" xfId="8853"/>
    <cellStyle name="RowTitles1-Detail 2 3 3 9 2" xfId="8854"/>
    <cellStyle name="RowTitles1-Detail 2 3 3 9 2 2" xfId="8855"/>
    <cellStyle name="RowTitles1-Detail 2 3 3 9 2 2 2" xfId="8856"/>
    <cellStyle name="RowTitles1-Detail 2 3 3 9 2 2_Tertiary Salaries Survey" xfId="8857"/>
    <cellStyle name="RowTitles1-Detail 2 3 3 9 2 3" xfId="8858"/>
    <cellStyle name="RowTitles1-Detail 2 3 3 9 2_Tertiary Salaries Survey" xfId="8859"/>
    <cellStyle name="RowTitles1-Detail 2 3 3 9 3" xfId="8860"/>
    <cellStyle name="RowTitles1-Detail 2 3 3 9 3 2" xfId="8861"/>
    <cellStyle name="RowTitles1-Detail 2 3 3 9 3 2 2" xfId="8862"/>
    <cellStyle name="RowTitles1-Detail 2 3 3 9 3 2_Tertiary Salaries Survey" xfId="8863"/>
    <cellStyle name="RowTitles1-Detail 2 3 3 9 3 3" xfId="8864"/>
    <cellStyle name="RowTitles1-Detail 2 3 3 9 3_Tertiary Salaries Survey" xfId="8865"/>
    <cellStyle name="RowTitles1-Detail 2 3 3 9 4" xfId="8866"/>
    <cellStyle name="RowTitles1-Detail 2 3 3 9 4 2" xfId="8867"/>
    <cellStyle name="RowTitles1-Detail 2 3 3 9 4_Tertiary Salaries Survey" xfId="8868"/>
    <cellStyle name="RowTitles1-Detail 2 3 3 9 5" xfId="8869"/>
    <cellStyle name="RowTitles1-Detail 2 3 3 9_Tertiary Salaries Survey" xfId="8870"/>
    <cellStyle name="RowTitles1-Detail 2 3 3_STUD aligned by INSTIT" xfId="8871"/>
    <cellStyle name="RowTitles1-Detail 2 3 4" xfId="8872"/>
    <cellStyle name="RowTitles1-Detail 2 3 4 2" xfId="8873"/>
    <cellStyle name="RowTitles1-Detail 2 3 4 2 2" xfId="8874"/>
    <cellStyle name="RowTitles1-Detail 2 3 4 2 2 2" xfId="8875"/>
    <cellStyle name="RowTitles1-Detail 2 3 4 2 2 2 2" xfId="8876"/>
    <cellStyle name="RowTitles1-Detail 2 3 4 2 2 2_Tertiary Salaries Survey" xfId="8877"/>
    <cellStyle name="RowTitles1-Detail 2 3 4 2 2 3" xfId="8878"/>
    <cellStyle name="RowTitles1-Detail 2 3 4 2 2_Tertiary Salaries Survey" xfId="8879"/>
    <cellStyle name="RowTitles1-Detail 2 3 4 2 3" xfId="8880"/>
    <cellStyle name="RowTitles1-Detail 2 3 4 2 3 2" xfId="8881"/>
    <cellStyle name="RowTitles1-Detail 2 3 4 2 3 2 2" xfId="8882"/>
    <cellStyle name="RowTitles1-Detail 2 3 4 2 3 2_Tertiary Salaries Survey" xfId="8883"/>
    <cellStyle name="RowTitles1-Detail 2 3 4 2 3 3" xfId="8884"/>
    <cellStyle name="RowTitles1-Detail 2 3 4 2 3_Tertiary Salaries Survey" xfId="8885"/>
    <cellStyle name="RowTitles1-Detail 2 3 4 2 4" xfId="8886"/>
    <cellStyle name="RowTitles1-Detail 2 3 4 2 5" xfId="8887"/>
    <cellStyle name="RowTitles1-Detail 2 3 4 2_Tertiary Salaries Survey" xfId="8888"/>
    <cellStyle name="RowTitles1-Detail 2 3 4 3" xfId="8889"/>
    <cellStyle name="RowTitles1-Detail 2 3 4 3 2" xfId="8890"/>
    <cellStyle name="RowTitles1-Detail 2 3 4 3 2 2" xfId="8891"/>
    <cellStyle name="RowTitles1-Detail 2 3 4 3 2 2 2" xfId="8892"/>
    <cellStyle name="RowTitles1-Detail 2 3 4 3 2 2_Tertiary Salaries Survey" xfId="8893"/>
    <cellStyle name="RowTitles1-Detail 2 3 4 3 2 3" xfId="8894"/>
    <cellStyle name="RowTitles1-Detail 2 3 4 3 2_Tertiary Salaries Survey" xfId="8895"/>
    <cellStyle name="RowTitles1-Detail 2 3 4 3 3" xfId="8896"/>
    <cellStyle name="RowTitles1-Detail 2 3 4 3 3 2" xfId="8897"/>
    <cellStyle name="RowTitles1-Detail 2 3 4 3 3 2 2" xfId="8898"/>
    <cellStyle name="RowTitles1-Detail 2 3 4 3 3 2_Tertiary Salaries Survey" xfId="8899"/>
    <cellStyle name="RowTitles1-Detail 2 3 4 3 3 3" xfId="8900"/>
    <cellStyle name="RowTitles1-Detail 2 3 4 3 3_Tertiary Salaries Survey" xfId="8901"/>
    <cellStyle name="RowTitles1-Detail 2 3 4 3 4" xfId="8902"/>
    <cellStyle name="RowTitles1-Detail 2 3 4 3 5" xfId="8903"/>
    <cellStyle name="RowTitles1-Detail 2 3 4 3 5 2" xfId="8904"/>
    <cellStyle name="RowTitles1-Detail 2 3 4 3 5_Tertiary Salaries Survey" xfId="8905"/>
    <cellStyle name="RowTitles1-Detail 2 3 4 3 6" xfId="8906"/>
    <cellStyle name="RowTitles1-Detail 2 3 4 3_Tertiary Salaries Survey" xfId="8907"/>
    <cellStyle name="RowTitles1-Detail 2 3 4 4" xfId="8908"/>
    <cellStyle name="RowTitles1-Detail 2 3 4 4 2" xfId="8909"/>
    <cellStyle name="RowTitles1-Detail 2 3 4 4 2 2" xfId="8910"/>
    <cellStyle name="RowTitles1-Detail 2 3 4 4 2 2 2" xfId="8911"/>
    <cellStyle name="RowTitles1-Detail 2 3 4 4 2 2_Tertiary Salaries Survey" xfId="8912"/>
    <cellStyle name="RowTitles1-Detail 2 3 4 4 2 3" xfId="8913"/>
    <cellStyle name="RowTitles1-Detail 2 3 4 4 2_Tertiary Salaries Survey" xfId="8914"/>
    <cellStyle name="RowTitles1-Detail 2 3 4 4 3" xfId="8915"/>
    <cellStyle name="RowTitles1-Detail 2 3 4 4 3 2" xfId="8916"/>
    <cellStyle name="RowTitles1-Detail 2 3 4 4 3 2 2" xfId="8917"/>
    <cellStyle name="RowTitles1-Detail 2 3 4 4 3 2_Tertiary Salaries Survey" xfId="8918"/>
    <cellStyle name="RowTitles1-Detail 2 3 4 4 3 3" xfId="8919"/>
    <cellStyle name="RowTitles1-Detail 2 3 4 4 3_Tertiary Salaries Survey" xfId="8920"/>
    <cellStyle name="RowTitles1-Detail 2 3 4 4 4" xfId="8921"/>
    <cellStyle name="RowTitles1-Detail 2 3 4 4 4 2" xfId="8922"/>
    <cellStyle name="RowTitles1-Detail 2 3 4 4 4_Tertiary Salaries Survey" xfId="8923"/>
    <cellStyle name="RowTitles1-Detail 2 3 4 4 5" xfId="8924"/>
    <cellStyle name="RowTitles1-Detail 2 3 4 4_Tertiary Salaries Survey" xfId="8925"/>
    <cellStyle name="RowTitles1-Detail 2 3 4 5" xfId="8926"/>
    <cellStyle name="RowTitles1-Detail 2 3 4 5 2" xfId="8927"/>
    <cellStyle name="RowTitles1-Detail 2 3 4 5 2 2" xfId="8928"/>
    <cellStyle name="RowTitles1-Detail 2 3 4 5 2 2 2" xfId="8929"/>
    <cellStyle name="RowTitles1-Detail 2 3 4 5 2 2_Tertiary Salaries Survey" xfId="8930"/>
    <cellStyle name="RowTitles1-Detail 2 3 4 5 2 3" xfId="8931"/>
    <cellStyle name="RowTitles1-Detail 2 3 4 5 2_Tertiary Salaries Survey" xfId="8932"/>
    <cellStyle name="RowTitles1-Detail 2 3 4 5 3" xfId="8933"/>
    <cellStyle name="RowTitles1-Detail 2 3 4 5 3 2" xfId="8934"/>
    <cellStyle name="RowTitles1-Detail 2 3 4 5 3 2 2" xfId="8935"/>
    <cellStyle name="RowTitles1-Detail 2 3 4 5 3 2_Tertiary Salaries Survey" xfId="8936"/>
    <cellStyle name="RowTitles1-Detail 2 3 4 5 3 3" xfId="8937"/>
    <cellStyle name="RowTitles1-Detail 2 3 4 5 3_Tertiary Salaries Survey" xfId="8938"/>
    <cellStyle name="RowTitles1-Detail 2 3 4 5 4" xfId="8939"/>
    <cellStyle name="RowTitles1-Detail 2 3 4 5 4 2" xfId="8940"/>
    <cellStyle name="RowTitles1-Detail 2 3 4 5 4_Tertiary Salaries Survey" xfId="8941"/>
    <cellStyle name="RowTitles1-Detail 2 3 4 5 5" xfId="8942"/>
    <cellStyle name="RowTitles1-Detail 2 3 4 5_Tertiary Salaries Survey" xfId="8943"/>
    <cellStyle name="RowTitles1-Detail 2 3 4 6" xfId="8944"/>
    <cellStyle name="RowTitles1-Detail 2 3 4 6 2" xfId="8945"/>
    <cellStyle name="RowTitles1-Detail 2 3 4 6 2 2" xfId="8946"/>
    <cellStyle name="RowTitles1-Detail 2 3 4 6 2 2 2" xfId="8947"/>
    <cellStyle name="RowTitles1-Detail 2 3 4 6 2 2_Tertiary Salaries Survey" xfId="8948"/>
    <cellStyle name="RowTitles1-Detail 2 3 4 6 2 3" xfId="8949"/>
    <cellStyle name="RowTitles1-Detail 2 3 4 6 2_Tertiary Salaries Survey" xfId="8950"/>
    <cellStyle name="RowTitles1-Detail 2 3 4 6 3" xfId="8951"/>
    <cellStyle name="RowTitles1-Detail 2 3 4 6 3 2" xfId="8952"/>
    <cellStyle name="RowTitles1-Detail 2 3 4 6 3 2 2" xfId="8953"/>
    <cellStyle name="RowTitles1-Detail 2 3 4 6 3 2_Tertiary Salaries Survey" xfId="8954"/>
    <cellStyle name="RowTitles1-Detail 2 3 4 6 3 3" xfId="8955"/>
    <cellStyle name="RowTitles1-Detail 2 3 4 6 3_Tertiary Salaries Survey" xfId="8956"/>
    <cellStyle name="RowTitles1-Detail 2 3 4 6 4" xfId="8957"/>
    <cellStyle name="RowTitles1-Detail 2 3 4 6 4 2" xfId="8958"/>
    <cellStyle name="RowTitles1-Detail 2 3 4 6 4_Tertiary Salaries Survey" xfId="8959"/>
    <cellStyle name="RowTitles1-Detail 2 3 4 6 5" xfId="8960"/>
    <cellStyle name="RowTitles1-Detail 2 3 4 6_Tertiary Salaries Survey" xfId="8961"/>
    <cellStyle name="RowTitles1-Detail 2 3 4 7" xfId="8962"/>
    <cellStyle name="RowTitles1-Detail 2 3 4 7 2" xfId="8963"/>
    <cellStyle name="RowTitles1-Detail 2 3 4 7 2 2" xfId="8964"/>
    <cellStyle name="RowTitles1-Detail 2 3 4 7 2_Tertiary Salaries Survey" xfId="8965"/>
    <cellStyle name="RowTitles1-Detail 2 3 4 7 3" xfId="8966"/>
    <cellStyle name="RowTitles1-Detail 2 3 4 7_Tertiary Salaries Survey" xfId="8967"/>
    <cellStyle name="RowTitles1-Detail 2 3 4 8" xfId="8968"/>
    <cellStyle name="RowTitles1-Detail 2 3 4 9" xfId="8969"/>
    <cellStyle name="RowTitles1-Detail 2 3 4_STUD aligned by INSTIT" xfId="8970"/>
    <cellStyle name="RowTitles1-Detail 2 3 5" xfId="8971"/>
    <cellStyle name="RowTitles1-Detail 2 3 5 2" xfId="8972"/>
    <cellStyle name="RowTitles1-Detail 2 3 5 2 2" xfId="8973"/>
    <cellStyle name="RowTitles1-Detail 2 3 5 2 2 2" xfId="8974"/>
    <cellStyle name="RowTitles1-Detail 2 3 5 2 2 2 2" xfId="8975"/>
    <cellStyle name="RowTitles1-Detail 2 3 5 2 2 2_Tertiary Salaries Survey" xfId="8976"/>
    <cellStyle name="RowTitles1-Detail 2 3 5 2 2 3" xfId="8977"/>
    <cellStyle name="RowTitles1-Detail 2 3 5 2 2_Tertiary Salaries Survey" xfId="8978"/>
    <cellStyle name="RowTitles1-Detail 2 3 5 2 3" xfId="8979"/>
    <cellStyle name="RowTitles1-Detail 2 3 5 2 3 2" xfId="8980"/>
    <cellStyle name="RowTitles1-Detail 2 3 5 2 3 2 2" xfId="8981"/>
    <cellStyle name="RowTitles1-Detail 2 3 5 2 3 2_Tertiary Salaries Survey" xfId="8982"/>
    <cellStyle name="RowTitles1-Detail 2 3 5 2 3 3" xfId="8983"/>
    <cellStyle name="RowTitles1-Detail 2 3 5 2 3_Tertiary Salaries Survey" xfId="8984"/>
    <cellStyle name="RowTitles1-Detail 2 3 5 2 4" xfId="8985"/>
    <cellStyle name="RowTitles1-Detail 2 3 5 2 5" xfId="8986"/>
    <cellStyle name="RowTitles1-Detail 2 3 5 2 5 2" xfId="8987"/>
    <cellStyle name="RowTitles1-Detail 2 3 5 2 5_Tertiary Salaries Survey" xfId="8988"/>
    <cellStyle name="RowTitles1-Detail 2 3 5 2 6" xfId="8989"/>
    <cellStyle name="RowTitles1-Detail 2 3 5 2_Tertiary Salaries Survey" xfId="8990"/>
    <cellStyle name="RowTitles1-Detail 2 3 5 3" xfId="8991"/>
    <cellStyle name="RowTitles1-Detail 2 3 5 3 2" xfId="8992"/>
    <cellStyle name="RowTitles1-Detail 2 3 5 3 2 2" xfId="8993"/>
    <cellStyle name="RowTitles1-Detail 2 3 5 3 2 2 2" xfId="8994"/>
    <cellStyle name="RowTitles1-Detail 2 3 5 3 2 2_Tertiary Salaries Survey" xfId="8995"/>
    <cellStyle name="RowTitles1-Detail 2 3 5 3 2 3" xfId="8996"/>
    <cellStyle name="RowTitles1-Detail 2 3 5 3 2_Tertiary Salaries Survey" xfId="8997"/>
    <cellStyle name="RowTitles1-Detail 2 3 5 3 3" xfId="8998"/>
    <cellStyle name="RowTitles1-Detail 2 3 5 3 3 2" xfId="8999"/>
    <cellStyle name="RowTitles1-Detail 2 3 5 3 3 2 2" xfId="9000"/>
    <cellStyle name="RowTitles1-Detail 2 3 5 3 3 2_Tertiary Salaries Survey" xfId="9001"/>
    <cellStyle name="RowTitles1-Detail 2 3 5 3 3 3" xfId="9002"/>
    <cellStyle name="RowTitles1-Detail 2 3 5 3 3_Tertiary Salaries Survey" xfId="9003"/>
    <cellStyle name="RowTitles1-Detail 2 3 5 3 4" xfId="9004"/>
    <cellStyle name="RowTitles1-Detail 2 3 5 3 5" xfId="9005"/>
    <cellStyle name="RowTitles1-Detail 2 3 5 3_Tertiary Salaries Survey" xfId="9006"/>
    <cellStyle name="RowTitles1-Detail 2 3 5 4" xfId="9007"/>
    <cellStyle name="RowTitles1-Detail 2 3 5 4 2" xfId="9008"/>
    <cellStyle name="RowTitles1-Detail 2 3 5 4 2 2" xfId="9009"/>
    <cellStyle name="RowTitles1-Detail 2 3 5 4 2 2 2" xfId="9010"/>
    <cellStyle name="RowTitles1-Detail 2 3 5 4 2 2_Tertiary Salaries Survey" xfId="9011"/>
    <cellStyle name="RowTitles1-Detail 2 3 5 4 2 3" xfId="9012"/>
    <cellStyle name="RowTitles1-Detail 2 3 5 4 2_Tertiary Salaries Survey" xfId="9013"/>
    <cellStyle name="RowTitles1-Detail 2 3 5 4 3" xfId="9014"/>
    <cellStyle name="RowTitles1-Detail 2 3 5 4 3 2" xfId="9015"/>
    <cellStyle name="RowTitles1-Detail 2 3 5 4 3 2 2" xfId="9016"/>
    <cellStyle name="RowTitles1-Detail 2 3 5 4 3 2_Tertiary Salaries Survey" xfId="9017"/>
    <cellStyle name="RowTitles1-Detail 2 3 5 4 3 3" xfId="9018"/>
    <cellStyle name="RowTitles1-Detail 2 3 5 4 3_Tertiary Salaries Survey" xfId="9019"/>
    <cellStyle name="RowTitles1-Detail 2 3 5 4 4" xfId="9020"/>
    <cellStyle name="RowTitles1-Detail 2 3 5 4 4 2" xfId="9021"/>
    <cellStyle name="RowTitles1-Detail 2 3 5 4 4_Tertiary Salaries Survey" xfId="9022"/>
    <cellStyle name="RowTitles1-Detail 2 3 5 4 5" xfId="9023"/>
    <cellStyle name="RowTitles1-Detail 2 3 5 4_Tertiary Salaries Survey" xfId="9024"/>
    <cellStyle name="RowTitles1-Detail 2 3 5 5" xfId="9025"/>
    <cellStyle name="RowTitles1-Detail 2 3 5 5 2" xfId="9026"/>
    <cellStyle name="RowTitles1-Detail 2 3 5 5 2 2" xfId="9027"/>
    <cellStyle name="RowTitles1-Detail 2 3 5 5 2 2 2" xfId="9028"/>
    <cellStyle name="RowTitles1-Detail 2 3 5 5 2 2_Tertiary Salaries Survey" xfId="9029"/>
    <cellStyle name="RowTitles1-Detail 2 3 5 5 2 3" xfId="9030"/>
    <cellStyle name="RowTitles1-Detail 2 3 5 5 2_Tertiary Salaries Survey" xfId="9031"/>
    <cellStyle name="RowTitles1-Detail 2 3 5 5 3" xfId="9032"/>
    <cellStyle name="RowTitles1-Detail 2 3 5 5 3 2" xfId="9033"/>
    <cellStyle name="RowTitles1-Detail 2 3 5 5 3 2 2" xfId="9034"/>
    <cellStyle name="RowTitles1-Detail 2 3 5 5 3 2_Tertiary Salaries Survey" xfId="9035"/>
    <cellStyle name="RowTitles1-Detail 2 3 5 5 3 3" xfId="9036"/>
    <cellStyle name="RowTitles1-Detail 2 3 5 5 3_Tertiary Salaries Survey" xfId="9037"/>
    <cellStyle name="RowTitles1-Detail 2 3 5 5 4" xfId="9038"/>
    <cellStyle name="RowTitles1-Detail 2 3 5 5 4 2" xfId="9039"/>
    <cellStyle name="RowTitles1-Detail 2 3 5 5 4_Tertiary Salaries Survey" xfId="9040"/>
    <cellStyle name="RowTitles1-Detail 2 3 5 5 5" xfId="9041"/>
    <cellStyle name="RowTitles1-Detail 2 3 5 5_Tertiary Salaries Survey" xfId="9042"/>
    <cellStyle name="RowTitles1-Detail 2 3 5 6" xfId="9043"/>
    <cellStyle name="RowTitles1-Detail 2 3 5 6 2" xfId="9044"/>
    <cellStyle name="RowTitles1-Detail 2 3 5 6 2 2" xfId="9045"/>
    <cellStyle name="RowTitles1-Detail 2 3 5 6 2 2 2" xfId="9046"/>
    <cellStyle name="RowTitles1-Detail 2 3 5 6 2 2_Tertiary Salaries Survey" xfId="9047"/>
    <cellStyle name="RowTitles1-Detail 2 3 5 6 2 3" xfId="9048"/>
    <cellStyle name="RowTitles1-Detail 2 3 5 6 2_Tertiary Salaries Survey" xfId="9049"/>
    <cellStyle name="RowTitles1-Detail 2 3 5 6 3" xfId="9050"/>
    <cellStyle name="RowTitles1-Detail 2 3 5 6 3 2" xfId="9051"/>
    <cellStyle name="RowTitles1-Detail 2 3 5 6 3 2 2" xfId="9052"/>
    <cellStyle name="RowTitles1-Detail 2 3 5 6 3 2_Tertiary Salaries Survey" xfId="9053"/>
    <cellStyle name="RowTitles1-Detail 2 3 5 6 3 3" xfId="9054"/>
    <cellStyle name="RowTitles1-Detail 2 3 5 6 3_Tertiary Salaries Survey" xfId="9055"/>
    <cellStyle name="RowTitles1-Detail 2 3 5 6 4" xfId="9056"/>
    <cellStyle name="RowTitles1-Detail 2 3 5 6 4 2" xfId="9057"/>
    <cellStyle name="RowTitles1-Detail 2 3 5 6 4_Tertiary Salaries Survey" xfId="9058"/>
    <cellStyle name="RowTitles1-Detail 2 3 5 6 5" xfId="9059"/>
    <cellStyle name="RowTitles1-Detail 2 3 5 6_Tertiary Salaries Survey" xfId="9060"/>
    <cellStyle name="RowTitles1-Detail 2 3 5 7" xfId="9061"/>
    <cellStyle name="RowTitles1-Detail 2 3 5 7 2" xfId="9062"/>
    <cellStyle name="RowTitles1-Detail 2 3 5 7 2 2" xfId="9063"/>
    <cellStyle name="RowTitles1-Detail 2 3 5 7 2_Tertiary Salaries Survey" xfId="9064"/>
    <cellStyle name="RowTitles1-Detail 2 3 5 7 3" xfId="9065"/>
    <cellStyle name="RowTitles1-Detail 2 3 5 7_Tertiary Salaries Survey" xfId="9066"/>
    <cellStyle name="RowTitles1-Detail 2 3 5 8" xfId="9067"/>
    <cellStyle name="RowTitles1-Detail 2 3 5 8 2" xfId="9068"/>
    <cellStyle name="RowTitles1-Detail 2 3 5 8 2 2" xfId="9069"/>
    <cellStyle name="RowTitles1-Detail 2 3 5 8 2_Tertiary Salaries Survey" xfId="9070"/>
    <cellStyle name="RowTitles1-Detail 2 3 5 8 3" xfId="9071"/>
    <cellStyle name="RowTitles1-Detail 2 3 5 8_Tertiary Salaries Survey" xfId="9072"/>
    <cellStyle name="RowTitles1-Detail 2 3 5 9" xfId="9073"/>
    <cellStyle name="RowTitles1-Detail 2 3 5_STUD aligned by INSTIT" xfId="9074"/>
    <cellStyle name="RowTitles1-Detail 2 3 6" xfId="9075"/>
    <cellStyle name="RowTitles1-Detail 2 3 6 2" xfId="9076"/>
    <cellStyle name="RowTitles1-Detail 2 3 6 2 2" xfId="9077"/>
    <cellStyle name="RowTitles1-Detail 2 3 6 2 2 2" xfId="9078"/>
    <cellStyle name="RowTitles1-Detail 2 3 6 2 2 2 2" xfId="9079"/>
    <cellStyle name="RowTitles1-Detail 2 3 6 2 2 2_Tertiary Salaries Survey" xfId="9080"/>
    <cellStyle name="RowTitles1-Detail 2 3 6 2 2 3" xfId="9081"/>
    <cellStyle name="RowTitles1-Detail 2 3 6 2 2_Tertiary Salaries Survey" xfId="9082"/>
    <cellStyle name="RowTitles1-Detail 2 3 6 2 3" xfId="9083"/>
    <cellStyle name="RowTitles1-Detail 2 3 6 2 3 2" xfId="9084"/>
    <cellStyle name="RowTitles1-Detail 2 3 6 2 3 2 2" xfId="9085"/>
    <cellStyle name="RowTitles1-Detail 2 3 6 2 3 2_Tertiary Salaries Survey" xfId="9086"/>
    <cellStyle name="RowTitles1-Detail 2 3 6 2 3 3" xfId="9087"/>
    <cellStyle name="RowTitles1-Detail 2 3 6 2 3_Tertiary Salaries Survey" xfId="9088"/>
    <cellStyle name="RowTitles1-Detail 2 3 6 2 4" xfId="9089"/>
    <cellStyle name="RowTitles1-Detail 2 3 6 2 5" xfId="9090"/>
    <cellStyle name="RowTitles1-Detail 2 3 6 2 5 2" xfId="9091"/>
    <cellStyle name="RowTitles1-Detail 2 3 6 2 5_Tertiary Salaries Survey" xfId="9092"/>
    <cellStyle name="RowTitles1-Detail 2 3 6 2 6" xfId="9093"/>
    <cellStyle name="RowTitles1-Detail 2 3 6 2_Tertiary Salaries Survey" xfId="9094"/>
    <cellStyle name="RowTitles1-Detail 2 3 6 3" xfId="9095"/>
    <cellStyle name="RowTitles1-Detail 2 3 6 3 2" xfId="9096"/>
    <cellStyle name="RowTitles1-Detail 2 3 6 3 2 2" xfId="9097"/>
    <cellStyle name="RowTitles1-Detail 2 3 6 3 2 2 2" xfId="9098"/>
    <cellStyle name="RowTitles1-Detail 2 3 6 3 2 2_Tertiary Salaries Survey" xfId="9099"/>
    <cellStyle name="RowTitles1-Detail 2 3 6 3 2 3" xfId="9100"/>
    <cellStyle name="RowTitles1-Detail 2 3 6 3 2_Tertiary Salaries Survey" xfId="9101"/>
    <cellStyle name="RowTitles1-Detail 2 3 6 3 3" xfId="9102"/>
    <cellStyle name="RowTitles1-Detail 2 3 6 3 3 2" xfId="9103"/>
    <cellStyle name="RowTitles1-Detail 2 3 6 3 3 2 2" xfId="9104"/>
    <cellStyle name="RowTitles1-Detail 2 3 6 3 3 2_Tertiary Salaries Survey" xfId="9105"/>
    <cellStyle name="RowTitles1-Detail 2 3 6 3 3 3" xfId="9106"/>
    <cellStyle name="RowTitles1-Detail 2 3 6 3 3_Tertiary Salaries Survey" xfId="9107"/>
    <cellStyle name="RowTitles1-Detail 2 3 6 3 4" xfId="9108"/>
    <cellStyle name="RowTitles1-Detail 2 3 6 3 5" xfId="9109"/>
    <cellStyle name="RowTitles1-Detail 2 3 6 3_Tertiary Salaries Survey" xfId="9110"/>
    <cellStyle name="RowTitles1-Detail 2 3 6 4" xfId="9111"/>
    <cellStyle name="RowTitles1-Detail 2 3 6 4 2" xfId="9112"/>
    <cellStyle name="RowTitles1-Detail 2 3 6 4 2 2" xfId="9113"/>
    <cellStyle name="RowTitles1-Detail 2 3 6 4 2 2 2" xfId="9114"/>
    <cellStyle name="RowTitles1-Detail 2 3 6 4 2 2_Tertiary Salaries Survey" xfId="9115"/>
    <cellStyle name="RowTitles1-Detail 2 3 6 4 2 3" xfId="9116"/>
    <cellStyle name="RowTitles1-Detail 2 3 6 4 2_Tertiary Salaries Survey" xfId="9117"/>
    <cellStyle name="RowTitles1-Detail 2 3 6 4 3" xfId="9118"/>
    <cellStyle name="RowTitles1-Detail 2 3 6 4 3 2" xfId="9119"/>
    <cellStyle name="RowTitles1-Detail 2 3 6 4 3 2 2" xfId="9120"/>
    <cellStyle name="RowTitles1-Detail 2 3 6 4 3 2_Tertiary Salaries Survey" xfId="9121"/>
    <cellStyle name="RowTitles1-Detail 2 3 6 4 3 3" xfId="9122"/>
    <cellStyle name="RowTitles1-Detail 2 3 6 4 3_Tertiary Salaries Survey" xfId="9123"/>
    <cellStyle name="RowTitles1-Detail 2 3 6 4 4" xfId="9124"/>
    <cellStyle name="RowTitles1-Detail 2 3 6 4 5" xfId="9125"/>
    <cellStyle name="RowTitles1-Detail 2 3 6 4 5 2" xfId="9126"/>
    <cellStyle name="RowTitles1-Detail 2 3 6 4 5_Tertiary Salaries Survey" xfId="9127"/>
    <cellStyle name="RowTitles1-Detail 2 3 6 4 6" xfId="9128"/>
    <cellStyle name="RowTitles1-Detail 2 3 6 4_Tertiary Salaries Survey" xfId="9129"/>
    <cellStyle name="RowTitles1-Detail 2 3 6 5" xfId="9130"/>
    <cellStyle name="RowTitles1-Detail 2 3 6 5 2" xfId="9131"/>
    <cellStyle name="RowTitles1-Detail 2 3 6 5 2 2" xfId="9132"/>
    <cellStyle name="RowTitles1-Detail 2 3 6 5 2 2 2" xfId="9133"/>
    <cellStyle name="RowTitles1-Detail 2 3 6 5 2 2_Tertiary Salaries Survey" xfId="9134"/>
    <cellStyle name="RowTitles1-Detail 2 3 6 5 2 3" xfId="9135"/>
    <cellStyle name="RowTitles1-Detail 2 3 6 5 2_Tertiary Salaries Survey" xfId="9136"/>
    <cellStyle name="RowTitles1-Detail 2 3 6 5 3" xfId="9137"/>
    <cellStyle name="RowTitles1-Detail 2 3 6 5 3 2" xfId="9138"/>
    <cellStyle name="RowTitles1-Detail 2 3 6 5 3 2 2" xfId="9139"/>
    <cellStyle name="RowTitles1-Detail 2 3 6 5 3 2_Tertiary Salaries Survey" xfId="9140"/>
    <cellStyle name="RowTitles1-Detail 2 3 6 5 3 3" xfId="9141"/>
    <cellStyle name="RowTitles1-Detail 2 3 6 5 3_Tertiary Salaries Survey" xfId="9142"/>
    <cellStyle name="RowTitles1-Detail 2 3 6 5 4" xfId="9143"/>
    <cellStyle name="RowTitles1-Detail 2 3 6 5 4 2" xfId="9144"/>
    <cellStyle name="RowTitles1-Detail 2 3 6 5 4_Tertiary Salaries Survey" xfId="9145"/>
    <cellStyle name="RowTitles1-Detail 2 3 6 5 5" xfId="9146"/>
    <cellStyle name="RowTitles1-Detail 2 3 6 5_Tertiary Salaries Survey" xfId="9147"/>
    <cellStyle name="RowTitles1-Detail 2 3 6 6" xfId="9148"/>
    <cellStyle name="RowTitles1-Detail 2 3 6 6 2" xfId="9149"/>
    <cellStyle name="RowTitles1-Detail 2 3 6 6 2 2" xfId="9150"/>
    <cellStyle name="RowTitles1-Detail 2 3 6 6 2 2 2" xfId="9151"/>
    <cellStyle name="RowTitles1-Detail 2 3 6 6 2 2_Tertiary Salaries Survey" xfId="9152"/>
    <cellStyle name="RowTitles1-Detail 2 3 6 6 2 3" xfId="9153"/>
    <cellStyle name="RowTitles1-Detail 2 3 6 6 2_Tertiary Salaries Survey" xfId="9154"/>
    <cellStyle name="RowTitles1-Detail 2 3 6 6 3" xfId="9155"/>
    <cellStyle name="RowTitles1-Detail 2 3 6 6 3 2" xfId="9156"/>
    <cellStyle name="RowTitles1-Detail 2 3 6 6 3 2 2" xfId="9157"/>
    <cellStyle name="RowTitles1-Detail 2 3 6 6 3 2_Tertiary Salaries Survey" xfId="9158"/>
    <cellStyle name="RowTitles1-Detail 2 3 6 6 3 3" xfId="9159"/>
    <cellStyle name="RowTitles1-Detail 2 3 6 6 3_Tertiary Salaries Survey" xfId="9160"/>
    <cellStyle name="RowTitles1-Detail 2 3 6 6 4" xfId="9161"/>
    <cellStyle name="RowTitles1-Detail 2 3 6 6 4 2" xfId="9162"/>
    <cellStyle name="RowTitles1-Detail 2 3 6 6 4_Tertiary Salaries Survey" xfId="9163"/>
    <cellStyle name="RowTitles1-Detail 2 3 6 6 5" xfId="9164"/>
    <cellStyle name="RowTitles1-Detail 2 3 6 6_Tertiary Salaries Survey" xfId="9165"/>
    <cellStyle name="RowTitles1-Detail 2 3 6 7" xfId="9166"/>
    <cellStyle name="RowTitles1-Detail 2 3 6 7 2" xfId="9167"/>
    <cellStyle name="RowTitles1-Detail 2 3 6 7 2 2" xfId="9168"/>
    <cellStyle name="RowTitles1-Detail 2 3 6 7 2_Tertiary Salaries Survey" xfId="9169"/>
    <cellStyle name="RowTitles1-Detail 2 3 6 7 3" xfId="9170"/>
    <cellStyle name="RowTitles1-Detail 2 3 6 7_Tertiary Salaries Survey" xfId="9171"/>
    <cellStyle name="RowTitles1-Detail 2 3 6 8" xfId="9172"/>
    <cellStyle name="RowTitles1-Detail 2 3 6 9" xfId="9173"/>
    <cellStyle name="RowTitles1-Detail 2 3 6_STUD aligned by INSTIT" xfId="9174"/>
    <cellStyle name="RowTitles1-Detail 2 3 7" xfId="9175"/>
    <cellStyle name="RowTitles1-Detail 2 3 7 2" xfId="9176"/>
    <cellStyle name="RowTitles1-Detail 2 3 7 2 2" xfId="9177"/>
    <cellStyle name="RowTitles1-Detail 2 3 7 2 2 2" xfId="9178"/>
    <cellStyle name="RowTitles1-Detail 2 3 7 2 2_Tertiary Salaries Survey" xfId="9179"/>
    <cellStyle name="RowTitles1-Detail 2 3 7 2 3" xfId="9180"/>
    <cellStyle name="RowTitles1-Detail 2 3 7 2_Tertiary Salaries Survey" xfId="9181"/>
    <cellStyle name="RowTitles1-Detail 2 3 7 3" xfId="9182"/>
    <cellStyle name="RowTitles1-Detail 2 3 7 3 2" xfId="9183"/>
    <cellStyle name="RowTitles1-Detail 2 3 7 3 2 2" xfId="9184"/>
    <cellStyle name="RowTitles1-Detail 2 3 7 3 2_Tertiary Salaries Survey" xfId="9185"/>
    <cellStyle name="RowTitles1-Detail 2 3 7 3 3" xfId="9186"/>
    <cellStyle name="RowTitles1-Detail 2 3 7 3_Tertiary Salaries Survey" xfId="9187"/>
    <cellStyle name="RowTitles1-Detail 2 3 7 4" xfId="9188"/>
    <cellStyle name="RowTitles1-Detail 2 3 7 5" xfId="9189"/>
    <cellStyle name="RowTitles1-Detail 2 3 7 5 2" xfId="9190"/>
    <cellStyle name="RowTitles1-Detail 2 3 7 5_Tertiary Salaries Survey" xfId="9191"/>
    <cellStyle name="RowTitles1-Detail 2 3 7 6" xfId="9192"/>
    <cellStyle name="RowTitles1-Detail 2 3 7_Tertiary Salaries Survey" xfId="9193"/>
    <cellStyle name="RowTitles1-Detail 2 3 8" xfId="9194"/>
    <cellStyle name="RowTitles1-Detail 2 3 8 2" xfId="9195"/>
    <cellStyle name="RowTitles1-Detail 2 3 8 2 2" xfId="9196"/>
    <cellStyle name="RowTitles1-Detail 2 3 8 2 2 2" xfId="9197"/>
    <cellStyle name="RowTitles1-Detail 2 3 8 2 2_Tertiary Salaries Survey" xfId="9198"/>
    <cellStyle name="RowTitles1-Detail 2 3 8 2 3" xfId="9199"/>
    <cellStyle name="RowTitles1-Detail 2 3 8 2_Tertiary Salaries Survey" xfId="9200"/>
    <cellStyle name="RowTitles1-Detail 2 3 8 3" xfId="9201"/>
    <cellStyle name="RowTitles1-Detail 2 3 8 3 2" xfId="9202"/>
    <cellStyle name="RowTitles1-Detail 2 3 8 3 2 2" xfId="9203"/>
    <cellStyle name="RowTitles1-Detail 2 3 8 3 2_Tertiary Salaries Survey" xfId="9204"/>
    <cellStyle name="RowTitles1-Detail 2 3 8 3 3" xfId="9205"/>
    <cellStyle name="RowTitles1-Detail 2 3 8 3_Tertiary Salaries Survey" xfId="9206"/>
    <cellStyle name="RowTitles1-Detail 2 3 8 4" xfId="9207"/>
    <cellStyle name="RowTitles1-Detail 2 3 8 5" xfId="9208"/>
    <cellStyle name="RowTitles1-Detail 2 3 8_Tertiary Salaries Survey" xfId="9209"/>
    <cellStyle name="RowTitles1-Detail 2 3 9" xfId="9210"/>
    <cellStyle name="RowTitles1-Detail 2 3 9 2" xfId="9211"/>
    <cellStyle name="RowTitles1-Detail 2 3 9 2 2" xfId="9212"/>
    <cellStyle name="RowTitles1-Detail 2 3 9 2 2 2" xfId="9213"/>
    <cellStyle name="RowTitles1-Detail 2 3 9 2 2_Tertiary Salaries Survey" xfId="9214"/>
    <cellStyle name="RowTitles1-Detail 2 3 9 2 3" xfId="9215"/>
    <cellStyle name="RowTitles1-Detail 2 3 9 2_Tertiary Salaries Survey" xfId="9216"/>
    <cellStyle name="RowTitles1-Detail 2 3 9 3" xfId="9217"/>
    <cellStyle name="RowTitles1-Detail 2 3 9 3 2" xfId="9218"/>
    <cellStyle name="RowTitles1-Detail 2 3 9 3 2 2" xfId="9219"/>
    <cellStyle name="RowTitles1-Detail 2 3 9 3 2_Tertiary Salaries Survey" xfId="9220"/>
    <cellStyle name="RowTitles1-Detail 2 3 9 3 3" xfId="9221"/>
    <cellStyle name="RowTitles1-Detail 2 3 9 3_Tertiary Salaries Survey" xfId="9222"/>
    <cellStyle name="RowTitles1-Detail 2 3 9 4" xfId="9223"/>
    <cellStyle name="RowTitles1-Detail 2 3 9 5" xfId="9224"/>
    <cellStyle name="RowTitles1-Detail 2 3 9 5 2" xfId="9225"/>
    <cellStyle name="RowTitles1-Detail 2 3 9 5_Tertiary Salaries Survey" xfId="9226"/>
    <cellStyle name="RowTitles1-Detail 2 3 9 6" xfId="9227"/>
    <cellStyle name="RowTitles1-Detail 2 3 9_Tertiary Salaries Survey" xfId="9228"/>
    <cellStyle name="RowTitles1-Detail 2 3_STUD aligned by INSTIT" xfId="9229"/>
    <cellStyle name="RowTitles1-Detail 2 4" xfId="9230"/>
    <cellStyle name="RowTitles1-Detail 2 4 10" xfId="9231"/>
    <cellStyle name="RowTitles1-Detail 2 4 10 2" xfId="9232"/>
    <cellStyle name="RowTitles1-Detail 2 4 10 2 2" xfId="9233"/>
    <cellStyle name="RowTitles1-Detail 2 4 10 2_Tertiary Salaries Survey" xfId="9234"/>
    <cellStyle name="RowTitles1-Detail 2 4 10 3" xfId="9235"/>
    <cellStyle name="RowTitles1-Detail 2 4 10_Tertiary Salaries Survey" xfId="9236"/>
    <cellStyle name="RowTitles1-Detail 2 4 11" xfId="9237"/>
    <cellStyle name="RowTitles1-Detail 2 4 12" xfId="9238"/>
    <cellStyle name="RowTitles1-Detail 2 4 2" xfId="9239"/>
    <cellStyle name="RowTitles1-Detail 2 4 2 2" xfId="9240"/>
    <cellStyle name="RowTitles1-Detail 2 4 2 2 2" xfId="9241"/>
    <cellStyle name="RowTitles1-Detail 2 4 2 2 2 2" xfId="9242"/>
    <cellStyle name="RowTitles1-Detail 2 4 2 2 2 2 2" xfId="9243"/>
    <cellStyle name="RowTitles1-Detail 2 4 2 2 2 2_Tertiary Salaries Survey" xfId="9244"/>
    <cellStyle name="RowTitles1-Detail 2 4 2 2 2 3" xfId="9245"/>
    <cellStyle name="RowTitles1-Detail 2 4 2 2 2_Tertiary Salaries Survey" xfId="9246"/>
    <cellStyle name="RowTitles1-Detail 2 4 2 2 3" xfId="9247"/>
    <cellStyle name="RowTitles1-Detail 2 4 2 2 3 2" xfId="9248"/>
    <cellStyle name="RowTitles1-Detail 2 4 2 2 3 2 2" xfId="9249"/>
    <cellStyle name="RowTitles1-Detail 2 4 2 2 3 2_Tertiary Salaries Survey" xfId="9250"/>
    <cellStyle name="RowTitles1-Detail 2 4 2 2 3 3" xfId="9251"/>
    <cellStyle name="RowTitles1-Detail 2 4 2 2 3_Tertiary Salaries Survey" xfId="9252"/>
    <cellStyle name="RowTitles1-Detail 2 4 2 2 4" xfId="9253"/>
    <cellStyle name="RowTitles1-Detail 2 4 2 2 5" xfId="9254"/>
    <cellStyle name="RowTitles1-Detail 2 4 2 2_Tertiary Salaries Survey" xfId="9255"/>
    <cellStyle name="RowTitles1-Detail 2 4 2 3" xfId="9256"/>
    <cellStyle name="RowTitles1-Detail 2 4 2 3 2" xfId="9257"/>
    <cellStyle name="RowTitles1-Detail 2 4 2 3 2 2" xfId="9258"/>
    <cellStyle name="RowTitles1-Detail 2 4 2 3 2 2 2" xfId="9259"/>
    <cellStyle name="RowTitles1-Detail 2 4 2 3 2 2_Tertiary Salaries Survey" xfId="9260"/>
    <cellStyle name="RowTitles1-Detail 2 4 2 3 2 3" xfId="9261"/>
    <cellStyle name="RowTitles1-Detail 2 4 2 3 2_Tertiary Salaries Survey" xfId="9262"/>
    <cellStyle name="RowTitles1-Detail 2 4 2 3 3" xfId="9263"/>
    <cellStyle name="RowTitles1-Detail 2 4 2 3 3 2" xfId="9264"/>
    <cellStyle name="RowTitles1-Detail 2 4 2 3 3 2 2" xfId="9265"/>
    <cellStyle name="RowTitles1-Detail 2 4 2 3 3 2_Tertiary Salaries Survey" xfId="9266"/>
    <cellStyle name="RowTitles1-Detail 2 4 2 3 3 3" xfId="9267"/>
    <cellStyle name="RowTitles1-Detail 2 4 2 3 3_Tertiary Salaries Survey" xfId="9268"/>
    <cellStyle name="RowTitles1-Detail 2 4 2 3 4" xfId="9269"/>
    <cellStyle name="RowTitles1-Detail 2 4 2 3 5" xfId="9270"/>
    <cellStyle name="RowTitles1-Detail 2 4 2 3 5 2" xfId="9271"/>
    <cellStyle name="RowTitles1-Detail 2 4 2 3 5_Tertiary Salaries Survey" xfId="9272"/>
    <cellStyle name="RowTitles1-Detail 2 4 2 3 6" xfId="9273"/>
    <cellStyle name="RowTitles1-Detail 2 4 2 3_Tertiary Salaries Survey" xfId="9274"/>
    <cellStyle name="RowTitles1-Detail 2 4 2 4" xfId="9275"/>
    <cellStyle name="RowTitles1-Detail 2 4 2 4 2" xfId="9276"/>
    <cellStyle name="RowTitles1-Detail 2 4 2 4 2 2" xfId="9277"/>
    <cellStyle name="RowTitles1-Detail 2 4 2 4 2 2 2" xfId="9278"/>
    <cellStyle name="RowTitles1-Detail 2 4 2 4 2 2_Tertiary Salaries Survey" xfId="9279"/>
    <cellStyle name="RowTitles1-Detail 2 4 2 4 2 3" xfId="9280"/>
    <cellStyle name="RowTitles1-Detail 2 4 2 4 2_Tertiary Salaries Survey" xfId="9281"/>
    <cellStyle name="RowTitles1-Detail 2 4 2 4 3" xfId="9282"/>
    <cellStyle name="RowTitles1-Detail 2 4 2 4 3 2" xfId="9283"/>
    <cellStyle name="RowTitles1-Detail 2 4 2 4 3 2 2" xfId="9284"/>
    <cellStyle name="RowTitles1-Detail 2 4 2 4 3 2_Tertiary Salaries Survey" xfId="9285"/>
    <cellStyle name="RowTitles1-Detail 2 4 2 4 3 3" xfId="9286"/>
    <cellStyle name="RowTitles1-Detail 2 4 2 4 3_Tertiary Salaries Survey" xfId="9287"/>
    <cellStyle name="RowTitles1-Detail 2 4 2 4 4" xfId="9288"/>
    <cellStyle name="RowTitles1-Detail 2 4 2 4 4 2" xfId="9289"/>
    <cellStyle name="RowTitles1-Detail 2 4 2 4 4_Tertiary Salaries Survey" xfId="9290"/>
    <cellStyle name="RowTitles1-Detail 2 4 2 4 5" xfId="9291"/>
    <cellStyle name="RowTitles1-Detail 2 4 2 4_Tertiary Salaries Survey" xfId="9292"/>
    <cellStyle name="RowTitles1-Detail 2 4 2 5" xfId="9293"/>
    <cellStyle name="RowTitles1-Detail 2 4 2 5 2" xfId="9294"/>
    <cellStyle name="RowTitles1-Detail 2 4 2 5 2 2" xfId="9295"/>
    <cellStyle name="RowTitles1-Detail 2 4 2 5 2 2 2" xfId="9296"/>
    <cellStyle name="RowTitles1-Detail 2 4 2 5 2 2_Tertiary Salaries Survey" xfId="9297"/>
    <cellStyle name="RowTitles1-Detail 2 4 2 5 2 3" xfId="9298"/>
    <cellStyle name="RowTitles1-Detail 2 4 2 5 2_Tertiary Salaries Survey" xfId="9299"/>
    <cellStyle name="RowTitles1-Detail 2 4 2 5 3" xfId="9300"/>
    <cellStyle name="RowTitles1-Detail 2 4 2 5 3 2" xfId="9301"/>
    <cellStyle name="RowTitles1-Detail 2 4 2 5 3 2 2" xfId="9302"/>
    <cellStyle name="RowTitles1-Detail 2 4 2 5 3 2_Tertiary Salaries Survey" xfId="9303"/>
    <cellStyle name="RowTitles1-Detail 2 4 2 5 3 3" xfId="9304"/>
    <cellStyle name="RowTitles1-Detail 2 4 2 5 3_Tertiary Salaries Survey" xfId="9305"/>
    <cellStyle name="RowTitles1-Detail 2 4 2 5 4" xfId="9306"/>
    <cellStyle name="RowTitles1-Detail 2 4 2 5 4 2" xfId="9307"/>
    <cellStyle name="RowTitles1-Detail 2 4 2 5 4_Tertiary Salaries Survey" xfId="9308"/>
    <cellStyle name="RowTitles1-Detail 2 4 2 5 5" xfId="9309"/>
    <cellStyle name="RowTitles1-Detail 2 4 2 5_Tertiary Salaries Survey" xfId="9310"/>
    <cellStyle name="RowTitles1-Detail 2 4 2 6" xfId="9311"/>
    <cellStyle name="RowTitles1-Detail 2 4 2 6 2" xfId="9312"/>
    <cellStyle name="RowTitles1-Detail 2 4 2 6 2 2" xfId="9313"/>
    <cellStyle name="RowTitles1-Detail 2 4 2 6 2 2 2" xfId="9314"/>
    <cellStyle name="RowTitles1-Detail 2 4 2 6 2 2_Tertiary Salaries Survey" xfId="9315"/>
    <cellStyle name="RowTitles1-Detail 2 4 2 6 2 3" xfId="9316"/>
    <cellStyle name="RowTitles1-Detail 2 4 2 6 2_Tertiary Salaries Survey" xfId="9317"/>
    <cellStyle name="RowTitles1-Detail 2 4 2 6 3" xfId="9318"/>
    <cellStyle name="RowTitles1-Detail 2 4 2 6 3 2" xfId="9319"/>
    <cellStyle name="RowTitles1-Detail 2 4 2 6 3 2 2" xfId="9320"/>
    <cellStyle name="RowTitles1-Detail 2 4 2 6 3 2_Tertiary Salaries Survey" xfId="9321"/>
    <cellStyle name="RowTitles1-Detail 2 4 2 6 3 3" xfId="9322"/>
    <cellStyle name="RowTitles1-Detail 2 4 2 6 3_Tertiary Salaries Survey" xfId="9323"/>
    <cellStyle name="RowTitles1-Detail 2 4 2 6 4" xfId="9324"/>
    <cellStyle name="RowTitles1-Detail 2 4 2 6 4 2" xfId="9325"/>
    <cellStyle name="RowTitles1-Detail 2 4 2 6 4_Tertiary Salaries Survey" xfId="9326"/>
    <cellStyle name="RowTitles1-Detail 2 4 2 6 5" xfId="9327"/>
    <cellStyle name="RowTitles1-Detail 2 4 2 6_Tertiary Salaries Survey" xfId="9328"/>
    <cellStyle name="RowTitles1-Detail 2 4 2 7" xfId="9329"/>
    <cellStyle name="RowTitles1-Detail 2 4 2 7 2" xfId="9330"/>
    <cellStyle name="RowTitles1-Detail 2 4 2 7 2 2" xfId="9331"/>
    <cellStyle name="RowTitles1-Detail 2 4 2 7 2_Tertiary Salaries Survey" xfId="9332"/>
    <cellStyle name="RowTitles1-Detail 2 4 2 7 3" xfId="9333"/>
    <cellStyle name="RowTitles1-Detail 2 4 2 7_Tertiary Salaries Survey" xfId="9334"/>
    <cellStyle name="RowTitles1-Detail 2 4 2 8" xfId="9335"/>
    <cellStyle name="RowTitles1-Detail 2 4 2 9" xfId="9336"/>
    <cellStyle name="RowTitles1-Detail 2 4 2_STUD aligned by INSTIT" xfId="9337"/>
    <cellStyle name="RowTitles1-Detail 2 4 3" xfId="9338"/>
    <cellStyle name="RowTitles1-Detail 2 4 3 2" xfId="9339"/>
    <cellStyle name="RowTitles1-Detail 2 4 3 2 2" xfId="9340"/>
    <cellStyle name="RowTitles1-Detail 2 4 3 2 2 2" xfId="9341"/>
    <cellStyle name="RowTitles1-Detail 2 4 3 2 2 2 2" xfId="9342"/>
    <cellStyle name="RowTitles1-Detail 2 4 3 2 2 2_Tertiary Salaries Survey" xfId="9343"/>
    <cellStyle name="RowTitles1-Detail 2 4 3 2 2 3" xfId="9344"/>
    <cellStyle name="RowTitles1-Detail 2 4 3 2 2_Tertiary Salaries Survey" xfId="9345"/>
    <cellStyle name="RowTitles1-Detail 2 4 3 2 3" xfId="9346"/>
    <cellStyle name="RowTitles1-Detail 2 4 3 2 3 2" xfId="9347"/>
    <cellStyle name="RowTitles1-Detail 2 4 3 2 3 2 2" xfId="9348"/>
    <cellStyle name="RowTitles1-Detail 2 4 3 2 3 2_Tertiary Salaries Survey" xfId="9349"/>
    <cellStyle name="RowTitles1-Detail 2 4 3 2 3 3" xfId="9350"/>
    <cellStyle name="RowTitles1-Detail 2 4 3 2 3_Tertiary Salaries Survey" xfId="9351"/>
    <cellStyle name="RowTitles1-Detail 2 4 3 2 4" xfId="9352"/>
    <cellStyle name="RowTitles1-Detail 2 4 3 2 5" xfId="9353"/>
    <cellStyle name="RowTitles1-Detail 2 4 3 2 5 2" xfId="9354"/>
    <cellStyle name="RowTitles1-Detail 2 4 3 2 5_Tertiary Salaries Survey" xfId="9355"/>
    <cellStyle name="RowTitles1-Detail 2 4 3 2 6" xfId="9356"/>
    <cellStyle name="RowTitles1-Detail 2 4 3 2_Tertiary Salaries Survey" xfId="9357"/>
    <cellStyle name="RowTitles1-Detail 2 4 3 3" xfId="9358"/>
    <cellStyle name="RowTitles1-Detail 2 4 3 3 2" xfId="9359"/>
    <cellStyle name="RowTitles1-Detail 2 4 3 3 2 2" xfId="9360"/>
    <cellStyle name="RowTitles1-Detail 2 4 3 3 2 2 2" xfId="9361"/>
    <cellStyle name="RowTitles1-Detail 2 4 3 3 2 2_Tertiary Salaries Survey" xfId="9362"/>
    <cellStyle name="RowTitles1-Detail 2 4 3 3 2 3" xfId="9363"/>
    <cellStyle name="RowTitles1-Detail 2 4 3 3 2_Tertiary Salaries Survey" xfId="9364"/>
    <cellStyle name="RowTitles1-Detail 2 4 3 3 3" xfId="9365"/>
    <cellStyle name="RowTitles1-Detail 2 4 3 3 3 2" xfId="9366"/>
    <cellStyle name="RowTitles1-Detail 2 4 3 3 3 2 2" xfId="9367"/>
    <cellStyle name="RowTitles1-Detail 2 4 3 3 3 2_Tertiary Salaries Survey" xfId="9368"/>
    <cellStyle name="RowTitles1-Detail 2 4 3 3 3 3" xfId="9369"/>
    <cellStyle name="RowTitles1-Detail 2 4 3 3 3_Tertiary Salaries Survey" xfId="9370"/>
    <cellStyle name="RowTitles1-Detail 2 4 3 3 4" xfId="9371"/>
    <cellStyle name="RowTitles1-Detail 2 4 3 3 5" xfId="9372"/>
    <cellStyle name="RowTitles1-Detail 2 4 3 3_Tertiary Salaries Survey" xfId="9373"/>
    <cellStyle name="RowTitles1-Detail 2 4 3 4" xfId="9374"/>
    <cellStyle name="RowTitles1-Detail 2 4 3 4 2" xfId="9375"/>
    <cellStyle name="RowTitles1-Detail 2 4 3 4 2 2" xfId="9376"/>
    <cellStyle name="RowTitles1-Detail 2 4 3 4 2 2 2" xfId="9377"/>
    <cellStyle name="RowTitles1-Detail 2 4 3 4 2 2_Tertiary Salaries Survey" xfId="9378"/>
    <cellStyle name="RowTitles1-Detail 2 4 3 4 2 3" xfId="9379"/>
    <cellStyle name="RowTitles1-Detail 2 4 3 4 2_Tertiary Salaries Survey" xfId="9380"/>
    <cellStyle name="RowTitles1-Detail 2 4 3 4 3" xfId="9381"/>
    <cellStyle name="RowTitles1-Detail 2 4 3 4 3 2" xfId="9382"/>
    <cellStyle name="RowTitles1-Detail 2 4 3 4 3 2 2" xfId="9383"/>
    <cellStyle name="RowTitles1-Detail 2 4 3 4 3 2_Tertiary Salaries Survey" xfId="9384"/>
    <cellStyle name="RowTitles1-Detail 2 4 3 4 3 3" xfId="9385"/>
    <cellStyle name="RowTitles1-Detail 2 4 3 4 3_Tertiary Salaries Survey" xfId="9386"/>
    <cellStyle name="RowTitles1-Detail 2 4 3 4 4" xfId="9387"/>
    <cellStyle name="RowTitles1-Detail 2 4 3 4 4 2" xfId="9388"/>
    <cellStyle name="RowTitles1-Detail 2 4 3 4 4_Tertiary Salaries Survey" xfId="9389"/>
    <cellStyle name="RowTitles1-Detail 2 4 3 4 5" xfId="9390"/>
    <cellStyle name="RowTitles1-Detail 2 4 3 4_Tertiary Salaries Survey" xfId="9391"/>
    <cellStyle name="RowTitles1-Detail 2 4 3 5" xfId="9392"/>
    <cellStyle name="RowTitles1-Detail 2 4 3 5 2" xfId="9393"/>
    <cellStyle name="RowTitles1-Detail 2 4 3 5 2 2" xfId="9394"/>
    <cellStyle name="RowTitles1-Detail 2 4 3 5 2 2 2" xfId="9395"/>
    <cellStyle name="RowTitles1-Detail 2 4 3 5 2 2_Tertiary Salaries Survey" xfId="9396"/>
    <cellStyle name="RowTitles1-Detail 2 4 3 5 2 3" xfId="9397"/>
    <cellStyle name="RowTitles1-Detail 2 4 3 5 2_Tertiary Salaries Survey" xfId="9398"/>
    <cellStyle name="RowTitles1-Detail 2 4 3 5 3" xfId="9399"/>
    <cellStyle name="RowTitles1-Detail 2 4 3 5 3 2" xfId="9400"/>
    <cellStyle name="RowTitles1-Detail 2 4 3 5 3 2 2" xfId="9401"/>
    <cellStyle name="RowTitles1-Detail 2 4 3 5 3 2_Tertiary Salaries Survey" xfId="9402"/>
    <cellStyle name="RowTitles1-Detail 2 4 3 5 3 3" xfId="9403"/>
    <cellStyle name="RowTitles1-Detail 2 4 3 5 3_Tertiary Salaries Survey" xfId="9404"/>
    <cellStyle name="RowTitles1-Detail 2 4 3 5 4" xfId="9405"/>
    <cellStyle name="RowTitles1-Detail 2 4 3 5 4 2" xfId="9406"/>
    <cellStyle name="RowTitles1-Detail 2 4 3 5 4_Tertiary Salaries Survey" xfId="9407"/>
    <cellStyle name="RowTitles1-Detail 2 4 3 5 5" xfId="9408"/>
    <cellStyle name="RowTitles1-Detail 2 4 3 5_Tertiary Salaries Survey" xfId="9409"/>
    <cellStyle name="RowTitles1-Detail 2 4 3 6" xfId="9410"/>
    <cellStyle name="RowTitles1-Detail 2 4 3 6 2" xfId="9411"/>
    <cellStyle name="RowTitles1-Detail 2 4 3 6 2 2" xfId="9412"/>
    <cellStyle name="RowTitles1-Detail 2 4 3 6 2 2 2" xfId="9413"/>
    <cellStyle name="RowTitles1-Detail 2 4 3 6 2 2_Tertiary Salaries Survey" xfId="9414"/>
    <cellStyle name="RowTitles1-Detail 2 4 3 6 2 3" xfId="9415"/>
    <cellStyle name="RowTitles1-Detail 2 4 3 6 2_Tertiary Salaries Survey" xfId="9416"/>
    <cellStyle name="RowTitles1-Detail 2 4 3 6 3" xfId="9417"/>
    <cellStyle name="RowTitles1-Detail 2 4 3 6 3 2" xfId="9418"/>
    <cellStyle name="RowTitles1-Detail 2 4 3 6 3 2 2" xfId="9419"/>
    <cellStyle name="RowTitles1-Detail 2 4 3 6 3 2_Tertiary Salaries Survey" xfId="9420"/>
    <cellStyle name="RowTitles1-Detail 2 4 3 6 3 3" xfId="9421"/>
    <cellStyle name="RowTitles1-Detail 2 4 3 6 3_Tertiary Salaries Survey" xfId="9422"/>
    <cellStyle name="RowTitles1-Detail 2 4 3 6 4" xfId="9423"/>
    <cellStyle name="RowTitles1-Detail 2 4 3 6 4 2" xfId="9424"/>
    <cellStyle name="RowTitles1-Detail 2 4 3 6 4_Tertiary Salaries Survey" xfId="9425"/>
    <cellStyle name="RowTitles1-Detail 2 4 3 6 5" xfId="9426"/>
    <cellStyle name="RowTitles1-Detail 2 4 3 6_Tertiary Salaries Survey" xfId="9427"/>
    <cellStyle name="RowTitles1-Detail 2 4 3 7" xfId="9428"/>
    <cellStyle name="RowTitles1-Detail 2 4 3 7 2" xfId="9429"/>
    <cellStyle name="RowTitles1-Detail 2 4 3 7 2 2" xfId="9430"/>
    <cellStyle name="RowTitles1-Detail 2 4 3 7 2_Tertiary Salaries Survey" xfId="9431"/>
    <cellStyle name="RowTitles1-Detail 2 4 3 7 3" xfId="9432"/>
    <cellStyle name="RowTitles1-Detail 2 4 3 7_Tertiary Salaries Survey" xfId="9433"/>
    <cellStyle name="RowTitles1-Detail 2 4 3 8" xfId="9434"/>
    <cellStyle name="RowTitles1-Detail 2 4 3 8 2" xfId="9435"/>
    <cellStyle name="RowTitles1-Detail 2 4 3 8 2 2" xfId="9436"/>
    <cellStyle name="RowTitles1-Detail 2 4 3 8 2_Tertiary Salaries Survey" xfId="9437"/>
    <cellStyle name="RowTitles1-Detail 2 4 3 8 3" xfId="9438"/>
    <cellStyle name="RowTitles1-Detail 2 4 3 8_Tertiary Salaries Survey" xfId="9439"/>
    <cellStyle name="RowTitles1-Detail 2 4 3 9" xfId="9440"/>
    <cellStyle name="RowTitles1-Detail 2 4 3_STUD aligned by INSTIT" xfId="9441"/>
    <cellStyle name="RowTitles1-Detail 2 4 4" xfId="9442"/>
    <cellStyle name="RowTitles1-Detail 2 4 4 2" xfId="9443"/>
    <cellStyle name="RowTitles1-Detail 2 4 4 2 2" xfId="9444"/>
    <cellStyle name="RowTitles1-Detail 2 4 4 2 2 2" xfId="9445"/>
    <cellStyle name="RowTitles1-Detail 2 4 4 2 2 2 2" xfId="9446"/>
    <cellStyle name="RowTitles1-Detail 2 4 4 2 2 2_Tertiary Salaries Survey" xfId="9447"/>
    <cellStyle name="RowTitles1-Detail 2 4 4 2 2 3" xfId="9448"/>
    <cellStyle name="RowTitles1-Detail 2 4 4 2 2_Tertiary Salaries Survey" xfId="9449"/>
    <cellStyle name="RowTitles1-Detail 2 4 4 2 3" xfId="9450"/>
    <cellStyle name="RowTitles1-Detail 2 4 4 2 3 2" xfId="9451"/>
    <cellStyle name="RowTitles1-Detail 2 4 4 2 3 2 2" xfId="9452"/>
    <cellStyle name="RowTitles1-Detail 2 4 4 2 3 2_Tertiary Salaries Survey" xfId="9453"/>
    <cellStyle name="RowTitles1-Detail 2 4 4 2 3 3" xfId="9454"/>
    <cellStyle name="RowTitles1-Detail 2 4 4 2 3_Tertiary Salaries Survey" xfId="9455"/>
    <cellStyle name="RowTitles1-Detail 2 4 4 2 4" xfId="9456"/>
    <cellStyle name="RowTitles1-Detail 2 4 4 2 5" xfId="9457"/>
    <cellStyle name="RowTitles1-Detail 2 4 4 2 5 2" xfId="9458"/>
    <cellStyle name="RowTitles1-Detail 2 4 4 2 5_Tertiary Salaries Survey" xfId="9459"/>
    <cellStyle name="RowTitles1-Detail 2 4 4 2 6" xfId="9460"/>
    <cellStyle name="RowTitles1-Detail 2 4 4 2_Tertiary Salaries Survey" xfId="9461"/>
    <cellStyle name="RowTitles1-Detail 2 4 4 3" xfId="9462"/>
    <cellStyle name="RowTitles1-Detail 2 4 4 3 2" xfId="9463"/>
    <cellStyle name="RowTitles1-Detail 2 4 4 3 2 2" xfId="9464"/>
    <cellStyle name="RowTitles1-Detail 2 4 4 3 2 2 2" xfId="9465"/>
    <cellStyle name="RowTitles1-Detail 2 4 4 3 2 2_Tertiary Salaries Survey" xfId="9466"/>
    <cellStyle name="RowTitles1-Detail 2 4 4 3 2 3" xfId="9467"/>
    <cellStyle name="RowTitles1-Detail 2 4 4 3 2_Tertiary Salaries Survey" xfId="9468"/>
    <cellStyle name="RowTitles1-Detail 2 4 4 3 3" xfId="9469"/>
    <cellStyle name="RowTitles1-Detail 2 4 4 3 3 2" xfId="9470"/>
    <cellStyle name="RowTitles1-Detail 2 4 4 3 3 2 2" xfId="9471"/>
    <cellStyle name="RowTitles1-Detail 2 4 4 3 3 2_Tertiary Salaries Survey" xfId="9472"/>
    <cellStyle name="RowTitles1-Detail 2 4 4 3 3 3" xfId="9473"/>
    <cellStyle name="RowTitles1-Detail 2 4 4 3 3_Tertiary Salaries Survey" xfId="9474"/>
    <cellStyle name="RowTitles1-Detail 2 4 4 3 4" xfId="9475"/>
    <cellStyle name="RowTitles1-Detail 2 4 4 3 5" xfId="9476"/>
    <cellStyle name="RowTitles1-Detail 2 4 4 3_Tertiary Salaries Survey" xfId="9477"/>
    <cellStyle name="RowTitles1-Detail 2 4 4 4" xfId="9478"/>
    <cellStyle name="RowTitles1-Detail 2 4 4 4 2" xfId="9479"/>
    <cellStyle name="RowTitles1-Detail 2 4 4 4 2 2" xfId="9480"/>
    <cellStyle name="RowTitles1-Detail 2 4 4 4 2 2 2" xfId="9481"/>
    <cellStyle name="RowTitles1-Detail 2 4 4 4 2 2_Tertiary Salaries Survey" xfId="9482"/>
    <cellStyle name="RowTitles1-Detail 2 4 4 4 2 3" xfId="9483"/>
    <cellStyle name="RowTitles1-Detail 2 4 4 4 2_Tertiary Salaries Survey" xfId="9484"/>
    <cellStyle name="RowTitles1-Detail 2 4 4 4 3" xfId="9485"/>
    <cellStyle name="RowTitles1-Detail 2 4 4 4 3 2" xfId="9486"/>
    <cellStyle name="RowTitles1-Detail 2 4 4 4 3 2 2" xfId="9487"/>
    <cellStyle name="RowTitles1-Detail 2 4 4 4 3 2_Tertiary Salaries Survey" xfId="9488"/>
    <cellStyle name="RowTitles1-Detail 2 4 4 4 3 3" xfId="9489"/>
    <cellStyle name="RowTitles1-Detail 2 4 4 4 3_Tertiary Salaries Survey" xfId="9490"/>
    <cellStyle name="RowTitles1-Detail 2 4 4 4 4" xfId="9491"/>
    <cellStyle name="RowTitles1-Detail 2 4 4 4 5" xfId="9492"/>
    <cellStyle name="RowTitles1-Detail 2 4 4 4 5 2" xfId="9493"/>
    <cellStyle name="RowTitles1-Detail 2 4 4 4 5_Tertiary Salaries Survey" xfId="9494"/>
    <cellStyle name="RowTitles1-Detail 2 4 4 4 6" xfId="9495"/>
    <cellStyle name="RowTitles1-Detail 2 4 4 4_Tertiary Salaries Survey" xfId="9496"/>
    <cellStyle name="RowTitles1-Detail 2 4 4 5" xfId="9497"/>
    <cellStyle name="RowTitles1-Detail 2 4 4 5 2" xfId="9498"/>
    <cellStyle name="RowTitles1-Detail 2 4 4 5 2 2" xfId="9499"/>
    <cellStyle name="RowTitles1-Detail 2 4 4 5 2 2 2" xfId="9500"/>
    <cellStyle name="RowTitles1-Detail 2 4 4 5 2 2_Tertiary Salaries Survey" xfId="9501"/>
    <cellStyle name="RowTitles1-Detail 2 4 4 5 2 3" xfId="9502"/>
    <cellStyle name="RowTitles1-Detail 2 4 4 5 2_Tertiary Salaries Survey" xfId="9503"/>
    <cellStyle name="RowTitles1-Detail 2 4 4 5 3" xfId="9504"/>
    <cellStyle name="RowTitles1-Detail 2 4 4 5 3 2" xfId="9505"/>
    <cellStyle name="RowTitles1-Detail 2 4 4 5 3 2 2" xfId="9506"/>
    <cellStyle name="RowTitles1-Detail 2 4 4 5 3 2_Tertiary Salaries Survey" xfId="9507"/>
    <cellStyle name="RowTitles1-Detail 2 4 4 5 3 3" xfId="9508"/>
    <cellStyle name="RowTitles1-Detail 2 4 4 5 3_Tertiary Salaries Survey" xfId="9509"/>
    <cellStyle name="RowTitles1-Detail 2 4 4 5 4" xfId="9510"/>
    <cellStyle name="RowTitles1-Detail 2 4 4 5 4 2" xfId="9511"/>
    <cellStyle name="RowTitles1-Detail 2 4 4 5 4_Tertiary Salaries Survey" xfId="9512"/>
    <cellStyle name="RowTitles1-Detail 2 4 4 5 5" xfId="9513"/>
    <cellStyle name="RowTitles1-Detail 2 4 4 5_Tertiary Salaries Survey" xfId="9514"/>
    <cellStyle name="RowTitles1-Detail 2 4 4 6" xfId="9515"/>
    <cellStyle name="RowTitles1-Detail 2 4 4 6 2" xfId="9516"/>
    <cellStyle name="RowTitles1-Detail 2 4 4 6 2 2" xfId="9517"/>
    <cellStyle name="RowTitles1-Detail 2 4 4 6 2 2 2" xfId="9518"/>
    <cellStyle name="RowTitles1-Detail 2 4 4 6 2 2_Tertiary Salaries Survey" xfId="9519"/>
    <cellStyle name="RowTitles1-Detail 2 4 4 6 2 3" xfId="9520"/>
    <cellStyle name="RowTitles1-Detail 2 4 4 6 2_Tertiary Salaries Survey" xfId="9521"/>
    <cellStyle name="RowTitles1-Detail 2 4 4 6 3" xfId="9522"/>
    <cellStyle name="RowTitles1-Detail 2 4 4 6 3 2" xfId="9523"/>
    <cellStyle name="RowTitles1-Detail 2 4 4 6 3 2 2" xfId="9524"/>
    <cellStyle name="RowTitles1-Detail 2 4 4 6 3 2_Tertiary Salaries Survey" xfId="9525"/>
    <cellStyle name="RowTitles1-Detail 2 4 4 6 3 3" xfId="9526"/>
    <cellStyle name="RowTitles1-Detail 2 4 4 6 3_Tertiary Salaries Survey" xfId="9527"/>
    <cellStyle name="RowTitles1-Detail 2 4 4 6 4" xfId="9528"/>
    <cellStyle name="RowTitles1-Detail 2 4 4 6 4 2" xfId="9529"/>
    <cellStyle name="RowTitles1-Detail 2 4 4 6 4_Tertiary Salaries Survey" xfId="9530"/>
    <cellStyle name="RowTitles1-Detail 2 4 4 6 5" xfId="9531"/>
    <cellStyle name="RowTitles1-Detail 2 4 4 6_Tertiary Salaries Survey" xfId="9532"/>
    <cellStyle name="RowTitles1-Detail 2 4 4 7" xfId="9533"/>
    <cellStyle name="RowTitles1-Detail 2 4 4 7 2" xfId="9534"/>
    <cellStyle name="RowTitles1-Detail 2 4 4 7 2 2" xfId="9535"/>
    <cellStyle name="RowTitles1-Detail 2 4 4 7 2_Tertiary Salaries Survey" xfId="9536"/>
    <cellStyle name="RowTitles1-Detail 2 4 4 7 3" xfId="9537"/>
    <cellStyle name="RowTitles1-Detail 2 4 4 7_Tertiary Salaries Survey" xfId="9538"/>
    <cellStyle name="RowTitles1-Detail 2 4 4 8" xfId="9539"/>
    <cellStyle name="RowTitles1-Detail 2 4 4 9" xfId="9540"/>
    <cellStyle name="RowTitles1-Detail 2 4 4_STUD aligned by INSTIT" xfId="9541"/>
    <cellStyle name="RowTitles1-Detail 2 4 5" xfId="9542"/>
    <cellStyle name="RowTitles1-Detail 2 4 5 2" xfId="9543"/>
    <cellStyle name="RowTitles1-Detail 2 4 5 2 2" xfId="9544"/>
    <cellStyle name="RowTitles1-Detail 2 4 5 2 2 2" xfId="9545"/>
    <cellStyle name="RowTitles1-Detail 2 4 5 2 2_Tertiary Salaries Survey" xfId="9546"/>
    <cellStyle name="RowTitles1-Detail 2 4 5 2 3" xfId="9547"/>
    <cellStyle name="RowTitles1-Detail 2 4 5 2_Tertiary Salaries Survey" xfId="9548"/>
    <cellStyle name="RowTitles1-Detail 2 4 5 3" xfId="9549"/>
    <cellStyle name="RowTitles1-Detail 2 4 5 3 2" xfId="9550"/>
    <cellStyle name="RowTitles1-Detail 2 4 5 3 2 2" xfId="9551"/>
    <cellStyle name="RowTitles1-Detail 2 4 5 3 2_Tertiary Salaries Survey" xfId="9552"/>
    <cellStyle name="RowTitles1-Detail 2 4 5 3 3" xfId="9553"/>
    <cellStyle name="RowTitles1-Detail 2 4 5 3_Tertiary Salaries Survey" xfId="9554"/>
    <cellStyle name="RowTitles1-Detail 2 4 5 4" xfId="9555"/>
    <cellStyle name="RowTitles1-Detail 2 4 5 5" xfId="9556"/>
    <cellStyle name="RowTitles1-Detail 2 4 5 5 2" xfId="9557"/>
    <cellStyle name="RowTitles1-Detail 2 4 5 5_Tertiary Salaries Survey" xfId="9558"/>
    <cellStyle name="RowTitles1-Detail 2 4 5 6" xfId="9559"/>
    <cellStyle name="RowTitles1-Detail 2 4 5_Tertiary Salaries Survey" xfId="9560"/>
    <cellStyle name="RowTitles1-Detail 2 4 6" xfId="9561"/>
    <cellStyle name="RowTitles1-Detail 2 4 6 2" xfId="9562"/>
    <cellStyle name="RowTitles1-Detail 2 4 6 2 2" xfId="9563"/>
    <cellStyle name="RowTitles1-Detail 2 4 6 2 2 2" xfId="9564"/>
    <cellStyle name="RowTitles1-Detail 2 4 6 2 2_Tertiary Salaries Survey" xfId="9565"/>
    <cellStyle name="RowTitles1-Detail 2 4 6 2 3" xfId="9566"/>
    <cellStyle name="RowTitles1-Detail 2 4 6 2_Tertiary Salaries Survey" xfId="9567"/>
    <cellStyle name="RowTitles1-Detail 2 4 6 3" xfId="9568"/>
    <cellStyle name="RowTitles1-Detail 2 4 6 3 2" xfId="9569"/>
    <cellStyle name="RowTitles1-Detail 2 4 6 3 2 2" xfId="9570"/>
    <cellStyle name="RowTitles1-Detail 2 4 6 3 2_Tertiary Salaries Survey" xfId="9571"/>
    <cellStyle name="RowTitles1-Detail 2 4 6 3 3" xfId="9572"/>
    <cellStyle name="RowTitles1-Detail 2 4 6 3_Tertiary Salaries Survey" xfId="9573"/>
    <cellStyle name="RowTitles1-Detail 2 4 6 4" xfId="9574"/>
    <cellStyle name="RowTitles1-Detail 2 4 6 5" xfId="9575"/>
    <cellStyle name="RowTitles1-Detail 2 4 6_Tertiary Salaries Survey" xfId="9576"/>
    <cellStyle name="RowTitles1-Detail 2 4 7" xfId="9577"/>
    <cellStyle name="RowTitles1-Detail 2 4 7 2" xfId="9578"/>
    <cellStyle name="RowTitles1-Detail 2 4 7 2 2" xfId="9579"/>
    <cellStyle name="RowTitles1-Detail 2 4 7 2 2 2" xfId="9580"/>
    <cellStyle name="RowTitles1-Detail 2 4 7 2 2_Tertiary Salaries Survey" xfId="9581"/>
    <cellStyle name="RowTitles1-Detail 2 4 7 2 3" xfId="9582"/>
    <cellStyle name="RowTitles1-Detail 2 4 7 2_Tertiary Salaries Survey" xfId="9583"/>
    <cellStyle name="RowTitles1-Detail 2 4 7 3" xfId="9584"/>
    <cellStyle name="RowTitles1-Detail 2 4 7 3 2" xfId="9585"/>
    <cellStyle name="RowTitles1-Detail 2 4 7 3 2 2" xfId="9586"/>
    <cellStyle name="RowTitles1-Detail 2 4 7 3 2_Tertiary Salaries Survey" xfId="9587"/>
    <cellStyle name="RowTitles1-Detail 2 4 7 3 3" xfId="9588"/>
    <cellStyle name="RowTitles1-Detail 2 4 7 3_Tertiary Salaries Survey" xfId="9589"/>
    <cellStyle name="RowTitles1-Detail 2 4 7 4" xfId="9590"/>
    <cellStyle name="RowTitles1-Detail 2 4 7 5" xfId="9591"/>
    <cellStyle name="RowTitles1-Detail 2 4 7 5 2" xfId="9592"/>
    <cellStyle name="RowTitles1-Detail 2 4 7 5_Tertiary Salaries Survey" xfId="9593"/>
    <cellStyle name="RowTitles1-Detail 2 4 7 6" xfId="9594"/>
    <cellStyle name="RowTitles1-Detail 2 4 7_Tertiary Salaries Survey" xfId="9595"/>
    <cellStyle name="RowTitles1-Detail 2 4 8" xfId="9596"/>
    <cellStyle name="RowTitles1-Detail 2 4 8 2" xfId="9597"/>
    <cellStyle name="RowTitles1-Detail 2 4 8 2 2" xfId="9598"/>
    <cellStyle name="RowTitles1-Detail 2 4 8 2 2 2" xfId="9599"/>
    <cellStyle name="RowTitles1-Detail 2 4 8 2 2_Tertiary Salaries Survey" xfId="9600"/>
    <cellStyle name="RowTitles1-Detail 2 4 8 2 3" xfId="9601"/>
    <cellStyle name="RowTitles1-Detail 2 4 8 2_Tertiary Salaries Survey" xfId="9602"/>
    <cellStyle name="RowTitles1-Detail 2 4 8 3" xfId="9603"/>
    <cellStyle name="RowTitles1-Detail 2 4 8 3 2" xfId="9604"/>
    <cellStyle name="RowTitles1-Detail 2 4 8 3 2 2" xfId="9605"/>
    <cellStyle name="RowTitles1-Detail 2 4 8 3 2_Tertiary Salaries Survey" xfId="9606"/>
    <cellStyle name="RowTitles1-Detail 2 4 8 3 3" xfId="9607"/>
    <cellStyle name="RowTitles1-Detail 2 4 8 3_Tertiary Salaries Survey" xfId="9608"/>
    <cellStyle name="RowTitles1-Detail 2 4 8 4" xfId="9609"/>
    <cellStyle name="RowTitles1-Detail 2 4 8 4 2" xfId="9610"/>
    <cellStyle name="RowTitles1-Detail 2 4 8 4_Tertiary Salaries Survey" xfId="9611"/>
    <cellStyle name="RowTitles1-Detail 2 4 8 5" xfId="9612"/>
    <cellStyle name="RowTitles1-Detail 2 4 8_Tertiary Salaries Survey" xfId="9613"/>
    <cellStyle name="RowTitles1-Detail 2 4 9" xfId="9614"/>
    <cellStyle name="RowTitles1-Detail 2 4 9 2" xfId="9615"/>
    <cellStyle name="RowTitles1-Detail 2 4 9 2 2" xfId="9616"/>
    <cellStyle name="RowTitles1-Detail 2 4 9 2 2 2" xfId="9617"/>
    <cellStyle name="RowTitles1-Detail 2 4 9 2 2_Tertiary Salaries Survey" xfId="9618"/>
    <cellStyle name="RowTitles1-Detail 2 4 9 2 3" xfId="9619"/>
    <cellStyle name="RowTitles1-Detail 2 4 9 2_Tertiary Salaries Survey" xfId="9620"/>
    <cellStyle name="RowTitles1-Detail 2 4 9 3" xfId="9621"/>
    <cellStyle name="RowTitles1-Detail 2 4 9 3 2" xfId="9622"/>
    <cellStyle name="RowTitles1-Detail 2 4 9 3 2 2" xfId="9623"/>
    <cellStyle name="RowTitles1-Detail 2 4 9 3 2_Tertiary Salaries Survey" xfId="9624"/>
    <cellStyle name="RowTitles1-Detail 2 4 9 3 3" xfId="9625"/>
    <cellStyle name="RowTitles1-Detail 2 4 9 3_Tertiary Salaries Survey" xfId="9626"/>
    <cellStyle name="RowTitles1-Detail 2 4 9 4" xfId="9627"/>
    <cellStyle name="RowTitles1-Detail 2 4 9 4 2" xfId="9628"/>
    <cellStyle name="RowTitles1-Detail 2 4 9 4_Tertiary Salaries Survey" xfId="9629"/>
    <cellStyle name="RowTitles1-Detail 2 4 9 5" xfId="9630"/>
    <cellStyle name="RowTitles1-Detail 2 4 9_Tertiary Salaries Survey" xfId="9631"/>
    <cellStyle name="RowTitles1-Detail 2 4_STUD aligned by INSTIT" xfId="9632"/>
    <cellStyle name="RowTitles1-Detail 2 5" xfId="9633"/>
    <cellStyle name="RowTitles1-Detail 2 5 2" xfId="9634"/>
    <cellStyle name="RowTitles1-Detail 2 5 2 2" xfId="9635"/>
    <cellStyle name="RowTitles1-Detail 2 5 2 2 2" xfId="9636"/>
    <cellStyle name="RowTitles1-Detail 2 5 2 2 2 2" xfId="9637"/>
    <cellStyle name="RowTitles1-Detail 2 5 2 2 2_Tertiary Salaries Survey" xfId="9638"/>
    <cellStyle name="RowTitles1-Detail 2 5 2 2 3" xfId="9639"/>
    <cellStyle name="RowTitles1-Detail 2 5 2 2_Tertiary Salaries Survey" xfId="9640"/>
    <cellStyle name="RowTitles1-Detail 2 5 2 3" xfId="9641"/>
    <cellStyle name="RowTitles1-Detail 2 5 2 3 2" xfId="9642"/>
    <cellStyle name="RowTitles1-Detail 2 5 2 3 2 2" xfId="9643"/>
    <cellStyle name="RowTitles1-Detail 2 5 2 3 2_Tertiary Salaries Survey" xfId="9644"/>
    <cellStyle name="RowTitles1-Detail 2 5 2 3 3" xfId="9645"/>
    <cellStyle name="RowTitles1-Detail 2 5 2 3_Tertiary Salaries Survey" xfId="9646"/>
    <cellStyle name="RowTitles1-Detail 2 5 2 4" xfId="9647"/>
    <cellStyle name="RowTitles1-Detail 2 5 2 5" xfId="9648"/>
    <cellStyle name="RowTitles1-Detail 2 5 2_Tertiary Salaries Survey" xfId="9649"/>
    <cellStyle name="RowTitles1-Detail 2 5 3" xfId="9650"/>
    <cellStyle name="RowTitles1-Detail 2 5 3 2" xfId="9651"/>
    <cellStyle name="RowTitles1-Detail 2 5 3 2 2" xfId="9652"/>
    <cellStyle name="RowTitles1-Detail 2 5 3 2 2 2" xfId="9653"/>
    <cellStyle name="RowTitles1-Detail 2 5 3 2 2_Tertiary Salaries Survey" xfId="9654"/>
    <cellStyle name="RowTitles1-Detail 2 5 3 2 3" xfId="9655"/>
    <cellStyle name="RowTitles1-Detail 2 5 3 2_Tertiary Salaries Survey" xfId="9656"/>
    <cellStyle name="RowTitles1-Detail 2 5 3 3" xfId="9657"/>
    <cellStyle name="RowTitles1-Detail 2 5 3 3 2" xfId="9658"/>
    <cellStyle name="RowTitles1-Detail 2 5 3 3 2 2" xfId="9659"/>
    <cellStyle name="RowTitles1-Detail 2 5 3 3 2_Tertiary Salaries Survey" xfId="9660"/>
    <cellStyle name="RowTitles1-Detail 2 5 3 3 3" xfId="9661"/>
    <cellStyle name="RowTitles1-Detail 2 5 3 3_Tertiary Salaries Survey" xfId="9662"/>
    <cellStyle name="RowTitles1-Detail 2 5 3 4" xfId="9663"/>
    <cellStyle name="RowTitles1-Detail 2 5 3 5" xfId="9664"/>
    <cellStyle name="RowTitles1-Detail 2 5 3 5 2" xfId="9665"/>
    <cellStyle name="RowTitles1-Detail 2 5 3 5_Tertiary Salaries Survey" xfId="9666"/>
    <cellStyle name="RowTitles1-Detail 2 5 3 6" xfId="9667"/>
    <cellStyle name="RowTitles1-Detail 2 5 3_Tertiary Salaries Survey" xfId="9668"/>
    <cellStyle name="RowTitles1-Detail 2 5 4" xfId="9669"/>
    <cellStyle name="RowTitles1-Detail 2 5 4 2" xfId="9670"/>
    <cellStyle name="RowTitles1-Detail 2 5 4 2 2" xfId="9671"/>
    <cellStyle name="RowTitles1-Detail 2 5 4 2 2 2" xfId="9672"/>
    <cellStyle name="RowTitles1-Detail 2 5 4 2 2_Tertiary Salaries Survey" xfId="9673"/>
    <cellStyle name="RowTitles1-Detail 2 5 4 2 3" xfId="9674"/>
    <cellStyle name="RowTitles1-Detail 2 5 4 2_Tertiary Salaries Survey" xfId="9675"/>
    <cellStyle name="RowTitles1-Detail 2 5 4 3" xfId="9676"/>
    <cellStyle name="RowTitles1-Detail 2 5 4 3 2" xfId="9677"/>
    <cellStyle name="RowTitles1-Detail 2 5 4 3 2 2" xfId="9678"/>
    <cellStyle name="RowTitles1-Detail 2 5 4 3 2_Tertiary Salaries Survey" xfId="9679"/>
    <cellStyle name="RowTitles1-Detail 2 5 4 3 3" xfId="9680"/>
    <cellStyle name="RowTitles1-Detail 2 5 4 3_Tertiary Salaries Survey" xfId="9681"/>
    <cellStyle name="RowTitles1-Detail 2 5 4 4" xfId="9682"/>
    <cellStyle name="RowTitles1-Detail 2 5 4 4 2" xfId="9683"/>
    <cellStyle name="RowTitles1-Detail 2 5 4 4_Tertiary Salaries Survey" xfId="9684"/>
    <cellStyle name="RowTitles1-Detail 2 5 4 5" xfId="9685"/>
    <cellStyle name="RowTitles1-Detail 2 5 4_Tertiary Salaries Survey" xfId="9686"/>
    <cellStyle name="RowTitles1-Detail 2 5 5" xfId="9687"/>
    <cellStyle name="RowTitles1-Detail 2 5 5 2" xfId="9688"/>
    <cellStyle name="RowTitles1-Detail 2 5 5 2 2" xfId="9689"/>
    <cellStyle name="RowTitles1-Detail 2 5 5 2 2 2" xfId="9690"/>
    <cellStyle name="RowTitles1-Detail 2 5 5 2 2_Tertiary Salaries Survey" xfId="9691"/>
    <cellStyle name="RowTitles1-Detail 2 5 5 2 3" xfId="9692"/>
    <cellStyle name="RowTitles1-Detail 2 5 5 2_Tertiary Salaries Survey" xfId="9693"/>
    <cellStyle name="RowTitles1-Detail 2 5 5 3" xfId="9694"/>
    <cellStyle name="RowTitles1-Detail 2 5 5 3 2" xfId="9695"/>
    <cellStyle name="RowTitles1-Detail 2 5 5 3 2 2" xfId="9696"/>
    <cellStyle name="RowTitles1-Detail 2 5 5 3 2_Tertiary Salaries Survey" xfId="9697"/>
    <cellStyle name="RowTitles1-Detail 2 5 5 3 3" xfId="9698"/>
    <cellStyle name="RowTitles1-Detail 2 5 5 3_Tertiary Salaries Survey" xfId="9699"/>
    <cellStyle name="RowTitles1-Detail 2 5 5 4" xfId="9700"/>
    <cellStyle name="RowTitles1-Detail 2 5 5 4 2" xfId="9701"/>
    <cellStyle name="RowTitles1-Detail 2 5 5 4_Tertiary Salaries Survey" xfId="9702"/>
    <cellStyle name="RowTitles1-Detail 2 5 5 5" xfId="9703"/>
    <cellStyle name="RowTitles1-Detail 2 5 5_Tertiary Salaries Survey" xfId="9704"/>
    <cellStyle name="RowTitles1-Detail 2 5 6" xfId="9705"/>
    <cellStyle name="RowTitles1-Detail 2 5 6 2" xfId="9706"/>
    <cellStyle name="RowTitles1-Detail 2 5 6 2 2" xfId="9707"/>
    <cellStyle name="RowTitles1-Detail 2 5 6 2 2 2" xfId="9708"/>
    <cellStyle name="RowTitles1-Detail 2 5 6 2 2_Tertiary Salaries Survey" xfId="9709"/>
    <cellStyle name="RowTitles1-Detail 2 5 6 2 3" xfId="9710"/>
    <cellStyle name="RowTitles1-Detail 2 5 6 2_Tertiary Salaries Survey" xfId="9711"/>
    <cellStyle name="RowTitles1-Detail 2 5 6 3" xfId="9712"/>
    <cellStyle name="RowTitles1-Detail 2 5 6 3 2" xfId="9713"/>
    <cellStyle name="RowTitles1-Detail 2 5 6 3 2 2" xfId="9714"/>
    <cellStyle name="RowTitles1-Detail 2 5 6 3 2_Tertiary Salaries Survey" xfId="9715"/>
    <cellStyle name="RowTitles1-Detail 2 5 6 3 3" xfId="9716"/>
    <cellStyle name="RowTitles1-Detail 2 5 6 3_Tertiary Salaries Survey" xfId="9717"/>
    <cellStyle name="RowTitles1-Detail 2 5 6 4" xfId="9718"/>
    <cellStyle name="RowTitles1-Detail 2 5 6 4 2" xfId="9719"/>
    <cellStyle name="RowTitles1-Detail 2 5 6 4_Tertiary Salaries Survey" xfId="9720"/>
    <cellStyle name="RowTitles1-Detail 2 5 6 5" xfId="9721"/>
    <cellStyle name="RowTitles1-Detail 2 5 6_Tertiary Salaries Survey" xfId="9722"/>
    <cellStyle name="RowTitles1-Detail 2 5 7" xfId="9723"/>
    <cellStyle name="RowTitles1-Detail 2 5 7 2" xfId="9724"/>
    <cellStyle name="RowTitles1-Detail 2 5 7 2 2" xfId="9725"/>
    <cellStyle name="RowTitles1-Detail 2 5 7 2_Tertiary Salaries Survey" xfId="9726"/>
    <cellStyle name="RowTitles1-Detail 2 5 7 3" xfId="9727"/>
    <cellStyle name="RowTitles1-Detail 2 5 7_Tertiary Salaries Survey" xfId="9728"/>
    <cellStyle name="RowTitles1-Detail 2 5 8" xfId="9729"/>
    <cellStyle name="RowTitles1-Detail 2 5 9" xfId="9730"/>
    <cellStyle name="RowTitles1-Detail 2 5_STUD aligned by INSTIT" xfId="9731"/>
    <cellStyle name="RowTitles1-Detail 2 6" xfId="9732"/>
    <cellStyle name="RowTitles1-Detail 2 6 2" xfId="9733"/>
    <cellStyle name="RowTitles1-Detail 2 6 2 2" xfId="9734"/>
    <cellStyle name="RowTitles1-Detail 2 6 2 2 2" xfId="9735"/>
    <cellStyle name="RowTitles1-Detail 2 6 2 2 2 2" xfId="9736"/>
    <cellStyle name="RowTitles1-Detail 2 6 2 2 2_Tertiary Salaries Survey" xfId="9737"/>
    <cellStyle name="RowTitles1-Detail 2 6 2 2 3" xfId="9738"/>
    <cellStyle name="RowTitles1-Detail 2 6 2 2_Tertiary Salaries Survey" xfId="9739"/>
    <cellStyle name="RowTitles1-Detail 2 6 2 3" xfId="9740"/>
    <cellStyle name="RowTitles1-Detail 2 6 2 3 2" xfId="9741"/>
    <cellStyle name="RowTitles1-Detail 2 6 2 3 2 2" xfId="9742"/>
    <cellStyle name="RowTitles1-Detail 2 6 2 3 2_Tertiary Salaries Survey" xfId="9743"/>
    <cellStyle name="RowTitles1-Detail 2 6 2 3 3" xfId="9744"/>
    <cellStyle name="RowTitles1-Detail 2 6 2 3_Tertiary Salaries Survey" xfId="9745"/>
    <cellStyle name="RowTitles1-Detail 2 6 2 4" xfId="9746"/>
    <cellStyle name="RowTitles1-Detail 2 6 2 5" xfId="9747"/>
    <cellStyle name="RowTitles1-Detail 2 6 2 5 2" xfId="9748"/>
    <cellStyle name="RowTitles1-Detail 2 6 2 5_Tertiary Salaries Survey" xfId="9749"/>
    <cellStyle name="RowTitles1-Detail 2 6 2 6" xfId="9750"/>
    <cellStyle name="RowTitles1-Detail 2 6 2_Tertiary Salaries Survey" xfId="9751"/>
    <cellStyle name="RowTitles1-Detail 2 6 3" xfId="9752"/>
    <cellStyle name="RowTitles1-Detail 2 6 3 2" xfId="9753"/>
    <cellStyle name="RowTitles1-Detail 2 6 3 2 2" xfId="9754"/>
    <cellStyle name="RowTitles1-Detail 2 6 3 2 2 2" xfId="9755"/>
    <cellStyle name="RowTitles1-Detail 2 6 3 2 2_Tertiary Salaries Survey" xfId="9756"/>
    <cellStyle name="RowTitles1-Detail 2 6 3 2 3" xfId="9757"/>
    <cellStyle name="RowTitles1-Detail 2 6 3 2_Tertiary Salaries Survey" xfId="9758"/>
    <cellStyle name="RowTitles1-Detail 2 6 3 3" xfId="9759"/>
    <cellStyle name="RowTitles1-Detail 2 6 3 3 2" xfId="9760"/>
    <cellStyle name="RowTitles1-Detail 2 6 3 3 2 2" xfId="9761"/>
    <cellStyle name="RowTitles1-Detail 2 6 3 3 2_Tertiary Salaries Survey" xfId="9762"/>
    <cellStyle name="RowTitles1-Detail 2 6 3 3 3" xfId="9763"/>
    <cellStyle name="RowTitles1-Detail 2 6 3 3_Tertiary Salaries Survey" xfId="9764"/>
    <cellStyle name="RowTitles1-Detail 2 6 3 4" xfId="9765"/>
    <cellStyle name="RowTitles1-Detail 2 6 3 5" xfId="9766"/>
    <cellStyle name="RowTitles1-Detail 2 6 3_Tertiary Salaries Survey" xfId="9767"/>
    <cellStyle name="RowTitles1-Detail 2 6 4" xfId="9768"/>
    <cellStyle name="RowTitles1-Detail 2 6 4 2" xfId="9769"/>
    <cellStyle name="RowTitles1-Detail 2 6 4 2 2" xfId="9770"/>
    <cellStyle name="RowTitles1-Detail 2 6 4 2 2 2" xfId="9771"/>
    <cellStyle name="RowTitles1-Detail 2 6 4 2 2_Tertiary Salaries Survey" xfId="9772"/>
    <cellStyle name="RowTitles1-Detail 2 6 4 2 3" xfId="9773"/>
    <cellStyle name="RowTitles1-Detail 2 6 4 2_Tertiary Salaries Survey" xfId="9774"/>
    <cellStyle name="RowTitles1-Detail 2 6 4 3" xfId="9775"/>
    <cellStyle name="RowTitles1-Detail 2 6 4 3 2" xfId="9776"/>
    <cellStyle name="RowTitles1-Detail 2 6 4 3 2 2" xfId="9777"/>
    <cellStyle name="RowTitles1-Detail 2 6 4 3 2_Tertiary Salaries Survey" xfId="9778"/>
    <cellStyle name="RowTitles1-Detail 2 6 4 3 3" xfId="9779"/>
    <cellStyle name="RowTitles1-Detail 2 6 4 3_Tertiary Salaries Survey" xfId="9780"/>
    <cellStyle name="RowTitles1-Detail 2 6 4 4" xfId="9781"/>
    <cellStyle name="RowTitles1-Detail 2 6 4 4 2" xfId="9782"/>
    <cellStyle name="RowTitles1-Detail 2 6 4 4_Tertiary Salaries Survey" xfId="9783"/>
    <cellStyle name="RowTitles1-Detail 2 6 4 5" xfId="9784"/>
    <cellStyle name="RowTitles1-Detail 2 6 4_Tertiary Salaries Survey" xfId="9785"/>
    <cellStyle name="RowTitles1-Detail 2 6 5" xfId="9786"/>
    <cellStyle name="RowTitles1-Detail 2 6 5 2" xfId="9787"/>
    <cellStyle name="RowTitles1-Detail 2 6 5 2 2" xfId="9788"/>
    <cellStyle name="RowTitles1-Detail 2 6 5 2 2 2" xfId="9789"/>
    <cellStyle name="RowTitles1-Detail 2 6 5 2 2_Tertiary Salaries Survey" xfId="9790"/>
    <cellStyle name="RowTitles1-Detail 2 6 5 2 3" xfId="9791"/>
    <cellStyle name="RowTitles1-Detail 2 6 5 2_Tertiary Salaries Survey" xfId="9792"/>
    <cellStyle name="RowTitles1-Detail 2 6 5 3" xfId="9793"/>
    <cellStyle name="RowTitles1-Detail 2 6 5 3 2" xfId="9794"/>
    <cellStyle name="RowTitles1-Detail 2 6 5 3 2 2" xfId="9795"/>
    <cellStyle name="RowTitles1-Detail 2 6 5 3 2_Tertiary Salaries Survey" xfId="9796"/>
    <cellStyle name="RowTitles1-Detail 2 6 5 3 3" xfId="9797"/>
    <cellStyle name="RowTitles1-Detail 2 6 5 3_Tertiary Salaries Survey" xfId="9798"/>
    <cellStyle name="RowTitles1-Detail 2 6 5 4" xfId="9799"/>
    <cellStyle name="RowTitles1-Detail 2 6 5 4 2" xfId="9800"/>
    <cellStyle name="RowTitles1-Detail 2 6 5 4_Tertiary Salaries Survey" xfId="9801"/>
    <cellStyle name="RowTitles1-Detail 2 6 5 5" xfId="9802"/>
    <cellStyle name="RowTitles1-Detail 2 6 5_Tertiary Salaries Survey" xfId="9803"/>
    <cellStyle name="RowTitles1-Detail 2 6 6" xfId="9804"/>
    <cellStyle name="RowTitles1-Detail 2 6 6 2" xfId="9805"/>
    <cellStyle name="RowTitles1-Detail 2 6 6 2 2" xfId="9806"/>
    <cellStyle name="RowTitles1-Detail 2 6 6 2 2 2" xfId="9807"/>
    <cellStyle name="RowTitles1-Detail 2 6 6 2 2_Tertiary Salaries Survey" xfId="9808"/>
    <cellStyle name="RowTitles1-Detail 2 6 6 2 3" xfId="9809"/>
    <cellStyle name="RowTitles1-Detail 2 6 6 2_Tertiary Salaries Survey" xfId="9810"/>
    <cellStyle name="RowTitles1-Detail 2 6 6 3" xfId="9811"/>
    <cellStyle name="RowTitles1-Detail 2 6 6 3 2" xfId="9812"/>
    <cellStyle name="RowTitles1-Detail 2 6 6 3 2 2" xfId="9813"/>
    <cellStyle name="RowTitles1-Detail 2 6 6 3 2_Tertiary Salaries Survey" xfId="9814"/>
    <cellStyle name="RowTitles1-Detail 2 6 6 3 3" xfId="9815"/>
    <cellStyle name="RowTitles1-Detail 2 6 6 3_Tertiary Salaries Survey" xfId="9816"/>
    <cellStyle name="RowTitles1-Detail 2 6 6 4" xfId="9817"/>
    <cellStyle name="RowTitles1-Detail 2 6 6 4 2" xfId="9818"/>
    <cellStyle name="RowTitles1-Detail 2 6 6 4_Tertiary Salaries Survey" xfId="9819"/>
    <cellStyle name="RowTitles1-Detail 2 6 6 5" xfId="9820"/>
    <cellStyle name="RowTitles1-Detail 2 6 6_Tertiary Salaries Survey" xfId="9821"/>
    <cellStyle name="RowTitles1-Detail 2 6 7" xfId="9822"/>
    <cellStyle name="RowTitles1-Detail 2 6 7 2" xfId="9823"/>
    <cellStyle name="RowTitles1-Detail 2 6 7 2 2" xfId="9824"/>
    <cellStyle name="RowTitles1-Detail 2 6 7 2_Tertiary Salaries Survey" xfId="9825"/>
    <cellStyle name="RowTitles1-Detail 2 6 7 3" xfId="9826"/>
    <cellStyle name="RowTitles1-Detail 2 6 7_Tertiary Salaries Survey" xfId="9827"/>
    <cellStyle name="RowTitles1-Detail 2 6 8" xfId="9828"/>
    <cellStyle name="RowTitles1-Detail 2 6 8 2" xfId="9829"/>
    <cellStyle name="RowTitles1-Detail 2 6 8 2 2" xfId="9830"/>
    <cellStyle name="RowTitles1-Detail 2 6 8 2_Tertiary Salaries Survey" xfId="9831"/>
    <cellStyle name="RowTitles1-Detail 2 6 8 3" xfId="9832"/>
    <cellStyle name="RowTitles1-Detail 2 6 8_Tertiary Salaries Survey" xfId="9833"/>
    <cellStyle name="RowTitles1-Detail 2 6 9" xfId="9834"/>
    <cellStyle name="RowTitles1-Detail 2 6_STUD aligned by INSTIT" xfId="9835"/>
    <cellStyle name="RowTitles1-Detail 2 7" xfId="9836"/>
    <cellStyle name="RowTitles1-Detail 2 7 2" xfId="9837"/>
    <cellStyle name="RowTitles1-Detail 2 7 2 2" xfId="9838"/>
    <cellStyle name="RowTitles1-Detail 2 7 2 2 2" xfId="9839"/>
    <cellStyle name="RowTitles1-Detail 2 7 2 2 2 2" xfId="9840"/>
    <cellStyle name="RowTitles1-Detail 2 7 2 2 2_Tertiary Salaries Survey" xfId="9841"/>
    <cellStyle name="RowTitles1-Detail 2 7 2 2 3" xfId="9842"/>
    <cellStyle name="RowTitles1-Detail 2 7 2 2_Tertiary Salaries Survey" xfId="9843"/>
    <cellStyle name="RowTitles1-Detail 2 7 2 3" xfId="9844"/>
    <cellStyle name="RowTitles1-Detail 2 7 2 3 2" xfId="9845"/>
    <cellStyle name="RowTitles1-Detail 2 7 2 3 2 2" xfId="9846"/>
    <cellStyle name="RowTitles1-Detail 2 7 2 3 2_Tertiary Salaries Survey" xfId="9847"/>
    <cellStyle name="RowTitles1-Detail 2 7 2 3 3" xfId="9848"/>
    <cellStyle name="RowTitles1-Detail 2 7 2 3_Tertiary Salaries Survey" xfId="9849"/>
    <cellStyle name="RowTitles1-Detail 2 7 2 4" xfId="9850"/>
    <cellStyle name="RowTitles1-Detail 2 7 2 5" xfId="9851"/>
    <cellStyle name="RowTitles1-Detail 2 7 2_Tertiary Salaries Survey" xfId="9852"/>
    <cellStyle name="RowTitles1-Detail 2 7 3" xfId="9853"/>
    <cellStyle name="RowTitles1-Detail 2 7 3 2" xfId="9854"/>
    <cellStyle name="RowTitles1-Detail 2 7 3 2 2" xfId="9855"/>
    <cellStyle name="RowTitles1-Detail 2 7 3 2 2 2" xfId="9856"/>
    <cellStyle name="RowTitles1-Detail 2 7 3 2 2_Tertiary Salaries Survey" xfId="9857"/>
    <cellStyle name="RowTitles1-Detail 2 7 3 2 3" xfId="9858"/>
    <cellStyle name="RowTitles1-Detail 2 7 3 2_Tertiary Salaries Survey" xfId="9859"/>
    <cellStyle name="RowTitles1-Detail 2 7 3 3" xfId="9860"/>
    <cellStyle name="RowTitles1-Detail 2 7 3 3 2" xfId="9861"/>
    <cellStyle name="RowTitles1-Detail 2 7 3 3 2 2" xfId="9862"/>
    <cellStyle name="RowTitles1-Detail 2 7 3 3 2_Tertiary Salaries Survey" xfId="9863"/>
    <cellStyle name="RowTitles1-Detail 2 7 3 3 3" xfId="9864"/>
    <cellStyle name="RowTitles1-Detail 2 7 3 3_Tertiary Salaries Survey" xfId="9865"/>
    <cellStyle name="RowTitles1-Detail 2 7 3 4" xfId="9866"/>
    <cellStyle name="RowTitles1-Detail 2 7 3 4 2" xfId="9867"/>
    <cellStyle name="RowTitles1-Detail 2 7 3 4_Tertiary Salaries Survey" xfId="9868"/>
    <cellStyle name="RowTitles1-Detail 2 7 3 5" xfId="9869"/>
    <cellStyle name="RowTitles1-Detail 2 7 3_Tertiary Salaries Survey" xfId="9870"/>
    <cellStyle name="RowTitles1-Detail 2 7 4" xfId="9871"/>
    <cellStyle name="RowTitles1-Detail 2 7 4 2" xfId="9872"/>
    <cellStyle name="RowTitles1-Detail 2 7 4 2 2" xfId="9873"/>
    <cellStyle name="RowTitles1-Detail 2 7 4 2 2 2" xfId="9874"/>
    <cellStyle name="RowTitles1-Detail 2 7 4 2 2_Tertiary Salaries Survey" xfId="9875"/>
    <cellStyle name="RowTitles1-Detail 2 7 4 2 3" xfId="9876"/>
    <cellStyle name="RowTitles1-Detail 2 7 4 2_Tertiary Salaries Survey" xfId="9877"/>
    <cellStyle name="RowTitles1-Detail 2 7 4 3" xfId="9878"/>
    <cellStyle name="RowTitles1-Detail 2 7 4 3 2" xfId="9879"/>
    <cellStyle name="RowTitles1-Detail 2 7 4 3 2 2" xfId="9880"/>
    <cellStyle name="RowTitles1-Detail 2 7 4 3 2_Tertiary Salaries Survey" xfId="9881"/>
    <cellStyle name="RowTitles1-Detail 2 7 4 3 3" xfId="9882"/>
    <cellStyle name="RowTitles1-Detail 2 7 4 3_Tertiary Salaries Survey" xfId="9883"/>
    <cellStyle name="RowTitles1-Detail 2 7 4 4" xfId="9884"/>
    <cellStyle name="RowTitles1-Detail 2 7 4 4 2" xfId="9885"/>
    <cellStyle name="RowTitles1-Detail 2 7 4 4_Tertiary Salaries Survey" xfId="9886"/>
    <cellStyle name="RowTitles1-Detail 2 7 4 5" xfId="9887"/>
    <cellStyle name="RowTitles1-Detail 2 7 4_Tertiary Salaries Survey" xfId="9888"/>
    <cellStyle name="RowTitles1-Detail 2 7 5" xfId="9889"/>
    <cellStyle name="RowTitles1-Detail 2 7 5 2" xfId="9890"/>
    <cellStyle name="RowTitles1-Detail 2 7 5 2 2" xfId="9891"/>
    <cellStyle name="RowTitles1-Detail 2 7 5 2 2 2" xfId="9892"/>
    <cellStyle name="RowTitles1-Detail 2 7 5 2 2_Tertiary Salaries Survey" xfId="9893"/>
    <cellStyle name="RowTitles1-Detail 2 7 5 2 3" xfId="9894"/>
    <cellStyle name="RowTitles1-Detail 2 7 5 2_Tertiary Salaries Survey" xfId="9895"/>
    <cellStyle name="RowTitles1-Detail 2 7 5 3" xfId="9896"/>
    <cellStyle name="RowTitles1-Detail 2 7 5 3 2" xfId="9897"/>
    <cellStyle name="RowTitles1-Detail 2 7 5 3 2 2" xfId="9898"/>
    <cellStyle name="RowTitles1-Detail 2 7 5 3 2_Tertiary Salaries Survey" xfId="9899"/>
    <cellStyle name="RowTitles1-Detail 2 7 5 3 3" xfId="9900"/>
    <cellStyle name="RowTitles1-Detail 2 7 5 3_Tertiary Salaries Survey" xfId="9901"/>
    <cellStyle name="RowTitles1-Detail 2 7 5 4" xfId="9902"/>
    <cellStyle name="RowTitles1-Detail 2 7 5 4 2" xfId="9903"/>
    <cellStyle name="RowTitles1-Detail 2 7 5 4_Tertiary Salaries Survey" xfId="9904"/>
    <cellStyle name="RowTitles1-Detail 2 7 5 5" xfId="9905"/>
    <cellStyle name="RowTitles1-Detail 2 7 5_Tertiary Salaries Survey" xfId="9906"/>
    <cellStyle name="RowTitles1-Detail 2 7 6" xfId="9907"/>
    <cellStyle name="RowTitles1-Detail 2 7 6 2" xfId="9908"/>
    <cellStyle name="RowTitles1-Detail 2 7 6 2 2" xfId="9909"/>
    <cellStyle name="RowTitles1-Detail 2 7 6 2 2 2" xfId="9910"/>
    <cellStyle name="RowTitles1-Detail 2 7 6 2 2_Tertiary Salaries Survey" xfId="9911"/>
    <cellStyle name="RowTitles1-Detail 2 7 6 2 3" xfId="9912"/>
    <cellStyle name="RowTitles1-Detail 2 7 6 2_Tertiary Salaries Survey" xfId="9913"/>
    <cellStyle name="RowTitles1-Detail 2 7 6 3" xfId="9914"/>
    <cellStyle name="RowTitles1-Detail 2 7 6 3 2" xfId="9915"/>
    <cellStyle name="RowTitles1-Detail 2 7 6 3 2 2" xfId="9916"/>
    <cellStyle name="RowTitles1-Detail 2 7 6 3 2_Tertiary Salaries Survey" xfId="9917"/>
    <cellStyle name="RowTitles1-Detail 2 7 6 3 3" xfId="9918"/>
    <cellStyle name="RowTitles1-Detail 2 7 6 3_Tertiary Salaries Survey" xfId="9919"/>
    <cellStyle name="RowTitles1-Detail 2 7 6 4" xfId="9920"/>
    <cellStyle name="RowTitles1-Detail 2 7 6 4 2" xfId="9921"/>
    <cellStyle name="RowTitles1-Detail 2 7 6 4_Tertiary Salaries Survey" xfId="9922"/>
    <cellStyle name="RowTitles1-Detail 2 7 6 5" xfId="9923"/>
    <cellStyle name="RowTitles1-Detail 2 7 6_Tertiary Salaries Survey" xfId="9924"/>
    <cellStyle name="RowTitles1-Detail 2 7 7" xfId="9925"/>
    <cellStyle name="RowTitles1-Detail 2 7 7 2" xfId="9926"/>
    <cellStyle name="RowTitles1-Detail 2 7 7 2 2" xfId="9927"/>
    <cellStyle name="RowTitles1-Detail 2 7 7 2_Tertiary Salaries Survey" xfId="9928"/>
    <cellStyle name="RowTitles1-Detail 2 7 7 3" xfId="9929"/>
    <cellStyle name="RowTitles1-Detail 2 7 7_Tertiary Salaries Survey" xfId="9930"/>
    <cellStyle name="RowTitles1-Detail 2 7 8" xfId="9931"/>
    <cellStyle name="RowTitles1-Detail 2 7 8 2" xfId="9932"/>
    <cellStyle name="RowTitles1-Detail 2 7 8 2 2" xfId="9933"/>
    <cellStyle name="RowTitles1-Detail 2 7 8 2_Tertiary Salaries Survey" xfId="9934"/>
    <cellStyle name="RowTitles1-Detail 2 7 8 3" xfId="9935"/>
    <cellStyle name="RowTitles1-Detail 2 7 8_Tertiary Salaries Survey" xfId="9936"/>
    <cellStyle name="RowTitles1-Detail 2 7 9" xfId="9937"/>
    <cellStyle name="RowTitles1-Detail 2 7_STUD aligned by INSTIT" xfId="9938"/>
    <cellStyle name="RowTitles1-Detail 2 8" xfId="9939"/>
    <cellStyle name="RowTitles1-Detail 2 8 2" xfId="9940"/>
    <cellStyle name="RowTitles1-Detail 2 8 2 2" xfId="9941"/>
    <cellStyle name="RowTitles1-Detail 2 8 2 2 2" xfId="9942"/>
    <cellStyle name="RowTitles1-Detail 2 8 2 2_Tertiary Salaries Survey" xfId="9943"/>
    <cellStyle name="RowTitles1-Detail 2 8 2 3" xfId="9944"/>
    <cellStyle name="RowTitles1-Detail 2 8 2_Tertiary Salaries Survey" xfId="9945"/>
    <cellStyle name="RowTitles1-Detail 2 8 3" xfId="9946"/>
    <cellStyle name="RowTitles1-Detail 2 8 3 2" xfId="9947"/>
    <cellStyle name="RowTitles1-Detail 2 8 3 2 2" xfId="9948"/>
    <cellStyle name="RowTitles1-Detail 2 8 3 2_Tertiary Salaries Survey" xfId="9949"/>
    <cellStyle name="RowTitles1-Detail 2 8 3 3" xfId="9950"/>
    <cellStyle name="RowTitles1-Detail 2 8 3_Tertiary Salaries Survey" xfId="9951"/>
    <cellStyle name="RowTitles1-Detail 2 8 4" xfId="9952"/>
    <cellStyle name="RowTitles1-Detail 2 8 5" xfId="9953"/>
    <cellStyle name="RowTitles1-Detail 2 8 5 2" xfId="9954"/>
    <cellStyle name="RowTitles1-Detail 2 8 5_Tertiary Salaries Survey" xfId="9955"/>
    <cellStyle name="RowTitles1-Detail 2 8 6" xfId="9956"/>
    <cellStyle name="RowTitles1-Detail 2 8_Tertiary Salaries Survey" xfId="9957"/>
    <cellStyle name="RowTitles1-Detail 2 9" xfId="9958"/>
    <cellStyle name="RowTitles1-Detail 2 9 2" xfId="9959"/>
    <cellStyle name="RowTitles1-Detail 2 9 2 2" xfId="9960"/>
    <cellStyle name="RowTitles1-Detail 2 9 2 2 2" xfId="9961"/>
    <cellStyle name="RowTitles1-Detail 2 9 2 2_Tertiary Salaries Survey" xfId="9962"/>
    <cellStyle name="RowTitles1-Detail 2 9 2 3" xfId="9963"/>
    <cellStyle name="RowTitles1-Detail 2 9 2_Tertiary Salaries Survey" xfId="9964"/>
    <cellStyle name="RowTitles1-Detail 2 9 3" xfId="9965"/>
    <cellStyle name="RowTitles1-Detail 2 9 3 2" xfId="9966"/>
    <cellStyle name="RowTitles1-Detail 2 9 3 2 2" xfId="9967"/>
    <cellStyle name="RowTitles1-Detail 2 9 3 2_Tertiary Salaries Survey" xfId="9968"/>
    <cellStyle name="RowTitles1-Detail 2 9 3 3" xfId="9969"/>
    <cellStyle name="RowTitles1-Detail 2 9 3_Tertiary Salaries Survey" xfId="9970"/>
    <cellStyle name="RowTitles1-Detail 2 9 4" xfId="9971"/>
    <cellStyle name="RowTitles1-Detail 2 9 5" xfId="9972"/>
    <cellStyle name="RowTitles1-Detail 2 9_Tertiary Salaries Survey" xfId="9973"/>
    <cellStyle name="RowTitles1-Detail 2_STUD aligned by INSTIT" xfId="9974"/>
    <cellStyle name="RowTitles1-Detail 20" xfId="29675"/>
    <cellStyle name="RowTitles1-Detail 20 2" xfId="29676"/>
    <cellStyle name="RowTitles1-Detail 21" xfId="29677"/>
    <cellStyle name="RowTitles1-Detail 21 2" xfId="29678"/>
    <cellStyle name="RowTitles1-Detail 22" xfId="29679"/>
    <cellStyle name="RowTitles1-Detail 23" xfId="29680"/>
    <cellStyle name="RowTitles1-Detail 24" xfId="29681"/>
    <cellStyle name="RowTitles1-Detail 25" xfId="29682"/>
    <cellStyle name="RowTitles1-Detail 26" xfId="29683"/>
    <cellStyle name="RowTitles1-Detail 27" xfId="29684"/>
    <cellStyle name="RowTitles1-Detail 28" xfId="29685"/>
    <cellStyle name="RowTitles1-Detail 29" xfId="29686"/>
    <cellStyle name="RowTitles1-Detail 3" xfId="9975"/>
    <cellStyle name="RowTitles1-Detail 3 10" xfId="9976"/>
    <cellStyle name="RowTitles1-Detail 3 10 2" xfId="9977"/>
    <cellStyle name="RowTitles1-Detail 3 10 2 2" xfId="9978"/>
    <cellStyle name="RowTitles1-Detail 3 10 2 2 2" xfId="9979"/>
    <cellStyle name="RowTitles1-Detail 3 10 2 2_Tertiary Salaries Survey" xfId="9980"/>
    <cellStyle name="RowTitles1-Detail 3 10 2 3" xfId="9981"/>
    <cellStyle name="RowTitles1-Detail 3 10 2_Tertiary Salaries Survey" xfId="9982"/>
    <cellStyle name="RowTitles1-Detail 3 10 3" xfId="9983"/>
    <cellStyle name="RowTitles1-Detail 3 10 3 2" xfId="9984"/>
    <cellStyle name="RowTitles1-Detail 3 10 3 2 2" xfId="9985"/>
    <cellStyle name="RowTitles1-Detail 3 10 3 2_Tertiary Salaries Survey" xfId="9986"/>
    <cellStyle name="RowTitles1-Detail 3 10 3 3" xfId="9987"/>
    <cellStyle name="RowTitles1-Detail 3 10 3_Tertiary Salaries Survey" xfId="9988"/>
    <cellStyle name="RowTitles1-Detail 3 10 4" xfId="9989"/>
    <cellStyle name="RowTitles1-Detail 3 10 4 2" xfId="9990"/>
    <cellStyle name="RowTitles1-Detail 3 10 4_Tertiary Salaries Survey" xfId="9991"/>
    <cellStyle name="RowTitles1-Detail 3 10 5" xfId="9992"/>
    <cellStyle name="RowTitles1-Detail 3 10_Tertiary Salaries Survey" xfId="9993"/>
    <cellStyle name="RowTitles1-Detail 3 11" xfId="9994"/>
    <cellStyle name="RowTitles1-Detail 3 11 2" xfId="9995"/>
    <cellStyle name="RowTitles1-Detail 3 11 2 2" xfId="9996"/>
    <cellStyle name="RowTitles1-Detail 3 11 2 2 2" xfId="9997"/>
    <cellStyle name="RowTitles1-Detail 3 11 2 2_Tertiary Salaries Survey" xfId="9998"/>
    <cellStyle name="RowTitles1-Detail 3 11 2 3" xfId="9999"/>
    <cellStyle name="RowTitles1-Detail 3 11 2_Tertiary Salaries Survey" xfId="10000"/>
    <cellStyle name="RowTitles1-Detail 3 11 3" xfId="10001"/>
    <cellStyle name="RowTitles1-Detail 3 11 3 2" xfId="10002"/>
    <cellStyle name="RowTitles1-Detail 3 11 3 2 2" xfId="10003"/>
    <cellStyle name="RowTitles1-Detail 3 11 3 2_Tertiary Salaries Survey" xfId="10004"/>
    <cellStyle name="RowTitles1-Detail 3 11 3 3" xfId="10005"/>
    <cellStyle name="RowTitles1-Detail 3 11 3_Tertiary Salaries Survey" xfId="10006"/>
    <cellStyle name="RowTitles1-Detail 3 11 4" xfId="10007"/>
    <cellStyle name="RowTitles1-Detail 3 11 4 2" xfId="10008"/>
    <cellStyle name="RowTitles1-Detail 3 11 4_Tertiary Salaries Survey" xfId="10009"/>
    <cellStyle name="RowTitles1-Detail 3 11 5" xfId="10010"/>
    <cellStyle name="RowTitles1-Detail 3 11_Tertiary Salaries Survey" xfId="10011"/>
    <cellStyle name="RowTitles1-Detail 3 12" xfId="10012"/>
    <cellStyle name="RowTitles1-Detail 3 12 2" xfId="10013"/>
    <cellStyle name="RowTitles1-Detail 3 12 2 2" xfId="10014"/>
    <cellStyle name="RowTitles1-Detail 3 12 2_Tertiary Salaries Survey" xfId="10015"/>
    <cellStyle name="RowTitles1-Detail 3 12 3" xfId="10016"/>
    <cellStyle name="RowTitles1-Detail 3 12_Tertiary Salaries Survey" xfId="10017"/>
    <cellStyle name="RowTitles1-Detail 3 13" xfId="10018"/>
    <cellStyle name="RowTitles1-Detail 3 14" xfId="10019"/>
    <cellStyle name="RowTitles1-Detail 3 15" xfId="10020"/>
    <cellStyle name="RowTitles1-Detail 3 2" xfId="10021"/>
    <cellStyle name="RowTitles1-Detail 3 2 10" xfId="10022"/>
    <cellStyle name="RowTitles1-Detail 3 2 10 2" xfId="10023"/>
    <cellStyle name="RowTitles1-Detail 3 2 10 2 2" xfId="10024"/>
    <cellStyle name="RowTitles1-Detail 3 2 10 2 2 2" xfId="10025"/>
    <cellStyle name="RowTitles1-Detail 3 2 10 2 2_Tertiary Salaries Survey" xfId="10026"/>
    <cellStyle name="RowTitles1-Detail 3 2 10 2 3" xfId="10027"/>
    <cellStyle name="RowTitles1-Detail 3 2 10 2_Tertiary Salaries Survey" xfId="10028"/>
    <cellStyle name="RowTitles1-Detail 3 2 10 3" xfId="10029"/>
    <cellStyle name="RowTitles1-Detail 3 2 10 3 2" xfId="10030"/>
    <cellStyle name="RowTitles1-Detail 3 2 10 3 2 2" xfId="10031"/>
    <cellStyle name="RowTitles1-Detail 3 2 10 3 2_Tertiary Salaries Survey" xfId="10032"/>
    <cellStyle name="RowTitles1-Detail 3 2 10 3 3" xfId="10033"/>
    <cellStyle name="RowTitles1-Detail 3 2 10 3_Tertiary Salaries Survey" xfId="10034"/>
    <cellStyle name="RowTitles1-Detail 3 2 10 4" xfId="10035"/>
    <cellStyle name="RowTitles1-Detail 3 2 10 4 2" xfId="10036"/>
    <cellStyle name="RowTitles1-Detail 3 2 10 4_Tertiary Salaries Survey" xfId="10037"/>
    <cellStyle name="RowTitles1-Detail 3 2 10 5" xfId="10038"/>
    <cellStyle name="RowTitles1-Detail 3 2 10_Tertiary Salaries Survey" xfId="10039"/>
    <cellStyle name="RowTitles1-Detail 3 2 11" xfId="10040"/>
    <cellStyle name="RowTitles1-Detail 3 2 11 2" xfId="10041"/>
    <cellStyle name="RowTitles1-Detail 3 2 11 2 2" xfId="10042"/>
    <cellStyle name="RowTitles1-Detail 3 2 11 2_Tertiary Salaries Survey" xfId="10043"/>
    <cellStyle name="RowTitles1-Detail 3 2 11 3" xfId="10044"/>
    <cellStyle name="RowTitles1-Detail 3 2 11_Tertiary Salaries Survey" xfId="10045"/>
    <cellStyle name="RowTitles1-Detail 3 2 12" xfId="10046"/>
    <cellStyle name="RowTitles1-Detail 3 2 13" xfId="10047"/>
    <cellStyle name="RowTitles1-Detail 3 2 2" xfId="10048"/>
    <cellStyle name="RowTitles1-Detail 3 2 2 10" xfId="10049"/>
    <cellStyle name="RowTitles1-Detail 3 2 2 10 2" xfId="10050"/>
    <cellStyle name="RowTitles1-Detail 3 2 2 10 2 2" xfId="10051"/>
    <cellStyle name="RowTitles1-Detail 3 2 2 10 2_Tertiary Salaries Survey" xfId="10052"/>
    <cellStyle name="RowTitles1-Detail 3 2 2 10 3" xfId="10053"/>
    <cellStyle name="RowTitles1-Detail 3 2 2 10_Tertiary Salaries Survey" xfId="10054"/>
    <cellStyle name="RowTitles1-Detail 3 2 2 11" xfId="10055"/>
    <cellStyle name="RowTitles1-Detail 3 2 2 12" xfId="10056"/>
    <cellStyle name="RowTitles1-Detail 3 2 2 2" xfId="10057"/>
    <cellStyle name="RowTitles1-Detail 3 2 2 2 2" xfId="10058"/>
    <cellStyle name="RowTitles1-Detail 3 2 2 2 2 2" xfId="10059"/>
    <cellStyle name="RowTitles1-Detail 3 2 2 2 2 2 2" xfId="10060"/>
    <cellStyle name="RowTitles1-Detail 3 2 2 2 2 2 2 2" xfId="10061"/>
    <cellStyle name="RowTitles1-Detail 3 2 2 2 2 2 2_Tertiary Salaries Survey" xfId="10062"/>
    <cellStyle name="RowTitles1-Detail 3 2 2 2 2 2 3" xfId="10063"/>
    <cellStyle name="RowTitles1-Detail 3 2 2 2 2 2_Tertiary Salaries Survey" xfId="10064"/>
    <cellStyle name="RowTitles1-Detail 3 2 2 2 2 3" xfId="10065"/>
    <cellStyle name="RowTitles1-Detail 3 2 2 2 2 3 2" xfId="10066"/>
    <cellStyle name="RowTitles1-Detail 3 2 2 2 2 3 2 2" xfId="10067"/>
    <cellStyle name="RowTitles1-Detail 3 2 2 2 2 3 2_Tertiary Salaries Survey" xfId="10068"/>
    <cellStyle name="RowTitles1-Detail 3 2 2 2 2 3 3" xfId="10069"/>
    <cellStyle name="RowTitles1-Detail 3 2 2 2 2 3_Tertiary Salaries Survey" xfId="10070"/>
    <cellStyle name="RowTitles1-Detail 3 2 2 2 2 4" xfId="10071"/>
    <cellStyle name="RowTitles1-Detail 3 2 2 2 2 5" xfId="10072"/>
    <cellStyle name="RowTitles1-Detail 3 2 2 2 2_Tertiary Salaries Survey" xfId="10073"/>
    <cellStyle name="RowTitles1-Detail 3 2 2 2 3" xfId="10074"/>
    <cellStyle name="RowTitles1-Detail 3 2 2 2 3 2" xfId="10075"/>
    <cellStyle name="RowTitles1-Detail 3 2 2 2 3 2 2" xfId="10076"/>
    <cellStyle name="RowTitles1-Detail 3 2 2 2 3 2 2 2" xfId="10077"/>
    <cellStyle name="RowTitles1-Detail 3 2 2 2 3 2 2_Tertiary Salaries Survey" xfId="10078"/>
    <cellStyle name="RowTitles1-Detail 3 2 2 2 3 2 3" xfId="10079"/>
    <cellStyle name="RowTitles1-Detail 3 2 2 2 3 2_Tertiary Salaries Survey" xfId="10080"/>
    <cellStyle name="RowTitles1-Detail 3 2 2 2 3 3" xfId="10081"/>
    <cellStyle name="RowTitles1-Detail 3 2 2 2 3 3 2" xfId="10082"/>
    <cellStyle name="RowTitles1-Detail 3 2 2 2 3 3 2 2" xfId="10083"/>
    <cellStyle name="RowTitles1-Detail 3 2 2 2 3 3 2_Tertiary Salaries Survey" xfId="10084"/>
    <cellStyle name="RowTitles1-Detail 3 2 2 2 3 3 3" xfId="10085"/>
    <cellStyle name="RowTitles1-Detail 3 2 2 2 3 3_Tertiary Salaries Survey" xfId="10086"/>
    <cellStyle name="RowTitles1-Detail 3 2 2 2 3 4" xfId="10087"/>
    <cellStyle name="RowTitles1-Detail 3 2 2 2 3 5" xfId="10088"/>
    <cellStyle name="RowTitles1-Detail 3 2 2 2 3 5 2" xfId="10089"/>
    <cellStyle name="RowTitles1-Detail 3 2 2 2 3 5_Tertiary Salaries Survey" xfId="10090"/>
    <cellStyle name="RowTitles1-Detail 3 2 2 2 3 6" xfId="10091"/>
    <cellStyle name="RowTitles1-Detail 3 2 2 2 3_Tertiary Salaries Survey" xfId="10092"/>
    <cellStyle name="RowTitles1-Detail 3 2 2 2 4" xfId="10093"/>
    <cellStyle name="RowTitles1-Detail 3 2 2 2 4 2" xfId="10094"/>
    <cellStyle name="RowTitles1-Detail 3 2 2 2 4 2 2" xfId="10095"/>
    <cellStyle name="RowTitles1-Detail 3 2 2 2 4 2 2 2" xfId="10096"/>
    <cellStyle name="RowTitles1-Detail 3 2 2 2 4 2 2_Tertiary Salaries Survey" xfId="10097"/>
    <cellStyle name="RowTitles1-Detail 3 2 2 2 4 2 3" xfId="10098"/>
    <cellStyle name="RowTitles1-Detail 3 2 2 2 4 2_Tertiary Salaries Survey" xfId="10099"/>
    <cellStyle name="RowTitles1-Detail 3 2 2 2 4 3" xfId="10100"/>
    <cellStyle name="RowTitles1-Detail 3 2 2 2 4 3 2" xfId="10101"/>
    <cellStyle name="RowTitles1-Detail 3 2 2 2 4 3 2 2" xfId="10102"/>
    <cellStyle name="RowTitles1-Detail 3 2 2 2 4 3 2_Tertiary Salaries Survey" xfId="10103"/>
    <cellStyle name="RowTitles1-Detail 3 2 2 2 4 3 3" xfId="10104"/>
    <cellStyle name="RowTitles1-Detail 3 2 2 2 4 3_Tertiary Salaries Survey" xfId="10105"/>
    <cellStyle name="RowTitles1-Detail 3 2 2 2 4 4" xfId="10106"/>
    <cellStyle name="RowTitles1-Detail 3 2 2 2 4 4 2" xfId="10107"/>
    <cellStyle name="RowTitles1-Detail 3 2 2 2 4 4_Tertiary Salaries Survey" xfId="10108"/>
    <cellStyle name="RowTitles1-Detail 3 2 2 2 4 5" xfId="10109"/>
    <cellStyle name="RowTitles1-Detail 3 2 2 2 4_Tertiary Salaries Survey" xfId="10110"/>
    <cellStyle name="RowTitles1-Detail 3 2 2 2 5" xfId="10111"/>
    <cellStyle name="RowTitles1-Detail 3 2 2 2 5 2" xfId="10112"/>
    <cellStyle name="RowTitles1-Detail 3 2 2 2 5 2 2" xfId="10113"/>
    <cellStyle name="RowTitles1-Detail 3 2 2 2 5 2 2 2" xfId="10114"/>
    <cellStyle name="RowTitles1-Detail 3 2 2 2 5 2 2_Tertiary Salaries Survey" xfId="10115"/>
    <cellStyle name="RowTitles1-Detail 3 2 2 2 5 2 3" xfId="10116"/>
    <cellStyle name="RowTitles1-Detail 3 2 2 2 5 2_Tertiary Salaries Survey" xfId="10117"/>
    <cellStyle name="RowTitles1-Detail 3 2 2 2 5 3" xfId="10118"/>
    <cellStyle name="RowTitles1-Detail 3 2 2 2 5 3 2" xfId="10119"/>
    <cellStyle name="RowTitles1-Detail 3 2 2 2 5 3 2 2" xfId="10120"/>
    <cellStyle name="RowTitles1-Detail 3 2 2 2 5 3 2_Tertiary Salaries Survey" xfId="10121"/>
    <cellStyle name="RowTitles1-Detail 3 2 2 2 5 3 3" xfId="10122"/>
    <cellStyle name="RowTitles1-Detail 3 2 2 2 5 3_Tertiary Salaries Survey" xfId="10123"/>
    <cellStyle name="RowTitles1-Detail 3 2 2 2 5 4" xfId="10124"/>
    <cellStyle name="RowTitles1-Detail 3 2 2 2 5 4 2" xfId="10125"/>
    <cellStyle name="RowTitles1-Detail 3 2 2 2 5 4_Tertiary Salaries Survey" xfId="10126"/>
    <cellStyle name="RowTitles1-Detail 3 2 2 2 5 5" xfId="10127"/>
    <cellStyle name="RowTitles1-Detail 3 2 2 2 5_Tertiary Salaries Survey" xfId="10128"/>
    <cellStyle name="RowTitles1-Detail 3 2 2 2 6" xfId="10129"/>
    <cellStyle name="RowTitles1-Detail 3 2 2 2 6 2" xfId="10130"/>
    <cellStyle name="RowTitles1-Detail 3 2 2 2 6 2 2" xfId="10131"/>
    <cellStyle name="RowTitles1-Detail 3 2 2 2 6 2 2 2" xfId="10132"/>
    <cellStyle name="RowTitles1-Detail 3 2 2 2 6 2 2_Tertiary Salaries Survey" xfId="10133"/>
    <cellStyle name="RowTitles1-Detail 3 2 2 2 6 2 3" xfId="10134"/>
    <cellStyle name="RowTitles1-Detail 3 2 2 2 6 2_Tertiary Salaries Survey" xfId="10135"/>
    <cellStyle name="RowTitles1-Detail 3 2 2 2 6 3" xfId="10136"/>
    <cellStyle name="RowTitles1-Detail 3 2 2 2 6 3 2" xfId="10137"/>
    <cellStyle name="RowTitles1-Detail 3 2 2 2 6 3 2 2" xfId="10138"/>
    <cellStyle name="RowTitles1-Detail 3 2 2 2 6 3 2_Tertiary Salaries Survey" xfId="10139"/>
    <cellStyle name="RowTitles1-Detail 3 2 2 2 6 3 3" xfId="10140"/>
    <cellStyle name="RowTitles1-Detail 3 2 2 2 6 3_Tertiary Salaries Survey" xfId="10141"/>
    <cellStyle name="RowTitles1-Detail 3 2 2 2 6 4" xfId="10142"/>
    <cellStyle name="RowTitles1-Detail 3 2 2 2 6 4 2" xfId="10143"/>
    <cellStyle name="RowTitles1-Detail 3 2 2 2 6 4_Tertiary Salaries Survey" xfId="10144"/>
    <cellStyle name="RowTitles1-Detail 3 2 2 2 6 5" xfId="10145"/>
    <cellStyle name="RowTitles1-Detail 3 2 2 2 6_Tertiary Salaries Survey" xfId="10146"/>
    <cellStyle name="RowTitles1-Detail 3 2 2 2 7" xfId="10147"/>
    <cellStyle name="RowTitles1-Detail 3 2 2 2 7 2" xfId="10148"/>
    <cellStyle name="RowTitles1-Detail 3 2 2 2 7 2 2" xfId="10149"/>
    <cellStyle name="RowTitles1-Detail 3 2 2 2 7 2_Tertiary Salaries Survey" xfId="10150"/>
    <cellStyle name="RowTitles1-Detail 3 2 2 2 7 3" xfId="10151"/>
    <cellStyle name="RowTitles1-Detail 3 2 2 2 7_Tertiary Salaries Survey" xfId="10152"/>
    <cellStyle name="RowTitles1-Detail 3 2 2 2 8" xfId="10153"/>
    <cellStyle name="RowTitles1-Detail 3 2 2 2 9" xfId="10154"/>
    <cellStyle name="RowTitles1-Detail 3 2 2 2_STUD aligned by INSTIT" xfId="10155"/>
    <cellStyle name="RowTitles1-Detail 3 2 2 3" xfId="10156"/>
    <cellStyle name="RowTitles1-Detail 3 2 2 3 2" xfId="10157"/>
    <cellStyle name="RowTitles1-Detail 3 2 2 3 2 2" xfId="10158"/>
    <cellStyle name="RowTitles1-Detail 3 2 2 3 2 2 2" xfId="10159"/>
    <cellStyle name="RowTitles1-Detail 3 2 2 3 2 2 2 2" xfId="10160"/>
    <cellStyle name="RowTitles1-Detail 3 2 2 3 2 2 2_Tertiary Salaries Survey" xfId="10161"/>
    <cellStyle name="RowTitles1-Detail 3 2 2 3 2 2 3" xfId="10162"/>
    <cellStyle name="RowTitles1-Detail 3 2 2 3 2 2_Tertiary Salaries Survey" xfId="10163"/>
    <cellStyle name="RowTitles1-Detail 3 2 2 3 2 3" xfId="10164"/>
    <cellStyle name="RowTitles1-Detail 3 2 2 3 2 3 2" xfId="10165"/>
    <cellStyle name="RowTitles1-Detail 3 2 2 3 2 3 2 2" xfId="10166"/>
    <cellStyle name="RowTitles1-Detail 3 2 2 3 2 3 2_Tertiary Salaries Survey" xfId="10167"/>
    <cellStyle name="RowTitles1-Detail 3 2 2 3 2 3 3" xfId="10168"/>
    <cellStyle name="RowTitles1-Detail 3 2 2 3 2 3_Tertiary Salaries Survey" xfId="10169"/>
    <cellStyle name="RowTitles1-Detail 3 2 2 3 2 4" xfId="10170"/>
    <cellStyle name="RowTitles1-Detail 3 2 2 3 2 5" xfId="10171"/>
    <cellStyle name="RowTitles1-Detail 3 2 2 3 2 5 2" xfId="10172"/>
    <cellStyle name="RowTitles1-Detail 3 2 2 3 2 5_Tertiary Salaries Survey" xfId="10173"/>
    <cellStyle name="RowTitles1-Detail 3 2 2 3 2 6" xfId="10174"/>
    <cellStyle name="RowTitles1-Detail 3 2 2 3 2_Tertiary Salaries Survey" xfId="10175"/>
    <cellStyle name="RowTitles1-Detail 3 2 2 3 3" xfId="10176"/>
    <cellStyle name="RowTitles1-Detail 3 2 2 3 3 2" xfId="10177"/>
    <cellStyle name="RowTitles1-Detail 3 2 2 3 3 2 2" xfId="10178"/>
    <cellStyle name="RowTitles1-Detail 3 2 2 3 3 2 2 2" xfId="10179"/>
    <cellStyle name="RowTitles1-Detail 3 2 2 3 3 2 2_Tertiary Salaries Survey" xfId="10180"/>
    <cellStyle name="RowTitles1-Detail 3 2 2 3 3 2 3" xfId="10181"/>
    <cellStyle name="RowTitles1-Detail 3 2 2 3 3 2_Tertiary Salaries Survey" xfId="10182"/>
    <cellStyle name="RowTitles1-Detail 3 2 2 3 3 3" xfId="10183"/>
    <cellStyle name="RowTitles1-Detail 3 2 2 3 3 3 2" xfId="10184"/>
    <cellStyle name="RowTitles1-Detail 3 2 2 3 3 3 2 2" xfId="10185"/>
    <cellStyle name="RowTitles1-Detail 3 2 2 3 3 3 2_Tertiary Salaries Survey" xfId="10186"/>
    <cellStyle name="RowTitles1-Detail 3 2 2 3 3 3 3" xfId="10187"/>
    <cellStyle name="RowTitles1-Detail 3 2 2 3 3 3_Tertiary Salaries Survey" xfId="10188"/>
    <cellStyle name="RowTitles1-Detail 3 2 2 3 3 4" xfId="10189"/>
    <cellStyle name="RowTitles1-Detail 3 2 2 3 3 5" xfId="10190"/>
    <cellStyle name="RowTitles1-Detail 3 2 2 3 3_Tertiary Salaries Survey" xfId="10191"/>
    <cellStyle name="RowTitles1-Detail 3 2 2 3 4" xfId="10192"/>
    <cellStyle name="RowTitles1-Detail 3 2 2 3 4 2" xfId="10193"/>
    <cellStyle name="RowTitles1-Detail 3 2 2 3 4 2 2" xfId="10194"/>
    <cellStyle name="RowTitles1-Detail 3 2 2 3 4 2 2 2" xfId="10195"/>
    <cellStyle name="RowTitles1-Detail 3 2 2 3 4 2 2_Tertiary Salaries Survey" xfId="10196"/>
    <cellStyle name="RowTitles1-Detail 3 2 2 3 4 2 3" xfId="10197"/>
    <cellStyle name="RowTitles1-Detail 3 2 2 3 4 2_Tertiary Salaries Survey" xfId="10198"/>
    <cellStyle name="RowTitles1-Detail 3 2 2 3 4 3" xfId="10199"/>
    <cellStyle name="RowTitles1-Detail 3 2 2 3 4 3 2" xfId="10200"/>
    <cellStyle name="RowTitles1-Detail 3 2 2 3 4 3 2 2" xfId="10201"/>
    <cellStyle name="RowTitles1-Detail 3 2 2 3 4 3 2_Tertiary Salaries Survey" xfId="10202"/>
    <cellStyle name="RowTitles1-Detail 3 2 2 3 4 3 3" xfId="10203"/>
    <cellStyle name="RowTitles1-Detail 3 2 2 3 4 3_Tertiary Salaries Survey" xfId="10204"/>
    <cellStyle name="RowTitles1-Detail 3 2 2 3 4 4" xfId="10205"/>
    <cellStyle name="RowTitles1-Detail 3 2 2 3 4 4 2" xfId="10206"/>
    <cellStyle name="RowTitles1-Detail 3 2 2 3 4 4_Tertiary Salaries Survey" xfId="10207"/>
    <cellStyle name="RowTitles1-Detail 3 2 2 3 4 5" xfId="10208"/>
    <cellStyle name="RowTitles1-Detail 3 2 2 3 4_Tertiary Salaries Survey" xfId="10209"/>
    <cellStyle name="RowTitles1-Detail 3 2 2 3 5" xfId="10210"/>
    <cellStyle name="RowTitles1-Detail 3 2 2 3 5 2" xfId="10211"/>
    <cellStyle name="RowTitles1-Detail 3 2 2 3 5 2 2" xfId="10212"/>
    <cellStyle name="RowTitles1-Detail 3 2 2 3 5 2 2 2" xfId="10213"/>
    <cellStyle name="RowTitles1-Detail 3 2 2 3 5 2 2_Tertiary Salaries Survey" xfId="10214"/>
    <cellStyle name="RowTitles1-Detail 3 2 2 3 5 2 3" xfId="10215"/>
    <cellStyle name="RowTitles1-Detail 3 2 2 3 5 2_Tertiary Salaries Survey" xfId="10216"/>
    <cellStyle name="RowTitles1-Detail 3 2 2 3 5 3" xfId="10217"/>
    <cellStyle name="RowTitles1-Detail 3 2 2 3 5 3 2" xfId="10218"/>
    <cellStyle name="RowTitles1-Detail 3 2 2 3 5 3 2 2" xfId="10219"/>
    <cellStyle name="RowTitles1-Detail 3 2 2 3 5 3 2_Tertiary Salaries Survey" xfId="10220"/>
    <cellStyle name="RowTitles1-Detail 3 2 2 3 5 3 3" xfId="10221"/>
    <cellStyle name="RowTitles1-Detail 3 2 2 3 5 3_Tertiary Salaries Survey" xfId="10222"/>
    <cellStyle name="RowTitles1-Detail 3 2 2 3 5 4" xfId="10223"/>
    <cellStyle name="RowTitles1-Detail 3 2 2 3 5 4 2" xfId="10224"/>
    <cellStyle name="RowTitles1-Detail 3 2 2 3 5 4_Tertiary Salaries Survey" xfId="10225"/>
    <cellStyle name="RowTitles1-Detail 3 2 2 3 5 5" xfId="10226"/>
    <cellStyle name="RowTitles1-Detail 3 2 2 3 5_Tertiary Salaries Survey" xfId="10227"/>
    <cellStyle name="RowTitles1-Detail 3 2 2 3 6" xfId="10228"/>
    <cellStyle name="RowTitles1-Detail 3 2 2 3 6 2" xfId="10229"/>
    <cellStyle name="RowTitles1-Detail 3 2 2 3 6 2 2" xfId="10230"/>
    <cellStyle name="RowTitles1-Detail 3 2 2 3 6 2 2 2" xfId="10231"/>
    <cellStyle name="RowTitles1-Detail 3 2 2 3 6 2 2_Tertiary Salaries Survey" xfId="10232"/>
    <cellStyle name="RowTitles1-Detail 3 2 2 3 6 2 3" xfId="10233"/>
    <cellStyle name="RowTitles1-Detail 3 2 2 3 6 2_Tertiary Salaries Survey" xfId="10234"/>
    <cellStyle name="RowTitles1-Detail 3 2 2 3 6 3" xfId="10235"/>
    <cellStyle name="RowTitles1-Detail 3 2 2 3 6 3 2" xfId="10236"/>
    <cellStyle name="RowTitles1-Detail 3 2 2 3 6 3 2 2" xfId="10237"/>
    <cellStyle name="RowTitles1-Detail 3 2 2 3 6 3 2_Tertiary Salaries Survey" xfId="10238"/>
    <cellStyle name="RowTitles1-Detail 3 2 2 3 6 3 3" xfId="10239"/>
    <cellStyle name="RowTitles1-Detail 3 2 2 3 6 3_Tertiary Salaries Survey" xfId="10240"/>
    <cellStyle name="RowTitles1-Detail 3 2 2 3 6 4" xfId="10241"/>
    <cellStyle name="RowTitles1-Detail 3 2 2 3 6 4 2" xfId="10242"/>
    <cellStyle name="RowTitles1-Detail 3 2 2 3 6 4_Tertiary Salaries Survey" xfId="10243"/>
    <cellStyle name="RowTitles1-Detail 3 2 2 3 6 5" xfId="10244"/>
    <cellStyle name="RowTitles1-Detail 3 2 2 3 6_Tertiary Salaries Survey" xfId="10245"/>
    <cellStyle name="RowTitles1-Detail 3 2 2 3 7" xfId="10246"/>
    <cellStyle name="RowTitles1-Detail 3 2 2 3 7 2" xfId="10247"/>
    <cellStyle name="RowTitles1-Detail 3 2 2 3 7 2 2" xfId="10248"/>
    <cellStyle name="RowTitles1-Detail 3 2 2 3 7 2_Tertiary Salaries Survey" xfId="10249"/>
    <cellStyle name="RowTitles1-Detail 3 2 2 3 7 3" xfId="10250"/>
    <cellStyle name="RowTitles1-Detail 3 2 2 3 7_Tertiary Salaries Survey" xfId="10251"/>
    <cellStyle name="RowTitles1-Detail 3 2 2 3 8" xfId="10252"/>
    <cellStyle name="RowTitles1-Detail 3 2 2 3 8 2" xfId="10253"/>
    <cellStyle name="RowTitles1-Detail 3 2 2 3 8 2 2" xfId="10254"/>
    <cellStyle name="RowTitles1-Detail 3 2 2 3 8 2_Tertiary Salaries Survey" xfId="10255"/>
    <cellStyle name="RowTitles1-Detail 3 2 2 3 8 3" xfId="10256"/>
    <cellStyle name="RowTitles1-Detail 3 2 2 3 8_Tertiary Salaries Survey" xfId="10257"/>
    <cellStyle name="RowTitles1-Detail 3 2 2 3 9" xfId="10258"/>
    <cellStyle name="RowTitles1-Detail 3 2 2 3_STUD aligned by INSTIT" xfId="10259"/>
    <cellStyle name="RowTitles1-Detail 3 2 2 4" xfId="10260"/>
    <cellStyle name="RowTitles1-Detail 3 2 2 4 2" xfId="10261"/>
    <cellStyle name="RowTitles1-Detail 3 2 2 4 2 2" xfId="10262"/>
    <cellStyle name="RowTitles1-Detail 3 2 2 4 2 2 2" xfId="10263"/>
    <cellStyle name="RowTitles1-Detail 3 2 2 4 2 2 2 2" xfId="10264"/>
    <cellStyle name="RowTitles1-Detail 3 2 2 4 2 2 2_Tertiary Salaries Survey" xfId="10265"/>
    <cellStyle name="RowTitles1-Detail 3 2 2 4 2 2 3" xfId="10266"/>
    <cellStyle name="RowTitles1-Detail 3 2 2 4 2 2_Tertiary Salaries Survey" xfId="10267"/>
    <cellStyle name="RowTitles1-Detail 3 2 2 4 2 3" xfId="10268"/>
    <cellStyle name="RowTitles1-Detail 3 2 2 4 2 3 2" xfId="10269"/>
    <cellStyle name="RowTitles1-Detail 3 2 2 4 2 3 2 2" xfId="10270"/>
    <cellStyle name="RowTitles1-Detail 3 2 2 4 2 3 2_Tertiary Salaries Survey" xfId="10271"/>
    <cellStyle name="RowTitles1-Detail 3 2 2 4 2 3 3" xfId="10272"/>
    <cellStyle name="RowTitles1-Detail 3 2 2 4 2 3_Tertiary Salaries Survey" xfId="10273"/>
    <cellStyle name="RowTitles1-Detail 3 2 2 4 2 4" xfId="10274"/>
    <cellStyle name="RowTitles1-Detail 3 2 2 4 2 5" xfId="10275"/>
    <cellStyle name="RowTitles1-Detail 3 2 2 4 2 5 2" xfId="10276"/>
    <cellStyle name="RowTitles1-Detail 3 2 2 4 2 5_Tertiary Salaries Survey" xfId="10277"/>
    <cellStyle name="RowTitles1-Detail 3 2 2 4 2 6" xfId="10278"/>
    <cellStyle name="RowTitles1-Detail 3 2 2 4 2_Tertiary Salaries Survey" xfId="10279"/>
    <cellStyle name="RowTitles1-Detail 3 2 2 4 3" xfId="10280"/>
    <cellStyle name="RowTitles1-Detail 3 2 2 4 3 2" xfId="10281"/>
    <cellStyle name="RowTitles1-Detail 3 2 2 4 3 2 2" xfId="10282"/>
    <cellStyle name="RowTitles1-Detail 3 2 2 4 3 2 2 2" xfId="10283"/>
    <cellStyle name="RowTitles1-Detail 3 2 2 4 3 2 2_Tertiary Salaries Survey" xfId="10284"/>
    <cellStyle name="RowTitles1-Detail 3 2 2 4 3 2 3" xfId="10285"/>
    <cellStyle name="RowTitles1-Detail 3 2 2 4 3 2_Tertiary Salaries Survey" xfId="10286"/>
    <cellStyle name="RowTitles1-Detail 3 2 2 4 3 3" xfId="10287"/>
    <cellStyle name="RowTitles1-Detail 3 2 2 4 3 3 2" xfId="10288"/>
    <cellStyle name="RowTitles1-Detail 3 2 2 4 3 3 2 2" xfId="10289"/>
    <cellStyle name="RowTitles1-Detail 3 2 2 4 3 3 2_Tertiary Salaries Survey" xfId="10290"/>
    <cellStyle name="RowTitles1-Detail 3 2 2 4 3 3 3" xfId="10291"/>
    <cellStyle name="RowTitles1-Detail 3 2 2 4 3 3_Tertiary Salaries Survey" xfId="10292"/>
    <cellStyle name="RowTitles1-Detail 3 2 2 4 3 4" xfId="10293"/>
    <cellStyle name="RowTitles1-Detail 3 2 2 4 3 5" xfId="10294"/>
    <cellStyle name="RowTitles1-Detail 3 2 2 4 3_Tertiary Salaries Survey" xfId="10295"/>
    <cellStyle name="RowTitles1-Detail 3 2 2 4 4" xfId="10296"/>
    <cellStyle name="RowTitles1-Detail 3 2 2 4 4 2" xfId="10297"/>
    <cellStyle name="RowTitles1-Detail 3 2 2 4 4 2 2" xfId="10298"/>
    <cellStyle name="RowTitles1-Detail 3 2 2 4 4 2 2 2" xfId="10299"/>
    <cellStyle name="RowTitles1-Detail 3 2 2 4 4 2 2_Tertiary Salaries Survey" xfId="10300"/>
    <cellStyle name="RowTitles1-Detail 3 2 2 4 4 2 3" xfId="10301"/>
    <cellStyle name="RowTitles1-Detail 3 2 2 4 4 2_Tertiary Salaries Survey" xfId="10302"/>
    <cellStyle name="RowTitles1-Detail 3 2 2 4 4 3" xfId="10303"/>
    <cellStyle name="RowTitles1-Detail 3 2 2 4 4 3 2" xfId="10304"/>
    <cellStyle name="RowTitles1-Detail 3 2 2 4 4 3 2 2" xfId="10305"/>
    <cellStyle name="RowTitles1-Detail 3 2 2 4 4 3 2_Tertiary Salaries Survey" xfId="10306"/>
    <cellStyle name="RowTitles1-Detail 3 2 2 4 4 3 3" xfId="10307"/>
    <cellStyle name="RowTitles1-Detail 3 2 2 4 4 3_Tertiary Salaries Survey" xfId="10308"/>
    <cellStyle name="RowTitles1-Detail 3 2 2 4 4 4" xfId="10309"/>
    <cellStyle name="RowTitles1-Detail 3 2 2 4 4 5" xfId="10310"/>
    <cellStyle name="RowTitles1-Detail 3 2 2 4 4 5 2" xfId="10311"/>
    <cellStyle name="RowTitles1-Detail 3 2 2 4 4 5_Tertiary Salaries Survey" xfId="10312"/>
    <cellStyle name="RowTitles1-Detail 3 2 2 4 4 6" xfId="10313"/>
    <cellStyle name="RowTitles1-Detail 3 2 2 4 4_Tertiary Salaries Survey" xfId="10314"/>
    <cellStyle name="RowTitles1-Detail 3 2 2 4 5" xfId="10315"/>
    <cellStyle name="RowTitles1-Detail 3 2 2 4 5 2" xfId="10316"/>
    <cellStyle name="RowTitles1-Detail 3 2 2 4 5 2 2" xfId="10317"/>
    <cellStyle name="RowTitles1-Detail 3 2 2 4 5 2 2 2" xfId="10318"/>
    <cellStyle name="RowTitles1-Detail 3 2 2 4 5 2 2_Tertiary Salaries Survey" xfId="10319"/>
    <cellStyle name="RowTitles1-Detail 3 2 2 4 5 2 3" xfId="10320"/>
    <cellStyle name="RowTitles1-Detail 3 2 2 4 5 2_Tertiary Salaries Survey" xfId="10321"/>
    <cellStyle name="RowTitles1-Detail 3 2 2 4 5 3" xfId="10322"/>
    <cellStyle name="RowTitles1-Detail 3 2 2 4 5 3 2" xfId="10323"/>
    <cellStyle name="RowTitles1-Detail 3 2 2 4 5 3 2 2" xfId="10324"/>
    <cellStyle name="RowTitles1-Detail 3 2 2 4 5 3 2_Tertiary Salaries Survey" xfId="10325"/>
    <cellStyle name="RowTitles1-Detail 3 2 2 4 5 3 3" xfId="10326"/>
    <cellStyle name="RowTitles1-Detail 3 2 2 4 5 3_Tertiary Salaries Survey" xfId="10327"/>
    <cellStyle name="RowTitles1-Detail 3 2 2 4 5 4" xfId="10328"/>
    <cellStyle name="RowTitles1-Detail 3 2 2 4 5 4 2" xfId="10329"/>
    <cellStyle name="RowTitles1-Detail 3 2 2 4 5 4_Tertiary Salaries Survey" xfId="10330"/>
    <cellStyle name="RowTitles1-Detail 3 2 2 4 5 5" xfId="10331"/>
    <cellStyle name="RowTitles1-Detail 3 2 2 4 5_Tertiary Salaries Survey" xfId="10332"/>
    <cellStyle name="RowTitles1-Detail 3 2 2 4 6" xfId="10333"/>
    <cellStyle name="RowTitles1-Detail 3 2 2 4 6 2" xfId="10334"/>
    <cellStyle name="RowTitles1-Detail 3 2 2 4 6 2 2" xfId="10335"/>
    <cellStyle name="RowTitles1-Detail 3 2 2 4 6 2 2 2" xfId="10336"/>
    <cellStyle name="RowTitles1-Detail 3 2 2 4 6 2 2_Tertiary Salaries Survey" xfId="10337"/>
    <cellStyle name="RowTitles1-Detail 3 2 2 4 6 2 3" xfId="10338"/>
    <cellStyle name="RowTitles1-Detail 3 2 2 4 6 2_Tertiary Salaries Survey" xfId="10339"/>
    <cellStyle name="RowTitles1-Detail 3 2 2 4 6 3" xfId="10340"/>
    <cellStyle name="RowTitles1-Detail 3 2 2 4 6 3 2" xfId="10341"/>
    <cellStyle name="RowTitles1-Detail 3 2 2 4 6 3 2 2" xfId="10342"/>
    <cellStyle name="RowTitles1-Detail 3 2 2 4 6 3 2_Tertiary Salaries Survey" xfId="10343"/>
    <cellStyle name="RowTitles1-Detail 3 2 2 4 6 3 3" xfId="10344"/>
    <cellStyle name="RowTitles1-Detail 3 2 2 4 6 3_Tertiary Salaries Survey" xfId="10345"/>
    <cellStyle name="RowTitles1-Detail 3 2 2 4 6 4" xfId="10346"/>
    <cellStyle name="RowTitles1-Detail 3 2 2 4 6 4 2" xfId="10347"/>
    <cellStyle name="RowTitles1-Detail 3 2 2 4 6 4_Tertiary Salaries Survey" xfId="10348"/>
    <cellStyle name="RowTitles1-Detail 3 2 2 4 6 5" xfId="10349"/>
    <cellStyle name="RowTitles1-Detail 3 2 2 4 6_Tertiary Salaries Survey" xfId="10350"/>
    <cellStyle name="RowTitles1-Detail 3 2 2 4 7" xfId="10351"/>
    <cellStyle name="RowTitles1-Detail 3 2 2 4 7 2" xfId="10352"/>
    <cellStyle name="RowTitles1-Detail 3 2 2 4 7 2 2" xfId="10353"/>
    <cellStyle name="RowTitles1-Detail 3 2 2 4 7 2_Tertiary Salaries Survey" xfId="10354"/>
    <cellStyle name="RowTitles1-Detail 3 2 2 4 7 3" xfId="10355"/>
    <cellStyle name="RowTitles1-Detail 3 2 2 4 7_Tertiary Salaries Survey" xfId="10356"/>
    <cellStyle name="RowTitles1-Detail 3 2 2 4 8" xfId="10357"/>
    <cellStyle name="RowTitles1-Detail 3 2 2 4 9" xfId="10358"/>
    <cellStyle name="RowTitles1-Detail 3 2 2 4_STUD aligned by INSTIT" xfId="10359"/>
    <cellStyle name="RowTitles1-Detail 3 2 2 5" xfId="10360"/>
    <cellStyle name="RowTitles1-Detail 3 2 2 5 2" xfId="10361"/>
    <cellStyle name="RowTitles1-Detail 3 2 2 5 2 2" xfId="10362"/>
    <cellStyle name="RowTitles1-Detail 3 2 2 5 2 2 2" xfId="10363"/>
    <cellStyle name="RowTitles1-Detail 3 2 2 5 2 2_Tertiary Salaries Survey" xfId="10364"/>
    <cellStyle name="RowTitles1-Detail 3 2 2 5 2 3" xfId="10365"/>
    <cellStyle name="RowTitles1-Detail 3 2 2 5 2_Tertiary Salaries Survey" xfId="10366"/>
    <cellStyle name="RowTitles1-Detail 3 2 2 5 3" xfId="10367"/>
    <cellStyle name="RowTitles1-Detail 3 2 2 5 3 2" xfId="10368"/>
    <cellStyle name="RowTitles1-Detail 3 2 2 5 3 2 2" xfId="10369"/>
    <cellStyle name="RowTitles1-Detail 3 2 2 5 3 2_Tertiary Salaries Survey" xfId="10370"/>
    <cellStyle name="RowTitles1-Detail 3 2 2 5 3 3" xfId="10371"/>
    <cellStyle name="RowTitles1-Detail 3 2 2 5 3_Tertiary Salaries Survey" xfId="10372"/>
    <cellStyle name="RowTitles1-Detail 3 2 2 5 4" xfId="10373"/>
    <cellStyle name="RowTitles1-Detail 3 2 2 5 5" xfId="10374"/>
    <cellStyle name="RowTitles1-Detail 3 2 2 5 5 2" xfId="10375"/>
    <cellStyle name="RowTitles1-Detail 3 2 2 5 5_Tertiary Salaries Survey" xfId="10376"/>
    <cellStyle name="RowTitles1-Detail 3 2 2 5 6" xfId="10377"/>
    <cellStyle name="RowTitles1-Detail 3 2 2 5_Tertiary Salaries Survey" xfId="10378"/>
    <cellStyle name="RowTitles1-Detail 3 2 2 6" xfId="10379"/>
    <cellStyle name="RowTitles1-Detail 3 2 2 6 2" xfId="10380"/>
    <cellStyle name="RowTitles1-Detail 3 2 2 6 2 2" xfId="10381"/>
    <cellStyle name="RowTitles1-Detail 3 2 2 6 2 2 2" xfId="10382"/>
    <cellStyle name="RowTitles1-Detail 3 2 2 6 2 2_Tertiary Salaries Survey" xfId="10383"/>
    <cellStyle name="RowTitles1-Detail 3 2 2 6 2 3" xfId="10384"/>
    <cellStyle name="RowTitles1-Detail 3 2 2 6 2_Tertiary Salaries Survey" xfId="10385"/>
    <cellStyle name="RowTitles1-Detail 3 2 2 6 3" xfId="10386"/>
    <cellStyle name="RowTitles1-Detail 3 2 2 6 3 2" xfId="10387"/>
    <cellStyle name="RowTitles1-Detail 3 2 2 6 3 2 2" xfId="10388"/>
    <cellStyle name="RowTitles1-Detail 3 2 2 6 3 2_Tertiary Salaries Survey" xfId="10389"/>
    <cellStyle name="RowTitles1-Detail 3 2 2 6 3 3" xfId="10390"/>
    <cellStyle name="RowTitles1-Detail 3 2 2 6 3_Tertiary Salaries Survey" xfId="10391"/>
    <cellStyle name="RowTitles1-Detail 3 2 2 6 4" xfId="10392"/>
    <cellStyle name="RowTitles1-Detail 3 2 2 6 5" xfId="10393"/>
    <cellStyle name="RowTitles1-Detail 3 2 2 6_Tertiary Salaries Survey" xfId="10394"/>
    <cellStyle name="RowTitles1-Detail 3 2 2 7" xfId="10395"/>
    <cellStyle name="RowTitles1-Detail 3 2 2 7 2" xfId="10396"/>
    <cellStyle name="RowTitles1-Detail 3 2 2 7 2 2" xfId="10397"/>
    <cellStyle name="RowTitles1-Detail 3 2 2 7 2 2 2" xfId="10398"/>
    <cellStyle name="RowTitles1-Detail 3 2 2 7 2 2_Tertiary Salaries Survey" xfId="10399"/>
    <cellStyle name="RowTitles1-Detail 3 2 2 7 2 3" xfId="10400"/>
    <cellStyle name="RowTitles1-Detail 3 2 2 7 2_Tertiary Salaries Survey" xfId="10401"/>
    <cellStyle name="RowTitles1-Detail 3 2 2 7 3" xfId="10402"/>
    <cellStyle name="RowTitles1-Detail 3 2 2 7 3 2" xfId="10403"/>
    <cellStyle name="RowTitles1-Detail 3 2 2 7 3 2 2" xfId="10404"/>
    <cellStyle name="RowTitles1-Detail 3 2 2 7 3 2_Tertiary Salaries Survey" xfId="10405"/>
    <cellStyle name="RowTitles1-Detail 3 2 2 7 3 3" xfId="10406"/>
    <cellStyle name="RowTitles1-Detail 3 2 2 7 3_Tertiary Salaries Survey" xfId="10407"/>
    <cellStyle name="RowTitles1-Detail 3 2 2 7 4" xfId="10408"/>
    <cellStyle name="RowTitles1-Detail 3 2 2 7 5" xfId="10409"/>
    <cellStyle name="RowTitles1-Detail 3 2 2 7 5 2" xfId="10410"/>
    <cellStyle name="RowTitles1-Detail 3 2 2 7 5_Tertiary Salaries Survey" xfId="10411"/>
    <cellStyle name="RowTitles1-Detail 3 2 2 7 6" xfId="10412"/>
    <cellStyle name="RowTitles1-Detail 3 2 2 7_Tertiary Salaries Survey" xfId="10413"/>
    <cellStyle name="RowTitles1-Detail 3 2 2 8" xfId="10414"/>
    <cellStyle name="RowTitles1-Detail 3 2 2 8 2" xfId="10415"/>
    <cellStyle name="RowTitles1-Detail 3 2 2 8 2 2" xfId="10416"/>
    <cellStyle name="RowTitles1-Detail 3 2 2 8 2 2 2" xfId="10417"/>
    <cellStyle name="RowTitles1-Detail 3 2 2 8 2 2_Tertiary Salaries Survey" xfId="10418"/>
    <cellStyle name="RowTitles1-Detail 3 2 2 8 2 3" xfId="10419"/>
    <cellStyle name="RowTitles1-Detail 3 2 2 8 2_Tertiary Salaries Survey" xfId="10420"/>
    <cellStyle name="RowTitles1-Detail 3 2 2 8 3" xfId="10421"/>
    <cellStyle name="RowTitles1-Detail 3 2 2 8 3 2" xfId="10422"/>
    <cellStyle name="RowTitles1-Detail 3 2 2 8 3 2 2" xfId="10423"/>
    <cellStyle name="RowTitles1-Detail 3 2 2 8 3 2_Tertiary Salaries Survey" xfId="10424"/>
    <cellStyle name="RowTitles1-Detail 3 2 2 8 3 3" xfId="10425"/>
    <cellStyle name="RowTitles1-Detail 3 2 2 8 3_Tertiary Salaries Survey" xfId="10426"/>
    <cellStyle name="RowTitles1-Detail 3 2 2 8 4" xfId="10427"/>
    <cellStyle name="RowTitles1-Detail 3 2 2 8 4 2" xfId="10428"/>
    <cellStyle name="RowTitles1-Detail 3 2 2 8 4_Tertiary Salaries Survey" xfId="10429"/>
    <cellStyle name="RowTitles1-Detail 3 2 2 8 5" xfId="10430"/>
    <cellStyle name="RowTitles1-Detail 3 2 2 8_Tertiary Salaries Survey" xfId="10431"/>
    <cellStyle name="RowTitles1-Detail 3 2 2 9" xfId="10432"/>
    <cellStyle name="RowTitles1-Detail 3 2 2 9 2" xfId="10433"/>
    <cellStyle name="RowTitles1-Detail 3 2 2 9 2 2" xfId="10434"/>
    <cellStyle name="RowTitles1-Detail 3 2 2 9 2 2 2" xfId="10435"/>
    <cellStyle name="RowTitles1-Detail 3 2 2 9 2 2_Tertiary Salaries Survey" xfId="10436"/>
    <cellStyle name="RowTitles1-Detail 3 2 2 9 2 3" xfId="10437"/>
    <cellStyle name="RowTitles1-Detail 3 2 2 9 2_Tertiary Salaries Survey" xfId="10438"/>
    <cellStyle name="RowTitles1-Detail 3 2 2 9 3" xfId="10439"/>
    <cellStyle name="RowTitles1-Detail 3 2 2 9 3 2" xfId="10440"/>
    <cellStyle name="RowTitles1-Detail 3 2 2 9 3 2 2" xfId="10441"/>
    <cellStyle name="RowTitles1-Detail 3 2 2 9 3 2_Tertiary Salaries Survey" xfId="10442"/>
    <cellStyle name="RowTitles1-Detail 3 2 2 9 3 3" xfId="10443"/>
    <cellStyle name="RowTitles1-Detail 3 2 2 9 3_Tertiary Salaries Survey" xfId="10444"/>
    <cellStyle name="RowTitles1-Detail 3 2 2 9 4" xfId="10445"/>
    <cellStyle name="RowTitles1-Detail 3 2 2 9 4 2" xfId="10446"/>
    <cellStyle name="RowTitles1-Detail 3 2 2 9 4_Tertiary Salaries Survey" xfId="10447"/>
    <cellStyle name="RowTitles1-Detail 3 2 2 9 5" xfId="10448"/>
    <cellStyle name="RowTitles1-Detail 3 2 2 9_Tertiary Salaries Survey" xfId="10449"/>
    <cellStyle name="RowTitles1-Detail 3 2 2_STUD aligned by INSTIT" xfId="10450"/>
    <cellStyle name="RowTitles1-Detail 3 2 3" xfId="10451"/>
    <cellStyle name="RowTitles1-Detail 3 2 3 2" xfId="10452"/>
    <cellStyle name="RowTitles1-Detail 3 2 3 2 2" xfId="10453"/>
    <cellStyle name="RowTitles1-Detail 3 2 3 2 2 2" xfId="10454"/>
    <cellStyle name="RowTitles1-Detail 3 2 3 2 2 2 2" xfId="10455"/>
    <cellStyle name="RowTitles1-Detail 3 2 3 2 2 2_Tertiary Salaries Survey" xfId="10456"/>
    <cellStyle name="RowTitles1-Detail 3 2 3 2 2 3" xfId="10457"/>
    <cellStyle name="RowTitles1-Detail 3 2 3 2 2_Tertiary Salaries Survey" xfId="10458"/>
    <cellStyle name="RowTitles1-Detail 3 2 3 2 3" xfId="10459"/>
    <cellStyle name="RowTitles1-Detail 3 2 3 2 3 2" xfId="10460"/>
    <cellStyle name="RowTitles1-Detail 3 2 3 2 3 2 2" xfId="10461"/>
    <cellStyle name="RowTitles1-Detail 3 2 3 2 3 2_Tertiary Salaries Survey" xfId="10462"/>
    <cellStyle name="RowTitles1-Detail 3 2 3 2 3 3" xfId="10463"/>
    <cellStyle name="RowTitles1-Detail 3 2 3 2 3_Tertiary Salaries Survey" xfId="10464"/>
    <cellStyle name="RowTitles1-Detail 3 2 3 2 4" xfId="10465"/>
    <cellStyle name="RowTitles1-Detail 3 2 3 2 5" xfId="10466"/>
    <cellStyle name="RowTitles1-Detail 3 2 3 2_Tertiary Salaries Survey" xfId="10467"/>
    <cellStyle name="RowTitles1-Detail 3 2 3 3" xfId="10468"/>
    <cellStyle name="RowTitles1-Detail 3 2 3 3 2" xfId="10469"/>
    <cellStyle name="RowTitles1-Detail 3 2 3 3 2 2" xfId="10470"/>
    <cellStyle name="RowTitles1-Detail 3 2 3 3 2 2 2" xfId="10471"/>
    <cellStyle name="RowTitles1-Detail 3 2 3 3 2 2_Tertiary Salaries Survey" xfId="10472"/>
    <cellStyle name="RowTitles1-Detail 3 2 3 3 2 3" xfId="10473"/>
    <cellStyle name="RowTitles1-Detail 3 2 3 3 2_Tertiary Salaries Survey" xfId="10474"/>
    <cellStyle name="RowTitles1-Detail 3 2 3 3 3" xfId="10475"/>
    <cellStyle name="RowTitles1-Detail 3 2 3 3 3 2" xfId="10476"/>
    <cellStyle name="RowTitles1-Detail 3 2 3 3 3 2 2" xfId="10477"/>
    <cellStyle name="RowTitles1-Detail 3 2 3 3 3 2_Tertiary Salaries Survey" xfId="10478"/>
    <cellStyle name="RowTitles1-Detail 3 2 3 3 3 3" xfId="10479"/>
    <cellStyle name="RowTitles1-Detail 3 2 3 3 3_Tertiary Salaries Survey" xfId="10480"/>
    <cellStyle name="RowTitles1-Detail 3 2 3 3 4" xfId="10481"/>
    <cellStyle name="RowTitles1-Detail 3 2 3 3 5" xfId="10482"/>
    <cellStyle name="RowTitles1-Detail 3 2 3 3 5 2" xfId="10483"/>
    <cellStyle name="RowTitles1-Detail 3 2 3 3 5_Tertiary Salaries Survey" xfId="10484"/>
    <cellStyle name="RowTitles1-Detail 3 2 3 3 6" xfId="10485"/>
    <cellStyle name="RowTitles1-Detail 3 2 3 3_Tertiary Salaries Survey" xfId="10486"/>
    <cellStyle name="RowTitles1-Detail 3 2 3 4" xfId="10487"/>
    <cellStyle name="RowTitles1-Detail 3 2 3 4 2" xfId="10488"/>
    <cellStyle name="RowTitles1-Detail 3 2 3 4 2 2" xfId="10489"/>
    <cellStyle name="RowTitles1-Detail 3 2 3 4 2 2 2" xfId="10490"/>
    <cellStyle name="RowTitles1-Detail 3 2 3 4 2 2_Tertiary Salaries Survey" xfId="10491"/>
    <cellStyle name="RowTitles1-Detail 3 2 3 4 2 3" xfId="10492"/>
    <cellStyle name="RowTitles1-Detail 3 2 3 4 2_Tertiary Salaries Survey" xfId="10493"/>
    <cellStyle name="RowTitles1-Detail 3 2 3 4 3" xfId="10494"/>
    <cellStyle name="RowTitles1-Detail 3 2 3 4 3 2" xfId="10495"/>
    <cellStyle name="RowTitles1-Detail 3 2 3 4 3 2 2" xfId="10496"/>
    <cellStyle name="RowTitles1-Detail 3 2 3 4 3 2_Tertiary Salaries Survey" xfId="10497"/>
    <cellStyle name="RowTitles1-Detail 3 2 3 4 3 3" xfId="10498"/>
    <cellStyle name="RowTitles1-Detail 3 2 3 4 3_Tertiary Salaries Survey" xfId="10499"/>
    <cellStyle name="RowTitles1-Detail 3 2 3 4 4" xfId="10500"/>
    <cellStyle name="RowTitles1-Detail 3 2 3 4 4 2" xfId="10501"/>
    <cellStyle name="RowTitles1-Detail 3 2 3 4 4_Tertiary Salaries Survey" xfId="10502"/>
    <cellStyle name="RowTitles1-Detail 3 2 3 4 5" xfId="10503"/>
    <cellStyle name="RowTitles1-Detail 3 2 3 4_Tertiary Salaries Survey" xfId="10504"/>
    <cellStyle name="RowTitles1-Detail 3 2 3 5" xfId="10505"/>
    <cellStyle name="RowTitles1-Detail 3 2 3 5 2" xfId="10506"/>
    <cellStyle name="RowTitles1-Detail 3 2 3 5 2 2" xfId="10507"/>
    <cellStyle name="RowTitles1-Detail 3 2 3 5 2 2 2" xfId="10508"/>
    <cellStyle name="RowTitles1-Detail 3 2 3 5 2 2_Tertiary Salaries Survey" xfId="10509"/>
    <cellStyle name="RowTitles1-Detail 3 2 3 5 2 3" xfId="10510"/>
    <cellStyle name="RowTitles1-Detail 3 2 3 5 2_Tertiary Salaries Survey" xfId="10511"/>
    <cellStyle name="RowTitles1-Detail 3 2 3 5 3" xfId="10512"/>
    <cellStyle name="RowTitles1-Detail 3 2 3 5 3 2" xfId="10513"/>
    <cellStyle name="RowTitles1-Detail 3 2 3 5 3 2 2" xfId="10514"/>
    <cellStyle name="RowTitles1-Detail 3 2 3 5 3 2_Tertiary Salaries Survey" xfId="10515"/>
    <cellStyle name="RowTitles1-Detail 3 2 3 5 3 3" xfId="10516"/>
    <cellStyle name="RowTitles1-Detail 3 2 3 5 3_Tertiary Salaries Survey" xfId="10517"/>
    <cellStyle name="RowTitles1-Detail 3 2 3 5 4" xfId="10518"/>
    <cellStyle name="RowTitles1-Detail 3 2 3 5 4 2" xfId="10519"/>
    <cellStyle name="RowTitles1-Detail 3 2 3 5 4_Tertiary Salaries Survey" xfId="10520"/>
    <cellStyle name="RowTitles1-Detail 3 2 3 5 5" xfId="10521"/>
    <cellStyle name="RowTitles1-Detail 3 2 3 5_Tertiary Salaries Survey" xfId="10522"/>
    <cellStyle name="RowTitles1-Detail 3 2 3 6" xfId="10523"/>
    <cellStyle name="RowTitles1-Detail 3 2 3 6 2" xfId="10524"/>
    <cellStyle name="RowTitles1-Detail 3 2 3 6 2 2" xfId="10525"/>
    <cellStyle name="RowTitles1-Detail 3 2 3 6 2 2 2" xfId="10526"/>
    <cellStyle name="RowTitles1-Detail 3 2 3 6 2 2_Tertiary Salaries Survey" xfId="10527"/>
    <cellStyle name="RowTitles1-Detail 3 2 3 6 2 3" xfId="10528"/>
    <cellStyle name="RowTitles1-Detail 3 2 3 6 2_Tertiary Salaries Survey" xfId="10529"/>
    <cellStyle name="RowTitles1-Detail 3 2 3 6 3" xfId="10530"/>
    <cellStyle name="RowTitles1-Detail 3 2 3 6 3 2" xfId="10531"/>
    <cellStyle name="RowTitles1-Detail 3 2 3 6 3 2 2" xfId="10532"/>
    <cellStyle name="RowTitles1-Detail 3 2 3 6 3 2_Tertiary Salaries Survey" xfId="10533"/>
    <cellStyle name="RowTitles1-Detail 3 2 3 6 3 3" xfId="10534"/>
    <cellStyle name="RowTitles1-Detail 3 2 3 6 3_Tertiary Salaries Survey" xfId="10535"/>
    <cellStyle name="RowTitles1-Detail 3 2 3 6 4" xfId="10536"/>
    <cellStyle name="RowTitles1-Detail 3 2 3 6 4 2" xfId="10537"/>
    <cellStyle name="RowTitles1-Detail 3 2 3 6 4_Tertiary Salaries Survey" xfId="10538"/>
    <cellStyle name="RowTitles1-Detail 3 2 3 6 5" xfId="10539"/>
    <cellStyle name="RowTitles1-Detail 3 2 3 6_Tertiary Salaries Survey" xfId="10540"/>
    <cellStyle name="RowTitles1-Detail 3 2 3 7" xfId="10541"/>
    <cellStyle name="RowTitles1-Detail 3 2 3 7 2" xfId="10542"/>
    <cellStyle name="RowTitles1-Detail 3 2 3 7 2 2" xfId="10543"/>
    <cellStyle name="RowTitles1-Detail 3 2 3 7 2_Tertiary Salaries Survey" xfId="10544"/>
    <cellStyle name="RowTitles1-Detail 3 2 3 7 3" xfId="10545"/>
    <cellStyle name="RowTitles1-Detail 3 2 3 7_Tertiary Salaries Survey" xfId="10546"/>
    <cellStyle name="RowTitles1-Detail 3 2 3 8" xfId="10547"/>
    <cellStyle name="RowTitles1-Detail 3 2 3 9" xfId="10548"/>
    <cellStyle name="RowTitles1-Detail 3 2 3_STUD aligned by INSTIT" xfId="10549"/>
    <cellStyle name="RowTitles1-Detail 3 2 4" xfId="10550"/>
    <cellStyle name="RowTitles1-Detail 3 2 4 2" xfId="10551"/>
    <cellStyle name="RowTitles1-Detail 3 2 4 2 2" xfId="10552"/>
    <cellStyle name="RowTitles1-Detail 3 2 4 2 2 2" xfId="10553"/>
    <cellStyle name="RowTitles1-Detail 3 2 4 2 2 2 2" xfId="10554"/>
    <cellStyle name="RowTitles1-Detail 3 2 4 2 2 2_Tertiary Salaries Survey" xfId="10555"/>
    <cellStyle name="RowTitles1-Detail 3 2 4 2 2 3" xfId="10556"/>
    <cellStyle name="RowTitles1-Detail 3 2 4 2 2_Tertiary Salaries Survey" xfId="10557"/>
    <cellStyle name="RowTitles1-Detail 3 2 4 2 3" xfId="10558"/>
    <cellStyle name="RowTitles1-Detail 3 2 4 2 3 2" xfId="10559"/>
    <cellStyle name="RowTitles1-Detail 3 2 4 2 3 2 2" xfId="10560"/>
    <cellStyle name="RowTitles1-Detail 3 2 4 2 3 2_Tertiary Salaries Survey" xfId="10561"/>
    <cellStyle name="RowTitles1-Detail 3 2 4 2 3 3" xfId="10562"/>
    <cellStyle name="RowTitles1-Detail 3 2 4 2 3_Tertiary Salaries Survey" xfId="10563"/>
    <cellStyle name="RowTitles1-Detail 3 2 4 2 4" xfId="10564"/>
    <cellStyle name="RowTitles1-Detail 3 2 4 2 5" xfId="10565"/>
    <cellStyle name="RowTitles1-Detail 3 2 4 2 5 2" xfId="10566"/>
    <cellStyle name="RowTitles1-Detail 3 2 4 2 5_Tertiary Salaries Survey" xfId="10567"/>
    <cellStyle name="RowTitles1-Detail 3 2 4 2 6" xfId="10568"/>
    <cellStyle name="RowTitles1-Detail 3 2 4 2_Tertiary Salaries Survey" xfId="10569"/>
    <cellStyle name="RowTitles1-Detail 3 2 4 3" xfId="10570"/>
    <cellStyle name="RowTitles1-Detail 3 2 4 3 2" xfId="10571"/>
    <cellStyle name="RowTitles1-Detail 3 2 4 3 2 2" xfId="10572"/>
    <cellStyle name="RowTitles1-Detail 3 2 4 3 2 2 2" xfId="10573"/>
    <cellStyle name="RowTitles1-Detail 3 2 4 3 2 2_Tertiary Salaries Survey" xfId="10574"/>
    <cellStyle name="RowTitles1-Detail 3 2 4 3 2 3" xfId="10575"/>
    <cellStyle name="RowTitles1-Detail 3 2 4 3 2_Tertiary Salaries Survey" xfId="10576"/>
    <cellStyle name="RowTitles1-Detail 3 2 4 3 3" xfId="10577"/>
    <cellStyle name="RowTitles1-Detail 3 2 4 3 3 2" xfId="10578"/>
    <cellStyle name="RowTitles1-Detail 3 2 4 3 3 2 2" xfId="10579"/>
    <cellStyle name="RowTitles1-Detail 3 2 4 3 3 2_Tertiary Salaries Survey" xfId="10580"/>
    <cellStyle name="RowTitles1-Detail 3 2 4 3 3 3" xfId="10581"/>
    <cellStyle name="RowTitles1-Detail 3 2 4 3 3_Tertiary Salaries Survey" xfId="10582"/>
    <cellStyle name="RowTitles1-Detail 3 2 4 3 4" xfId="10583"/>
    <cellStyle name="RowTitles1-Detail 3 2 4 3 5" xfId="10584"/>
    <cellStyle name="RowTitles1-Detail 3 2 4 3_Tertiary Salaries Survey" xfId="10585"/>
    <cellStyle name="RowTitles1-Detail 3 2 4 4" xfId="10586"/>
    <cellStyle name="RowTitles1-Detail 3 2 4 4 2" xfId="10587"/>
    <cellStyle name="RowTitles1-Detail 3 2 4 4 2 2" xfId="10588"/>
    <cellStyle name="RowTitles1-Detail 3 2 4 4 2 2 2" xfId="10589"/>
    <cellStyle name="RowTitles1-Detail 3 2 4 4 2 2_Tertiary Salaries Survey" xfId="10590"/>
    <cellStyle name="RowTitles1-Detail 3 2 4 4 2 3" xfId="10591"/>
    <cellStyle name="RowTitles1-Detail 3 2 4 4 2_Tertiary Salaries Survey" xfId="10592"/>
    <cellStyle name="RowTitles1-Detail 3 2 4 4 3" xfId="10593"/>
    <cellStyle name="RowTitles1-Detail 3 2 4 4 3 2" xfId="10594"/>
    <cellStyle name="RowTitles1-Detail 3 2 4 4 3 2 2" xfId="10595"/>
    <cellStyle name="RowTitles1-Detail 3 2 4 4 3 2_Tertiary Salaries Survey" xfId="10596"/>
    <cellStyle name="RowTitles1-Detail 3 2 4 4 3 3" xfId="10597"/>
    <cellStyle name="RowTitles1-Detail 3 2 4 4 3_Tertiary Salaries Survey" xfId="10598"/>
    <cellStyle name="RowTitles1-Detail 3 2 4 4 4" xfId="10599"/>
    <cellStyle name="RowTitles1-Detail 3 2 4 4 4 2" xfId="10600"/>
    <cellStyle name="RowTitles1-Detail 3 2 4 4 4_Tertiary Salaries Survey" xfId="10601"/>
    <cellStyle name="RowTitles1-Detail 3 2 4 4 5" xfId="10602"/>
    <cellStyle name="RowTitles1-Detail 3 2 4 4_Tertiary Salaries Survey" xfId="10603"/>
    <cellStyle name="RowTitles1-Detail 3 2 4 5" xfId="10604"/>
    <cellStyle name="RowTitles1-Detail 3 2 4 5 2" xfId="10605"/>
    <cellStyle name="RowTitles1-Detail 3 2 4 5 2 2" xfId="10606"/>
    <cellStyle name="RowTitles1-Detail 3 2 4 5 2 2 2" xfId="10607"/>
    <cellStyle name="RowTitles1-Detail 3 2 4 5 2 2_Tertiary Salaries Survey" xfId="10608"/>
    <cellStyle name="RowTitles1-Detail 3 2 4 5 2 3" xfId="10609"/>
    <cellStyle name="RowTitles1-Detail 3 2 4 5 2_Tertiary Salaries Survey" xfId="10610"/>
    <cellStyle name="RowTitles1-Detail 3 2 4 5 3" xfId="10611"/>
    <cellStyle name="RowTitles1-Detail 3 2 4 5 3 2" xfId="10612"/>
    <cellStyle name="RowTitles1-Detail 3 2 4 5 3 2 2" xfId="10613"/>
    <cellStyle name="RowTitles1-Detail 3 2 4 5 3 2_Tertiary Salaries Survey" xfId="10614"/>
    <cellStyle name="RowTitles1-Detail 3 2 4 5 3 3" xfId="10615"/>
    <cellStyle name="RowTitles1-Detail 3 2 4 5 3_Tertiary Salaries Survey" xfId="10616"/>
    <cellStyle name="RowTitles1-Detail 3 2 4 5 4" xfId="10617"/>
    <cellStyle name="RowTitles1-Detail 3 2 4 5 4 2" xfId="10618"/>
    <cellStyle name="RowTitles1-Detail 3 2 4 5 4_Tertiary Salaries Survey" xfId="10619"/>
    <cellStyle name="RowTitles1-Detail 3 2 4 5 5" xfId="10620"/>
    <cellStyle name="RowTitles1-Detail 3 2 4 5_Tertiary Salaries Survey" xfId="10621"/>
    <cellStyle name="RowTitles1-Detail 3 2 4 6" xfId="10622"/>
    <cellStyle name="RowTitles1-Detail 3 2 4 6 2" xfId="10623"/>
    <cellStyle name="RowTitles1-Detail 3 2 4 6 2 2" xfId="10624"/>
    <cellStyle name="RowTitles1-Detail 3 2 4 6 2 2 2" xfId="10625"/>
    <cellStyle name="RowTitles1-Detail 3 2 4 6 2 2_Tertiary Salaries Survey" xfId="10626"/>
    <cellStyle name="RowTitles1-Detail 3 2 4 6 2 3" xfId="10627"/>
    <cellStyle name="RowTitles1-Detail 3 2 4 6 2_Tertiary Salaries Survey" xfId="10628"/>
    <cellStyle name="RowTitles1-Detail 3 2 4 6 3" xfId="10629"/>
    <cellStyle name="RowTitles1-Detail 3 2 4 6 3 2" xfId="10630"/>
    <cellStyle name="RowTitles1-Detail 3 2 4 6 3 2 2" xfId="10631"/>
    <cellStyle name="RowTitles1-Detail 3 2 4 6 3 2_Tertiary Salaries Survey" xfId="10632"/>
    <cellStyle name="RowTitles1-Detail 3 2 4 6 3 3" xfId="10633"/>
    <cellStyle name="RowTitles1-Detail 3 2 4 6 3_Tertiary Salaries Survey" xfId="10634"/>
    <cellStyle name="RowTitles1-Detail 3 2 4 6 4" xfId="10635"/>
    <cellStyle name="RowTitles1-Detail 3 2 4 6 4 2" xfId="10636"/>
    <cellStyle name="RowTitles1-Detail 3 2 4 6 4_Tertiary Salaries Survey" xfId="10637"/>
    <cellStyle name="RowTitles1-Detail 3 2 4 6 5" xfId="10638"/>
    <cellStyle name="RowTitles1-Detail 3 2 4 6_Tertiary Salaries Survey" xfId="10639"/>
    <cellStyle name="RowTitles1-Detail 3 2 4 7" xfId="10640"/>
    <cellStyle name="RowTitles1-Detail 3 2 4 7 2" xfId="10641"/>
    <cellStyle name="RowTitles1-Detail 3 2 4 7 2 2" xfId="10642"/>
    <cellStyle name="RowTitles1-Detail 3 2 4 7 2_Tertiary Salaries Survey" xfId="10643"/>
    <cellStyle name="RowTitles1-Detail 3 2 4 7 3" xfId="10644"/>
    <cellStyle name="RowTitles1-Detail 3 2 4 7_Tertiary Salaries Survey" xfId="10645"/>
    <cellStyle name="RowTitles1-Detail 3 2 4 8" xfId="10646"/>
    <cellStyle name="RowTitles1-Detail 3 2 4 8 2" xfId="10647"/>
    <cellStyle name="RowTitles1-Detail 3 2 4 8 2 2" xfId="10648"/>
    <cellStyle name="RowTitles1-Detail 3 2 4 8 2_Tertiary Salaries Survey" xfId="10649"/>
    <cellStyle name="RowTitles1-Detail 3 2 4 8 3" xfId="10650"/>
    <cellStyle name="RowTitles1-Detail 3 2 4 8_Tertiary Salaries Survey" xfId="10651"/>
    <cellStyle name="RowTitles1-Detail 3 2 4 9" xfId="10652"/>
    <cellStyle name="RowTitles1-Detail 3 2 4_STUD aligned by INSTIT" xfId="10653"/>
    <cellStyle name="RowTitles1-Detail 3 2 5" xfId="10654"/>
    <cellStyle name="RowTitles1-Detail 3 2 5 2" xfId="10655"/>
    <cellStyle name="RowTitles1-Detail 3 2 5 2 2" xfId="10656"/>
    <cellStyle name="RowTitles1-Detail 3 2 5 2 2 2" xfId="10657"/>
    <cellStyle name="RowTitles1-Detail 3 2 5 2 2 2 2" xfId="10658"/>
    <cellStyle name="RowTitles1-Detail 3 2 5 2 2 2_Tertiary Salaries Survey" xfId="10659"/>
    <cellStyle name="RowTitles1-Detail 3 2 5 2 2 3" xfId="10660"/>
    <cellStyle name="RowTitles1-Detail 3 2 5 2 2_Tertiary Salaries Survey" xfId="10661"/>
    <cellStyle name="RowTitles1-Detail 3 2 5 2 3" xfId="10662"/>
    <cellStyle name="RowTitles1-Detail 3 2 5 2 3 2" xfId="10663"/>
    <cellStyle name="RowTitles1-Detail 3 2 5 2 3 2 2" xfId="10664"/>
    <cellStyle name="RowTitles1-Detail 3 2 5 2 3 2_Tertiary Salaries Survey" xfId="10665"/>
    <cellStyle name="RowTitles1-Detail 3 2 5 2 3 3" xfId="10666"/>
    <cellStyle name="RowTitles1-Detail 3 2 5 2 3_Tertiary Salaries Survey" xfId="10667"/>
    <cellStyle name="RowTitles1-Detail 3 2 5 2 4" xfId="10668"/>
    <cellStyle name="RowTitles1-Detail 3 2 5 2 5" xfId="10669"/>
    <cellStyle name="RowTitles1-Detail 3 2 5 2 5 2" xfId="10670"/>
    <cellStyle name="RowTitles1-Detail 3 2 5 2 5_Tertiary Salaries Survey" xfId="10671"/>
    <cellStyle name="RowTitles1-Detail 3 2 5 2 6" xfId="10672"/>
    <cellStyle name="RowTitles1-Detail 3 2 5 2_Tertiary Salaries Survey" xfId="10673"/>
    <cellStyle name="RowTitles1-Detail 3 2 5 3" xfId="10674"/>
    <cellStyle name="RowTitles1-Detail 3 2 5 3 2" xfId="10675"/>
    <cellStyle name="RowTitles1-Detail 3 2 5 3 2 2" xfId="10676"/>
    <cellStyle name="RowTitles1-Detail 3 2 5 3 2 2 2" xfId="10677"/>
    <cellStyle name="RowTitles1-Detail 3 2 5 3 2 2_Tertiary Salaries Survey" xfId="10678"/>
    <cellStyle name="RowTitles1-Detail 3 2 5 3 2 3" xfId="10679"/>
    <cellStyle name="RowTitles1-Detail 3 2 5 3 2_Tertiary Salaries Survey" xfId="10680"/>
    <cellStyle name="RowTitles1-Detail 3 2 5 3 3" xfId="10681"/>
    <cellStyle name="RowTitles1-Detail 3 2 5 3 3 2" xfId="10682"/>
    <cellStyle name="RowTitles1-Detail 3 2 5 3 3 2 2" xfId="10683"/>
    <cellStyle name="RowTitles1-Detail 3 2 5 3 3 2_Tertiary Salaries Survey" xfId="10684"/>
    <cellStyle name="RowTitles1-Detail 3 2 5 3 3 3" xfId="10685"/>
    <cellStyle name="RowTitles1-Detail 3 2 5 3 3_Tertiary Salaries Survey" xfId="10686"/>
    <cellStyle name="RowTitles1-Detail 3 2 5 3 4" xfId="10687"/>
    <cellStyle name="RowTitles1-Detail 3 2 5 3 5" xfId="10688"/>
    <cellStyle name="RowTitles1-Detail 3 2 5 3_Tertiary Salaries Survey" xfId="10689"/>
    <cellStyle name="RowTitles1-Detail 3 2 5 4" xfId="10690"/>
    <cellStyle name="RowTitles1-Detail 3 2 5 4 2" xfId="10691"/>
    <cellStyle name="RowTitles1-Detail 3 2 5 4 2 2" xfId="10692"/>
    <cellStyle name="RowTitles1-Detail 3 2 5 4 2 2 2" xfId="10693"/>
    <cellStyle name="RowTitles1-Detail 3 2 5 4 2 2_Tertiary Salaries Survey" xfId="10694"/>
    <cellStyle name="RowTitles1-Detail 3 2 5 4 2 3" xfId="10695"/>
    <cellStyle name="RowTitles1-Detail 3 2 5 4 2_Tertiary Salaries Survey" xfId="10696"/>
    <cellStyle name="RowTitles1-Detail 3 2 5 4 3" xfId="10697"/>
    <cellStyle name="RowTitles1-Detail 3 2 5 4 3 2" xfId="10698"/>
    <cellStyle name="RowTitles1-Detail 3 2 5 4 3 2 2" xfId="10699"/>
    <cellStyle name="RowTitles1-Detail 3 2 5 4 3 2_Tertiary Salaries Survey" xfId="10700"/>
    <cellStyle name="RowTitles1-Detail 3 2 5 4 3 3" xfId="10701"/>
    <cellStyle name="RowTitles1-Detail 3 2 5 4 3_Tertiary Salaries Survey" xfId="10702"/>
    <cellStyle name="RowTitles1-Detail 3 2 5 4 4" xfId="10703"/>
    <cellStyle name="RowTitles1-Detail 3 2 5 4 5" xfId="10704"/>
    <cellStyle name="RowTitles1-Detail 3 2 5 4 5 2" xfId="10705"/>
    <cellStyle name="RowTitles1-Detail 3 2 5 4 5_Tertiary Salaries Survey" xfId="10706"/>
    <cellStyle name="RowTitles1-Detail 3 2 5 4 6" xfId="10707"/>
    <cellStyle name="RowTitles1-Detail 3 2 5 4_Tertiary Salaries Survey" xfId="10708"/>
    <cellStyle name="RowTitles1-Detail 3 2 5 5" xfId="10709"/>
    <cellStyle name="RowTitles1-Detail 3 2 5 5 2" xfId="10710"/>
    <cellStyle name="RowTitles1-Detail 3 2 5 5 2 2" xfId="10711"/>
    <cellStyle name="RowTitles1-Detail 3 2 5 5 2 2 2" xfId="10712"/>
    <cellStyle name="RowTitles1-Detail 3 2 5 5 2 2_Tertiary Salaries Survey" xfId="10713"/>
    <cellStyle name="RowTitles1-Detail 3 2 5 5 2 3" xfId="10714"/>
    <cellStyle name="RowTitles1-Detail 3 2 5 5 2_Tertiary Salaries Survey" xfId="10715"/>
    <cellStyle name="RowTitles1-Detail 3 2 5 5 3" xfId="10716"/>
    <cellStyle name="RowTitles1-Detail 3 2 5 5 3 2" xfId="10717"/>
    <cellStyle name="RowTitles1-Detail 3 2 5 5 3 2 2" xfId="10718"/>
    <cellStyle name="RowTitles1-Detail 3 2 5 5 3 2_Tertiary Salaries Survey" xfId="10719"/>
    <cellStyle name="RowTitles1-Detail 3 2 5 5 3 3" xfId="10720"/>
    <cellStyle name="RowTitles1-Detail 3 2 5 5 3_Tertiary Salaries Survey" xfId="10721"/>
    <cellStyle name="RowTitles1-Detail 3 2 5 5 4" xfId="10722"/>
    <cellStyle name="RowTitles1-Detail 3 2 5 5 4 2" xfId="10723"/>
    <cellStyle name="RowTitles1-Detail 3 2 5 5 4_Tertiary Salaries Survey" xfId="10724"/>
    <cellStyle name="RowTitles1-Detail 3 2 5 5 5" xfId="10725"/>
    <cellStyle name="RowTitles1-Detail 3 2 5 5_Tertiary Salaries Survey" xfId="10726"/>
    <cellStyle name="RowTitles1-Detail 3 2 5 6" xfId="10727"/>
    <cellStyle name="RowTitles1-Detail 3 2 5 6 2" xfId="10728"/>
    <cellStyle name="RowTitles1-Detail 3 2 5 6 2 2" xfId="10729"/>
    <cellStyle name="RowTitles1-Detail 3 2 5 6 2 2 2" xfId="10730"/>
    <cellStyle name="RowTitles1-Detail 3 2 5 6 2 2_Tertiary Salaries Survey" xfId="10731"/>
    <cellStyle name="RowTitles1-Detail 3 2 5 6 2 3" xfId="10732"/>
    <cellStyle name="RowTitles1-Detail 3 2 5 6 2_Tertiary Salaries Survey" xfId="10733"/>
    <cellStyle name="RowTitles1-Detail 3 2 5 6 3" xfId="10734"/>
    <cellStyle name="RowTitles1-Detail 3 2 5 6 3 2" xfId="10735"/>
    <cellStyle name="RowTitles1-Detail 3 2 5 6 3 2 2" xfId="10736"/>
    <cellStyle name="RowTitles1-Detail 3 2 5 6 3 2_Tertiary Salaries Survey" xfId="10737"/>
    <cellStyle name="RowTitles1-Detail 3 2 5 6 3 3" xfId="10738"/>
    <cellStyle name="RowTitles1-Detail 3 2 5 6 3_Tertiary Salaries Survey" xfId="10739"/>
    <cellStyle name="RowTitles1-Detail 3 2 5 6 4" xfId="10740"/>
    <cellStyle name="RowTitles1-Detail 3 2 5 6 4 2" xfId="10741"/>
    <cellStyle name="RowTitles1-Detail 3 2 5 6 4_Tertiary Salaries Survey" xfId="10742"/>
    <cellStyle name="RowTitles1-Detail 3 2 5 6 5" xfId="10743"/>
    <cellStyle name="RowTitles1-Detail 3 2 5 6_Tertiary Salaries Survey" xfId="10744"/>
    <cellStyle name="RowTitles1-Detail 3 2 5 7" xfId="10745"/>
    <cellStyle name="RowTitles1-Detail 3 2 5 7 2" xfId="10746"/>
    <cellStyle name="RowTitles1-Detail 3 2 5 7 2 2" xfId="10747"/>
    <cellStyle name="RowTitles1-Detail 3 2 5 7 2_Tertiary Salaries Survey" xfId="10748"/>
    <cellStyle name="RowTitles1-Detail 3 2 5 7 3" xfId="10749"/>
    <cellStyle name="RowTitles1-Detail 3 2 5 7_Tertiary Salaries Survey" xfId="10750"/>
    <cellStyle name="RowTitles1-Detail 3 2 5 8" xfId="10751"/>
    <cellStyle name="RowTitles1-Detail 3 2 5 9" xfId="10752"/>
    <cellStyle name="RowTitles1-Detail 3 2 5_STUD aligned by INSTIT" xfId="10753"/>
    <cellStyle name="RowTitles1-Detail 3 2 6" xfId="10754"/>
    <cellStyle name="RowTitles1-Detail 3 2 6 2" xfId="10755"/>
    <cellStyle name="RowTitles1-Detail 3 2 6 2 2" xfId="10756"/>
    <cellStyle name="RowTitles1-Detail 3 2 6 2 2 2" xfId="10757"/>
    <cellStyle name="RowTitles1-Detail 3 2 6 2 2_Tertiary Salaries Survey" xfId="10758"/>
    <cellStyle name="RowTitles1-Detail 3 2 6 2 3" xfId="10759"/>
    <cellStyle name="RowTitles1-Detail 3 2 6 2_Tertiary Salaries Survey" xfId="10760"/>
    <cellStyle name="RowTitles1-Detail 3 2 6 3" xfId="10761"/>
    <cellStyle name="RowTitles1-Detail 3 2 6 3 2" xfId="10762"/>
    <cellStyle name="RowTitles1-Detail 3 2 6 3 2 2" xfId="10763"/>
    <cellStyle name="RowTitles1-Detail 3 2 6 3 2_Tertiary Salaries Survey" xfId="10764"/>
    <cellStyle name="RowTitles1-Detail 3 2 6 3 3" xfId="10765"/>
    <cellStyle name="RowTitles1-Detail 3 2 6 3_Tertiary Salaries Survey" xfId="10766"/>
    <cellStyle name="RowTitles1-Detail 3 2 6 4" xfId="10767"/>
    <cellStyle name="RowTitles1-Detail 3 2 6 5" xfId="10768"/>
    <cellStyle name="RowTitles1-Detail 3 2 6 5 2" xfId="10769"/>
    <cellStyle name="RowTitles1-Detail 3 2 6 5_Tertiary Salaries Survey" xfId="10770"/>
    <cellStyle name="RowTitles1-Detail 3 2 6 6" xfId="10771"/>
    <cellStyle name="RowTitles1-Detail 3 2 6_Tertiary Salaries Survey" xfId="10772"/>
    <cellStyle name="RowTitles1-Detail 3 2 7" xfId="10773"/>
    <cellStyle name="RowTitles1-Detail 3 2 7 2" xfId="10774"/>
    <cellStyle name="RowTitles1-Detail 3 2 7 2 2" xfId="10775"/>
    <cellStyle name="RowTitles1-Detail 3 2 7 2 2 2" xfId="10776"/>
    <cellStyle name="RowTitles1-Detail 3 2 7 2 2_Tertiary Salaries Survey" xfId="10777"/>
    <cellStyle name="RowTitles1-Detail 3 2 7 2 3" xfId="10778"/>
    <cellStyle name="RowTitles1-Detail 3 2 7 2_Tertiary Salaries Survey" xfId="10779"/>
    <cellStyle name="RowTitles1-Detail 3 2 7 3" xfId="10780"/>
    <cellStyle name="RowTitles1-Detail 3 2 7 3 2" xfId="10781"/>
    <cellStyle name="RowTitles1-Detail 3 2 7 3 2 2" xfId="10782"/>
    <cellStyle name="RowTitles1-Detail 3 2 7 3 2_Tertiary Salaries Survey" xfId="10783"/>
    <cellStyle name="RowTitles1-Detail 3 2 7 3 3" xfId="10784"/>
    <cellStyle name="RowTitles1-Detail 3 2 7 3_Tertiary Salaries Survey" xfId="10785"/>
    <cellStyle name="RowTitles1-Detail 3 2 7 4" xfId="10786"/>
    <cellStyle name="RowTitles1-Detail 3 2 7 5" xfId="10787"/>
    <cellStyle name="RowTitles1-Detail 3 2 7_Tertiary Salaries Survey" xfId="10788"/>
    <cellStyle name="RowTitles1-Detail 3 2 8" xfId="10789"/>
    <cellStyle name="RowTitles1-Detail 3 2 8 2" xfId="10790"/>
    <cellStyle name="RowTitles1-Detail 3 2 8 2 2" xfId="10791"/>
    <cellStyle name="RowTitles1-Detail 3 2 8 2 2 2" xfId="10792"/>
    <cellStyle name="RowTitles1-Detail 3 2 8 2 2_Tertiary Salaries Survey" xfId="10793"/>
    <cellStyle name="RowTitles1-Detail 3 2 8 2 3" xfId="10794"/>
    <cellStyle name="RowTitles1-Detail 3 2 8 2_Tertiary Salaries Survey" xfId="10795"/>
    <cellStyle name="RowTitles1-Detail 3 2 8 3" xfId="10796"/>
    <cellStyle name="RowTitles1-Detail 3 2 8 3 2" xfId="10797"/>
    <cellStyle name="RowTitles1-Detail 3 2 8 3 2 2" xfId="10798"/>
    <cellStyle name="RowTitles1-Detail 3 2 8 3 2_Tertiary Salaries Survey" xfId="10799"/>
    <cellStyle name="RowTitles1-Detail 3 2 8 3 3" xfId="10800"/>
    <cellStyle name="RowTitles1-Detail 3 2 8 3_Tertiary Salaries Survey" xfId="10801"/>
    <cellStyle name="RowTitles1-Detail 3 2 8 4" xfId="10802"/>
    <cellStyle name="RowTitles1-Detail 3 2 8 5" xfId="10803"/>
    <cellStyle name="RowTitles1-Detail 3 2 8 5 2" xfId="10804"/>
    <cellStyle name="RowTitles1-Detail 3 2 8 5_Tertiary Salaries Survey" xfId="10805"/>
    <cellStyle name="RowTitles1-Detail 3 2 8 6" xfId="10806"/>
    <cellStyle name="RowTitles1-Detail 3 2 8_Tertiary Salaries Survey" xfId="10807"/>
    <cellStyle name="RowTitles1-Detail 3 2 9" xfId="10808"/>
    <cellStyle name="RowTitles1-Detail 3 2 9 2" xfId="10809"/>
    <cellStyle name="RowTitles1-Detail 3 2 9 2 2" xfId="10810"/>
    <cellStyle name="RowTitles1-Detail 3 2 9 2 2 2" xfId="10811"/>
    <cellStyle name="RowTitles1-Detail 3 2 9 2 2_Tertiary Salaries Survey" xfId="10812"/>
    <cellStyle name="RowTitles1-Detail 3 2 9 2 3" xfId="10813"/>
    <cellStyle name="RowTitles1-Detail 3 2 9 2_Tertiary Salaries Survey" xfId="10814"/>
    <cellStyle name="RowTitles1-Detail 3 2 9 3" xfId="10815"/>
    <cellStyle name="RowTitles1-Detail 3 2 9 3 2" xfId="10816"/>
    <cellStyle name="RowTitles1-Detail 3 2 9 3 2 2" xfId="10817"/>
    <cellStyle name="RowTitles1-Detail 3 2 9 3 2_Tertiary Salaries Survey" xfId="10818"/>
    <cellStyle name="RowTitles1-Detail 3 2 9 3 3" xfId="10819"/>
    <cellStyle name="RowTitles1-Detail 3 2 9 3_Tertiary Salaries Survey" xfId="10820"/>
    <cellStyle name="RowTitles1-Detail 3 2 9 4" xfId="10821"/>
    <cellStyle name="RowTitles1-Detail 3 2 9 4 2" xfId="10822"/>
    <cellStyle name="RowTitles1-Detail 3 2 9 4_Tertiary Salaries Survey" xfId="10823"/>
    <cellStyle name="RowTitles1-Detail 3 2 9 5" xfId="10824"/>
    <cellStyle name="RowTitles1-Detail 3 2 9_Tertiary Salaries Survey" xfId="10825"/>
    <cellStyle name="RowTitles1-Detail 3 2_STUD aligned by INSTIT" xfId="10826"/>
    <cellStyle name="RowTitles1-Detail 3 3" xfId="10827"/>
    <cellStyle name="RowTitles1-Detail 3 3 10" xfId="10828"/>
    <cellStyle name="RowTitles1-Detail 3 3 10 2" xfId="10829"/>
    <cellStyle name="RowTitles1-Detail 3 3 10 2 2" xfId="10830"/>
    <cellStyle name="RowTitles1-Detail 3 3 10 2_Tertiary Salaries Survey" xfId="10831"/>
    <cellStyle name="RowTitles1-Detail 3 3 10 3" xfId="10832"/>
    <cellStyle name="RowTitles1-Detail 3 3 10_Tertiary Salaries Survey" xfId="10833"/>
    <cellStyle name="RowTitles1-Detail 3 3 11" xfId="10834"/>
    <cellStyle name="RowTitles1-Detail 3 3 12" xfId="10835"/>
    <cellStyle name="RowTitles1-Detail 3 3 2" xfId="10836"/>
    <cellStyle name="RowTitles1-Detail 3 3 2 2" xfId="10837"/>
    <cellStyle name="RowTitles1-Detail 3 3 2 2 2" xfId="10838"/>
    <cellStyle name="RowTitles1-Detail 3 3 2 2 2 2" xfId="10839"/>
    <cellStyle name="RowTitles1-Detail 3 3 2 2 2 2 2" xfId="10840"/>
    <cellStyle name="RowTitles1-Detail 3 3 2 2 2 2_Tertiary Salaries Survey" xfId="10841"/>
    <cellStyle name="RowTitles1-Detail 3 3 2 2 2 3" xfId="10842"/>
    <cellStyle name="RowTitles1-Detail 3 3 2 2 2_Tertiary Salaries Survey" xfId="10843"/>
    <cellStyle name="RowTitles1-Detail 3 3 2 2 3" xfId="10844"/>
    <cellStyle name="RowTitles1-Detail 3 3 2 2 3 2" xfId="10845"/>
    <cellStyle name="RowTitles1-Detail 3 3 2 2 3 2 2" xfId="10846"/>
    <cellStyle name="RowTitles1-Detail 3 3 2 2 3 2_Tertiary Salaries Survey" xfId="10847"/>
    <cellStyle name="RowTitles1-Detail 3 3 2 2 3 3" xfId="10848"/>
    <cellStyle name="RowTitles1-Detail 3 3 2 2 3_Tertiary Salaries Survey" xfId="10849"/>
    <cellStyle name="RowTitles1-Detail 3 3 2 2 4" xfId="10850"/>
    <cellStyle name="RowTitles1-Detail 3 3 2 2 5" xfId="10851"/>
    <cellStyle name="RowTitles1-Detail 3 3 2 2_Tertiary Salaries Survey" xfId="10852"/>
    <cellStyle name="RowTitles1-Detail 3 3 2 3" xfId="10853"/>
    <cellStyle name="RowTitles1-Detail 3 3 2 3 2" xfId="10854"/>
    <cellStyle name="RowTitles1-Detail 3 3 2 3 2 2" xfId="10855"/>
    <cellStyle name="RowTitles1-Detail 3 3 2 3 2 2 2" xfId="10856"/>
    <cellStyle name="RowTitles1-Detail 3 3 2 3 2 2_Tertiary Salaries Survey" xfId="10857"/>
    <cellStyle name="RowTitles1-Detail 3 3 2 3 2 3" xfId="10858"/>
    <cellStyle name="RowTitles1-Detail 3 3 2 3 2_Tertiary Salaries Survey" xfId="10859"/>
    <cellStyle name="RowTitles1-Detail 3 3 2 3 3" xfId="10860"/>
    <cellStyle name="RowTitles1-Detail 3 3 2 3 3 2" xfId="10861"/>
    <cellStyle name="RowTitles1-Detail 3 3 2 3 3 2 2" xfId="10862"/>
    <cellStyle name="RowTitles1-Detail 3 3 2 3 3 2_Tertiary Salaries Survey" xfId="10863"/>
    <cellStyle name="RowTitles1-Detail 3 3 2 3 3 3" xfId="10864"/>
    <cellStyle name="RowTitles1-Detail 3 3 2 3 3_Tertiary Salaries Survey" xfId="10865"/>
    <cellStyle name="RowTitles1-Detail 3 3 2 3 4" xfId="10866"/>
    <cellStyle name="RowTitles1-Detail 3 3 2 3 5" xfId="10867"/>
    <cellStyle name="RowTitles1-Detail 3 3 2 3 5 2" xfId="10868"/>
    <cellStyle name="RowTitles1-Detail 3 3 2 3 5_Tertiary Salaries Survey" xfId="10869"/>
    <cellStyle name="RowTitles1-Detail 3 3 2 3 6" xfId="10870"/>
    <cellStyle name="RowTitles1-Detail 3 3 2 3_Tertiary Salaries Survey" xfId="10871"/>
    <cellStyle name="RowTitles1-Detail 3 3 2 4" xfId="10872"/>
    <cellStyle name="RowTitles1-Detail 3 3 2 4 2" xfId="10873"/>
    <cellStyle name="RowTitles1-Detail 3 3 2 4 2 2" xfId="10874"/>
    <cellStyle name="RowTitles1-Detail 3 3 2 4 2 2 2" xfId="10875"/>
    <cellStyle name="RowTitles1-Detail 3 3 2 4 2 2_Tertiary Salaries Survey" xfId="10876"/>
    <cellStyle name="RowTitles1-Detail 3 3 2 4 2 3" xfId="10877"/>
    <cellStyle name="RowTitles1-Detail 3 3 2 4 2_Tertiary Salaries Survey" xfId="10878"/>
    <cellStyle name="RowTitles1-Detail 3 3 2 4 3" xfId="10879"/>
    <cellStyle name="RowTitles1-Detail 3 3 2 4 3 2" xfId="10880"/>
    <cellStyle name="RowTitles1-Detail 3 3 2 4 3 2 2" xfId="10881"/>
    <cellStyle name="RowTitles1-Detail 3 3 2 4 3 2_Tertiary Salaries Survey" xfId="10882"/>
    <cellStyle name="RowTitles1-Detail 3 3 2 4 3 3" xfId="10883"/>
    <cellStyle name="RowTitles1-Detail 3 3 2 4 3_Tertiary Salaries Survey" xfId="10884"/>
    <cellStyle name="RowTitles1-Detail 3 3 2 4 4" xfId="10885"/>
    <cellStyle name="RowTitles1-Detail 3 3 2 4 4 2" xfId="10886"/>
    <cellStyle name="RowTitles1-Detail 3 3 2 4 4_Tertiary Salaries Survey" xfId="10887"/>
    <cellStyle name="RowTitles1-Detail 3 3 2 4 5" xfId="10888"/>
    <cellStyle name="RowTitles1-Detail 3 3 2 4_Tertiary Salaries Survey" xfId="10889"/>
    <cellStyle name="RowTitles1-Detail 3 3 2 5" xfId="10890"/>
    <cellStyle name="RowTitles1-Detail 3 3 2 5 2" xfId="10891"/>
    <cellStyle name="RowTitles1-Detail 3 3 2 5 2 2" xfId="10892"/>
    <cellStyle name="RowTitles1-Detail 3 3 2 5 2 2 2" xfId="10893"/>
    <cellStyle name="RowTitles1-Detail 3 3 2 5 2 2_Tertiary Salaries Survey" xfId="10894"/>
    <cellStyle name="RowTitles1-Detail 3 3 2 5 2 3" xfId="10895"/>
    <cellStyle name="RowTitles1-Detail 3 3 2 5 2_Tertiary Salaries Survey" xfId="10896"/>
    <cellStyle name="RowTitles1-Detail 3 3 2 5 3" xfId="10897"/>
    <cellStyle name="RowTitles1-Detail 3 3 2 5 3 2" xfId="10898"/>
    <cellStyle name="RowTitles1-Detail 3 3 2 5 3 2 2" xfId="10899"/>
    <cellStyle name="RowTitles1-Detail 3 3 2 5 3 2_Tertiary Salaries Survey" xfId="10900"/>
    <cellStyle name="RowTitles1-Detail 3 3 2 5 3 3" xfId="10901"/>
    <cellStyle name="RowTitles1-Detail 3 3 2 5 3_Tertiary Salaries Survey" xfId="10902"/>
    <cellStyle name="RowTitles1-Detail 3 3 2 5 4" xfId="10903"/>
    <cellStyle name="RowTitles1-Detail 3 3 2 5 4 2" xfId="10904"/>
    <cellStyle name="RowTitles1-Detail 3 3 2 5 4_Tertiary Salaries Survey" xfId="10905"/>
    <cellStyle name="RowTitles1-Detail 3 3 2 5 5" xfId="10906"/>
    <cellStyle name="RowTitles1-Detail 3 3 2 5_Tertiary Salaries Survey" xfId="10907"/>
    <cellStyle name="RowTitles1-Detail 3 3 2 6" xfId="10908"/>
    <cellStyle name="RowTitles1-Detail 3 3 2 6 2" xfId="10909"/>
    <cellStyle name="RowTitles1-Detail 3 3 2 6 2 2" xfId="10910"/>
    <cellStyle name="RowTitles1-Detail 3 3 2 6 2 2 2" xfId="10911"/>
    <cellStyle name="RowTitles1-Detail 3 3 2 6 2 2_Tertiary Salaries Survey" xfId="10912"/>
    <cellStyle name="RowTitles1-Detail 3 3 2 6 2 3" xfId="10913"/>
    <cellStyle name="RowTitles1-Detail 3 3 2 6 2_Tertiary Salaries Survey" xfId="10914"/>
    <cellStyle name="RowTitles1-Detail 3 3 2 6 3" xfId="10915"/>
    <cellStyle name="RowTitles1-Detail 3 3 2 6 3 2" xfId="10916"/>
    <cellStyle name="RowTitles1-Detail 3 3 2 6 3 2 2" xfId="10917"/>
    <cellStyle name="RowTitles1-Detail 3 3 2 6 3 2_Tertiary Salaries Survey" xfId="10918"/>
    <cellStyle name="RowTitles1-Detail 3 3 2 6 3 3" xfId="10919"/>
    <cellStyle name="RowTitles1-Detail 3 3 2 6 3_Tertiary Salaries Survey" xfId="10920"/>
    <cellStyle name="RowTitles1-Detail 3 3 2 6 4" xfId="10921"/>
    <cellStyle name="RowTitles1-Detail 3 3 2 6 4 2" xfId="10922"/>
    <cellStyle name="RowTitles1-Detail 3 3 2 6 4_Tertiary Salaries Survey" xfId="10923"/>
    <cellStyle name="RowTitles1-Detail 3 3 2 6 5" xfId="10924"/>
    <cellStyle name="RowTitles1-Detail 3 3 2 6_Tertiary Salaries Survey" xfId="10925"/>
    <cellStyle name="RowTitles1-Detail 3 3 2 7" xfId="10926"/>
    <cellStyle name="RowTitles1-Detail 3 3 2 7 2" xfId="10927"/>
    <cellStyle name="RowTitles1-Detail 3 3 2 7 2 2" xfId="10928"/>
    <cellStyle name="RowTitles1-Detail 3 3 2 7 2_Tertiary Salaries Survey" xfId="10929"/>
    <cellStyle name="RowTitles1-Detail 3 3 2 7 3" xfId="10930"/>
    <cellStyle name="RowTitles1-Detail 3 3 2 7_Tertiary Salaries Survey" xfId="10931"/>
    <cellStyle name="RowTitles1-Detail 3 3 2 8" xfId="10932"/>
    <cellStyle name="RowTitles1-Detail 3 3 2 9" xfId="10933"/>
    <cellStyle name="RowTitles1-Detail 3 3 2_STUD aligned by INSTIT" xfId="10934"/>
    <cellStyle name="RowTitles1-Detail 3 3 3" xfId="10935"/>
    <cellStyle name="RowTitles1-Detail 3 3 3 2" xfId="10936"/>
    <cellStyle name="RowTitles1-Detail 3 3 3 2 2" xfId="10937"/>
    <cellStyle name="RowTitles1-Detail 3 3 3 2 2 2" xfId="10938"/>
    <cellStyle name="RowTitles1-Detail 3 3 3 2 2 2 2" xfId="10939"/>
    <cellStyle name="RowTitles1-Detail 3 3 3 2 2 2_Tertiary Salaries Survey" xfId="10940"/>
    <cellStyle name="RowTitles1-Detail 3 3 3 2 2 3" xfId="10941"/>
    <cellStyle name="RowTitles1-Detail 3 3 3 2 2_Tertiary Salaries Survey" xfId="10942"/>
    <cellStyle name="RowTitles1-Detail 3 3 3 2 3" xfId="10943"/>
    <cellStyle name="RowTitles1-Detail 3 3 3 2 3 2" xfId="10944"/>
    <cellStyle name="RowTitles1-Detail 3 3 3 2 3 2 2" xfId="10945"/>
    <cellStyle name="RowTitles1-Detail 3 3 3 2 3 2_Tertiary Salaries Survey" xfId="10946"/>
    <cellStyle name="RowTitles1-Detail 3 3 3 2 3 3" xfId="10947"/>
    <cellStyle name="RowTitles1-Detail 3 3 3 2 3_Tertiary Salaries Survey" xfId="10948"/>
    <cellStyle name="RowTitles1-Detail 3 3 3 2 4" xfId="10949"/>
    <cellStyle name="RowTitles1-Detail 3 3 3 2 5" xfId="10950"/>
    <cellStyle name="RowTitles1-Detail 3 3 3 2 5 2" xfId="10951"/>
    <cellStyle name="RowTitles1-Detail 3 3 3 2 5_Tertiary Salaries Survey" xfId="10952"/>
    <cellStyle name="RowTitles1-Detail 3 3 3 2 6" xfId="10953"/>
    <cellStyle name="RowTitles1-Detail 3 3 3 2_Tertiary Salaries Survey" xfId="10954"/>
    <cellStyle name="RowTitles1-Detail 3 3 3 3" xfId="10955"/>
    <cellStyle name="RowTitles1-Detail 3 3 3 3 2" xfId="10956"/>
    <cellStyle name="RowTitles1-Detail 3 3 3 3 2 2" xfId="10957"/>
    <cellStyle name="RowTitles1-Detail 3 3 3 3 2 2 2" xfId="10958"/>
    <cellStyle name="RowTitles1-Detail 3 3 3 3 2 2_Tertiary Salaries Survey" xfId="10959"/>
    <cellStyle name="RowTitles1-Detail 3 3 3 3 2 3" xfId="10960"/>
    <cellStyle name="RowTitles1-Detail 3 3 3 3 2_Tertiary Salaries Survey" xfId="10961"/>
    <cellStyle name="RowTitles1-Detail 3 3 3 3 3" xfId="10962"/>
    <cellStyle name="RowTitles1-Detail 3 3 3 3 3 2" xfId="10963"/>
    <cellStyle name="RowTitles1-Detail 3 3 3 3 3 2 2" xfId="10964"/>
    <cellStyle name="RowTitles1-Detail 3 3 3 3 3 2_Tertiary Salaries Survey" xfId="10965"/>
    <cellStyle name="RowTitles1-Detail 3 3 3 3 3 3" xfId="10966"/>
    <cellStyle name="RowTitles1-Detail 3 3 3 3 3_Tertiary Salaries Survey" xfId="10967"/>
    <cellStyle name="RowTitles1-Detail 3 3 3 3 4" xfId="10968"/>
    <cellStyle name="RowTitles1-Detail 3 3 3 3 5" xfId="10969"/>
    <cellStyle name="RowTitles1-Detail 3 3 3 3_Tertiary Salaries Survey" xfId="10970"/>
    <cellStyle name="RowTitles1-Detail 3 3 3 4" xfId="10971"/>
    <cellStyle name="RowTitles1-Detail 3 3 3 4 2" xfId="10972"/>
    <cellStyle name="RowTitles1-Detail 3 3 3 4 2 2" xfId="10973"/>
    <cellStyle name="RowTitles1-Detail 3 3 3 4 2 2 2" xfId="10974"/>
    <cellStyle name="RowTitles1-Detail 3 3 3 4 2 2_Tertiary Salaries Survey" xfId="10975"/>
    <cellStyle name="RowTitles1-Detail 3 3 3 4 2 3" xfId="10976"/>
    <cellStyle name="RowTitles1-Detail 3 3 3 4 2_Tertiary Salaries Survey" xfId="10977"/>
    <cellStyle name="RowTitles1-Detail 3 3 3 4 3" xfId="10978"/>
    <cellStyle name="RowTitles1-Detail 3 3 3 4 3 2" xfId="10979"/>
    <cellStyle name="RowTitles1-Detail 3 3 3 4 3 2 2" xfId="10980"/>
    <cellStyle name="RowTitles1-Detail 3 3 3 4 3 2_Tertiary Salaries Survey" xfId="10981"/>
    <cellStyle name="RowTitles1-Detail 3 3 3 4 3 3" xfId="10982"/>
    <cellStyle name="RowTitles1-Detail 3 3 3 4 3_Tertiary Salaries Survey" xfId="10983"/>
    <cellStyle name="RowTitles1-Detail 3 3 3 4 4" xfId="10984"/>
    <cellStyle name="RowTitles1-Detail 3 3 3 4 4 2" xfId="10985"/>
    <cellStyle name="RowTitles1-Detail 3 3 3 4 4_Tertiary Salaries Survey" xfId="10986"/>
    <cellStyle name="RowTitles1-Detail 3 3 3 4 5" xfId="10987"/>
    <cellStyle name="RowTitles1-Detail 3 3 3 4_Tertiary Salaries Survey" xfId="10988"/>
    <cellStyle name="RowTitles1-Detail 3 3 3 5" xfId="10989"/>
    <cellStyle name="RowTitles1-Detail 3 3 3 5 2" xfId="10990"/>
    <cellStyle name="RowTitles1-Detail 3 3 3 5 2 2" xfId="10991"/>
    <cellStyle name="RowTitles1-Detail 3 3 3 5 2 2 2" xfId="10992"/>
    <cellStyle name="RowTitles1-Detail 3 3 3 5 2 2_Tertiary Salaries Survey" xfId="10993"/>
    <cellStyle name="RowTitles1-Detail 3 3 3 5 2 3" xfId="10994"/>
    <cellStyle name="RowTitles1-Detail 3 3 3 5 2_Tertiary Salaries Survey" xfId="10995"/>
    <cellStyle name="RowTitles1-Detail 3 3 3 5 3" xfId="10996"/>
    <cellStyle name="RowTitles1-Detail 3 3 3 5 3 2" xfId="10997"/>
    <cellStyle name="RowTitles1-Detail 3 3 3 5 3 2 2" xfId="10998"/>
    <cellStyle name="RowTitles1-Detail 3 3 3 5 3 2_Tertiary Salaries Survey" xfId="10999"/>
    <cellStyle name="RowTitles1-Detail 3 3 3 5 3 3" xfId="11000"/>
    <cellStyle name="RowTitles1-Detail 3 3 3 5 3_Tertiary Salaries Survey" xfId="11001"/>
    <cellStyle name="RowTitles1-Detail 3 3 3 5 4" xfId="11002"/>
    <cellStyle name="RowTitles1-Detail 3 3 3 5 4 2" xfId="11003"/>
    <cellStyle name="RowTitles1-Detail 3 3 3 5 4_Tertiary Salaries Survey" xfId="11004"/>
    <cellStyle name="RowTitles1-Detail 3 3 3 5 5" xfId="11005"/>
    <cellStyle name="RowTitles1-Detail 3 3 3 5_Tertiary Salaries Survey" xfId="11006"/>
    <cellStyle name="RowTitles1-Detail 3 3 3 6" xfId="11007"/>
    <cellStyle name="RowTitles1-Detail 3 3 3 6 2" xfId="11008"/>
    <cellStyle name="RowTitles1-Detail 3 3 3 6 2 2" xfId="11009"/>
    <cellStyle name="RowTitles1-Detail 3 3 3 6 2 2 2" xfId="11010"/>
    <cellStyle name="RowTitles1-Detail 3 3 3 6 2 2_Tertiary Salaries Survey" xfId="11011"/>
    <cellStyle name="RowTitles1-Detail 3 3 3 6 2 3" xfId="11012"/>
    <cellStyle name="RowTitles1-Detail 3 3 3 6 2_Tertiary Salaries Survey" xfId="11013"/>
    <cellStyle name="RowTitles1-Detail 3 3 3 6 3" xfId="11014"/>
    <cellStyle name="RowTitles1-Detail 3 3 3 6 3 2" xfId="11015"/>
    <cellStyle name="RowTitles1-Detail 3 3 3 6 3 2 2" xfId="11016"/>
    <cellStyle name="RowTitles1-Detail 3 3 3 6 3 2_Tertiary Salaries Survey" xfId="11017"/>
    <cellStyle name="RowTitles1-Detail 3 3 3 6 3 3" xfId="11018"/>
    <cellStyle name="RowTitles1-Detail 3 3 3 6 3_Tertiary Salaries Survey" xfId="11019"/>
    <cellStyle name="RowTitles1-Detail 3 3 3 6 4" xfId="11020"/>
    <cellStyle name="RowTitles1-Detail 3 3 3 6 4 2" xfId="11021"/>
    <cellStyle name="RowTitles1-Detail 3 3 3 6 4_Tertiary Salaries Survey" xfId="11022"/>
    <cellStyle name="RowTitles1-Detail 3 3 3 6 5" xfId="11023"/>
    <cellStyle name="RowTitles1-Detail 3 3 3 6_Tertiary Salaries Survey" xfId="11024"/>
    <cellStyle name="RowTitles1-Detail 3 3 3 7" xfId="11025"/>
    <cellStyle name="RowTitles1-Detail 3 3 3 7 2" xfId="11026"/>
    <cellStyle name="RowTitles1-Detail 3 3 3 7 2 2" xfId="11027"/>
    <cellStyle name="RowTitles1-Detail 3 3 3 7 2_Tertiary Salaries Survey" xfId="11028"/>
    <cellStyle name="RowTitles1-Detail 3 3 3 7 3" xfId="11029"/>
    <cellStyle name="RowTitles1-Detail 3 3 3 7_Tertiary Salaries Survey" xfId="11030"/>
    <cellStyle name="RowTitles1-Detail 3 3 3 8" xfId="11031"/>
    <cellStyle name="RowTitles1-Detail 3 3 3 8 2" xfId="11032"/>
    <cellStyle name="RowTitles1-Detail 3 3 3 8 2 2" xfId="11033"/>
    <cellStyle name="RowTitles1-Detail 3 3 3 8 2_Tertiary Salaries Survey" xfId="11034"/>
    <cellStyle name="RowTitles1-Detail 3 3 3 8 3" xfId="11035"/>
    <cellStyle name="RowTitles1-Detail 3 3 3 8_Tertiary Salaries Survey" xfId="11036"/>
    <cellStyle name="RowTitles1-Detail 3 3 3 9" xfId="11037"/>
    <cellStyle name="RowTitles1-Detail 3 3 3_STUD aligned by INSTIT" xfId="11038"/>
    <cellStyle name="RowTitles1-Detail 3 3 4" xfId="11039"/>
    <cellStyle name="RowTitles1-Detail 3 3 4 2" xfId="11040"/>
    <cellStyle name="RowTitles1-Detail 3 3 4 2 2" xfId="11041"/>
    <cellStyle name="RowTitles1-Detail 3 3 4 2 2 2" xfId="11042"/>
    <cellStyle name="RowTitles1-Detail 3 3 4 2 2 2 2" xfId="11043"/>
    <cellStyle name="RowTitles1-Detail 3 3 4 2 2 2_Tertiary Salaries Survey" xfId="11044"/>
    <cellStyle name="RowTitles1-Detail 3 3 4 2 2 3" xfId="11045"/>
    <cellStyle name="RowTitles1-Detail 3 3 4 2 2_Tertiary Salaries Survey" xfId="11046"/>
    <cellStyle name="RowTitles1-Detail 3 3 4 2 3" xfId="11047"/>
    <cellStyle name="RowTitles1-Detail 3 3 4 2 3 2" xfId="11048"/>
    <cellStyle name="RowTitles1-Detail 3 3 4 2 3 2 2" xfId="11049"/>
    <cellStyle name="RowTitles1-Detail 3 3 4 2 3 2_Tertiary Salaries Survey" xfId="11050"/>
    <cellStyle name="RowTitles1-Detail 3 3 4 2 3 3" xfId="11051"/>
    <cellStyle name="RowTitles1-Detail 3 3 4 2 3_Tertiary Salaries Survey" xfId="11052"/>
    <cellStyle name="RowTitles1-Detail 3 3 4 2 4" xfId="11053"/>
    <cellStyle name="RowTitles1-Detail 3 3 4 2 5" xfId="11054"/>
    <cellStyle name="RowTitles1-Detail 3 3 4 2 5 2" xfId="11055"/>
    <cellStyle name="RowTitles1-Detail 3 3 4 2 5_Tertiary Salaries Survey" xfId="11056"/>
    <cellStyle name="RowTitles1-Detail 3 3 4 2 6" xfId="11057"/>
    <cellStyle name="RowTitles1-Detail 3 3 4 2_Tertiary Salaries Survey" xfId="11058"/>
    <cellStyle name="RowTitles1-Detail 3 3 4 3" xfId="11059"/>
    <cellStyle name="RowTitles1-Detail 3 3 4 3 2" xfId="11060"/>
    <cellStyle name="RowTitles1-Detail 3 3 4 3 2 2" xfId="11061"/>
    <cellStyle name="RowTitles1-Detail 3 3 4 3 2 2 2" xfId="11062"/>
    <cellStyle name="RowTitles1-Detail 3 3 4 3 2 2_Tertiary Salaries Survey" xfId="11063"/>
    <cellStyle name="RowTitles1-Detail 3 3 4 3 2 3" xfId="11064"/>
    <cellStyle name="RowTitles1-Detail 3 3 4 3 2_Tertiary Salaries Survey" xfId="11065"/>
    <cellStyle name="RowTitles1-Detail 3 3 4 3 3" xfId="11066"/>
    <cellStyle name="RowTitles1-Detail 3 3 4 3 3 2" xfId="11067"/>
    <cellStyle name="RowTitles1-Detail 3 3 4 3 3 2 2" xfId="11068"/>
    <cellStyle name="RowTitles1-Detail 3 3 4 3 3 2_Tertiary Salaries Survey" xfId="11069"/>
    <cellStyle name="RowTitles1-Detail 3 3 4 3 3 3" xfId="11070"/>
    <cellStyle name="RowTitles1-Detail 3 3 4 3 3_Tertiary Salaries Survey" xfId="11071"/>
    <cellStyle name="RowTitles1-Detail 3 3 4 3 4" xfId="11072"/>
    <cellStyle name="RowTitles1-Detail 3 3 4 3 5" xfId="11073"/>
    <cellStyle name="RowTitles1-Detail 3 3 4 3_Tertiary Salaries Survey" xfId="11074"/>
    <cellStyle name="RowTitles1-Detail 3 3 4 4" xfId="11075"/>
    <cellStyle name="RowTitles1-Detail 3 3 4 4 2" xfId="11076"/>
    <cellStyle name="RowTitles1-Detail 3 3 4 4 2 2" xfId="11077"/>
    <cellStyle name="RowTitles1-Detail 3 3 4 4 2 2 2" xfId="11078"/>
    <cellStyle name="RowTitles1-Detail 3 3 4 4 2 2_Tertiary Salaries Survey" xfId="11079"/>
    <cellStyle name="RowTitles1-Detail 3 3 4 4 2 3" xfId="11080"/>
    <cellStyle name="RowTitles1-Detail 3 3 4 4 2_Tertiary Salaries Survey" xfId="11081"/>
    <cellStyle name="RowTitles1-Detail 3 3 4 4 3" xfId="11082"/>
    <cellStyle name="RowTitles1-Detail 3 3 4 4 3 2" xfId="11083"/>
    <cellStyle name="RowTitles1-Detail 3 3 4 4 3 2 2" xfId="11084"/>
    <cellStyle name="RowTitles1-Detail 3 3 4 4 3 2_Tertiary Salaries Survey" xfId="11085"/>
    <cellStyle name="RowTitles1-Detail 3 3 4 4 3 3" xfId="11086"/>
    <cellStyle name="RowTitles1-Detail 3 3 4 4 3_Tertiary Salaries Survey" xfId="11087"/>
    <cellStyle name="RowTitles1-Detail 3 3 4 4 4" xfId="11088"/>
    <cellStyle name="RowTitles1-Detail 3 3 4 4 5" xfId="11089"/>
    <cellStyle name="RowTitles1-Detail 3 3 4 4 5 2" xfId="11090"/>
    <cellStyle name="RowTitles1-Detail 3 3 4 4 5_Tertiary Salaries Survey" xfId="11091"/>
    <cellStyle name="RowTitles1-Detail 3 3 4 4 6" xfId="11092"/>
    <cellStyle name="RowTitles1-Detail 3 3 4 4_Tertiary Salaries Survey" xfId="11093"/>
    <cellStyle name="RowTitles1-Detail 3 3 4 5" xfId="11094"/>
    <cellStyle name="RowTitles1-Detail 3 3 4 5 2" xfId="11095"/>
    <cellStyle name="RowTitles1-Detail 3 3 4 5 2 2" xfId="11096"/>
    <cellStyle name="RowTitles1-Detail 3 3 4 5 2 2 2" xfId="11097"/>
    <cellStyle name="RowTitles1-Detail 3 3 4 5 2 2_Tertiary Salaries Survey" xfId="11098"/>
    <cellStyle name="RowTitles1-Detail 3 3 4 5 2 3" xfId="11099"/>
    <cellStyle name="RowTitles1-Detail 3 3 4 5 2_Tertiary Salaries Survey" xfId="11100"/>
    <cellStyle name="RowTitles1-Detail 3 3 4 5 3" xfId="11101"/>
    <cellStyle name="RowTitles1-Detail 3 3 4 5 3 2" xfId="11102"/>
    <cellStyle name="RowTitles1-Detail 3 3 4 5 3 2 2" xfId="11103"/>
    <cellStyle name="RowTitles1-Detail 3 3 4 5 3 2_Tertiary Salaries Survey" xfId="11104"/>
    <cellStyle name="RowTitles1-Detail 3 3 4 5 3 3" xfId="11105"/>
    <cellStyle name="RowTitles1-Detail 3 3 4 5 3_Tertiary Salaries Survey" xfId="11106"/>
    <cellStyle name="RowTitles1-Detail 3 3 4 5 4" xfId="11107"/>
    <cellStyle name="RowTitles1-Detail 3 3 4 5 4 2" xfId="11108"/>
    <cellStyle name="RowTitles1-Detail 3 3 4 5 4_Tertiary Salaries Survey" xfId="11109"/>
    <cellStyle name="RowTitles1-Detail 3 3 4 5 5" xfId="11110"/>
    <cellStyle name="RowTitles1-Detail 3 3 4 5_Tertiary Salaries Survey" xfId="11111"/>
    <cellStyle name="RowTitles1-Detail 3 3 4 6" xfId="11112"/>
    <cellStyle name="RowTitles1-Detail 3 3 4 6 2" xfId="11113"/>
    <cellStyle name="RowTitles1-Detail 3 3 4 6 2 2" xfId="11114"/>
    <cellStyle name="RowTitles1-Detail 3 3 4 6 2 2 2" xfId="11115"/>
    <cellStyle name="RowTitles1-Detail 3 3 4 6 2 2_Tertiary Salaries Survey" xfId="11116"/>
    <cellStyle name="RowTitles1-Detail 3 3 4 6 2 3" xfId="11117"/>
    <cellStyle name="RowTitles1-Detail 3 3 4 6 2_Tertiary Salaries Survey" xfId="11118"/>
    <cellStyle name="RowTitles1-Detail 3 3 4 6 3" xfId="11119"/>
    <cellStyle name="RowTitles1-Detail 3 3 4 6 3 2" xfId="11120"/>
    <cellStyle name="RowTitles1-Detail 3 3 4 6 3 2 2" xfId="11121"/>
    <cellStyle name="RowTitles1-Detail 3 3 4 6 3 2_Tertiary Salaries Survey" xfId="11122"/>
    <cellStyle name="RowTitles1-Detail 3 3 4 6 3 3" xfId="11123"/>
    <cellStyle name="RowTitles1-Detail 3 3 4 6 3_Tertiary Salaries Survey" xfId="11124"/>
    <cellStyle name="RowTitles1-Detail 3 3 4 6 4" xfId="11125"/>
    <cellStyle name="RowTitles1-Detail 3 3 4 6 4 2" xfId="11126"/>
    <cellStyle name="RowTitles1-Detail 3 3 4 6 4_Tertiary Salaries Survey" xfId="11127"/>
    <cellStyle name="RowTitles1-Detail 3 3 4 6 5" xfId="11128"/>
    <cellStyle name="RowTitles1-Detail 3 3 4 6_Tertiary Salaries Survey" xfId="11129"/>
    <cellStyle name="RowTitles1-Detail 3 3 4 7" xfId="11130"/>
    <cellStyle name="RowTitles1-Detail 3 3 4 7 2" xfId="11131"/>
    <cellStyle name="RowTitles1-Detail 3 3 4 7 2 2" xfId="11132"/>
    <cellStyle name="RowTitles1-Detail 3 3 4 7 2_Tertiary Salaries Survey" xfId="11133"/>
    <cellStyle name="RowTitles1-Detail 3 3 4 7 3" xfId="11134"/>
    <cellStyle name="RowTitles1-Detail 3 3 4 7_Tertiary Salaries Survey" xfId="11135"/>
    <cellStyle name="RowTitles1-Detail 3 3 4 8" xfId="11136"/>
    <cellStyle name="RowTitles1-Detail 3 3 4 9" xfId="11137"/>
    <cellStyle name="RowTitles1-Detail 3 3 4_STUD aligned by INSTIT" xfId="11138"/>
    <cellStyle name="RowTitles1-Detail 3 3 5" xfId="11139"/>
    <cellStyle name="RowTitles1-Detail 3 3 5 2" xfId="11140"/>
    <cellStyle name="RowTitles1-Detail 3 3 5 2 2" xfId="11141"/>
    <cellStyle name="RowTitles1-Detail 3 3 5 2 2 2" xfId="11142"/>
    <cellStyle name="RowTitles1-Detail 3 3 5 2 2_Tertiary Salaries Survey" xfId="11143"/>
    <cellStyle name="RowTitles1-Detail 3 3 5 2 3" xfId="11144"/>
    <cellStyle name="RowTitles1-Detail 3 3 5 2_Tertiary Salaries Survey" xfId="11145"/>
    <cellStyle name="RowTitles1-Detail 3 3 5 3" xfId="11146"/>
    <cellStyle name="RowTitles1-Detail 3 3 5 3 2" xfId="11147"/>
    <cellStyle name="RowTitles1-Detail 3 3 5 3 2 2" xfId="11148"/>
    <cellStyle name="RowTitles1-Detail 3 3 5 3 2_Tertiary Salaries Survey" xfId="11149"/>
    <cellStyle name="RowTitles1-Detail 3 3 5 3 3" xfId="11150"/>
    <cellStyle name="RowTitles1-Detail 3 3 5 3_Tertiary Salaries Survey" xfId="11151"/>
    <cellStyle name="RowTitles1-Detail 3 3 5 4" xfId="11152"/>
    <cellStyle name="RowTitles1-Detail 3 3 5 5" xfId="11153"/>
    <cellStyle name="RowTitles1-Detail 3 3 5 5 2" xfId="11154"/>
    <cellStyle name="RowTitles1-Detail 3 3 5 5_Tertiary Salaries Survey" xfId="11155"/>
    <cellStyle name="RowTitles1-Detail 3 3 5 6" xfId="11156"/>
    <cellStyle name="RowTitles1-Detail 3 3 5_Tertiary Salaries Survey" xfId="11157"/>
    <cellStyle name="RowTitles1-Detail 3 3 6" xfId="11158"/>
    <cellStyle name="RowTitles1-Detail 3 3 6 2" xfId="11159"/>
    <cellStyle name="RowTitles1-Detail 3 3 6 2 2" xfId="11160"/>
    <cellStyle name="RowTitles1-Detail 3 3 6 2 2 2" xfId="11161"/>
    <cellStyle name="RowTitles1-Detail 3 3 6 2 2_Tertiary Salaries Survey" xfId="11162"/>
    <cellStyle name="RowTitles1-Detail 3 3 6 2 3" xfId="11163"/>
    <cellStyle name="RowTitles1-Detail 3 3 6 2_Tertiary Salaries Survey" xfId="11164"/>
    <cellStyle name="RowTitles1-Detail 3 3 6 3" xfId="11165"/>
    <cellStyle name="RowTitles1-Detail 3 3 6 3 2" xfId="11166"/>
    <cellStyle name="RowTitles1-Detail 3 3 6 3 2 2" xfId="11167"/>
    <cellStyle name="RowTitles1-Detail 3 3 6 3 2_Tertiary Salaries Survey" xfId="11168"/>
    <cellStyle name="RowTitles1-Detail 3 3 6 3 3" xfId="11169"/>
    <cellStyle name="RowTitles1-Detail 3 3 6 3_Tertiary Salaries Survey" xfId="11170"/>
    <cellStyle name="RowTitles1-Detail 3 3 6 4" xfId="11171"/>
    <cellStyle name="RowTitles1-Detail 3 3 6 5" xfId="11172"/>
    <cellStyle name="RowTitles1-Detail 3 3 6_Tertiary Salaries Survey" xfId="11173"/>
    <cellStyle name="RowTitles1-Detail 3 3 7" xfId="11174"/>
    <cellStyle name="RowTitles1-Detail 3 3 7 2" xfId="11175"/>
    <cellStyle name="RowTitles1-Detail 3 3 7 2 2" xfId="11176"/>
    <cellStyle name="RowTitles1-Detail 3 3 7 2 2 2" xfId="11177"/>
    <cellStyle name="RowTitles1-Detail 3 3 7 2 2_Tertiary Salaries Survey" xfId="11178"/>
    <cellStyle name="RowTitles1-Detail 3 3 7 2 3" xfId="11179"/>
    <cellStyle name="RowTitles1-Detail 3 3 7 2_Tertiary Salaries Survey" xfId="11180"/>
    <cellStyle name="RowTitles1-Detail 3 3 7 3" xfId="11181"/>
    <cellStyle name="RowTitles1-Detail 3 3 7 3 2" xfId="11182"/>
    <cellStyle name="RowTitles1-Detail 3 3 7 3 2 2" xfId="11183"/>
    <cellStyle name="RowTitles1-Detail 3 3 7 3 2_Tertiary Salaries Survey" xfId="11184"/>
    <cellStyle name="RowTitles1-Detail 3 3 7 3 3" xfId="11185"/>
    <cellStyle name="RowTitles1-Detail 3 3 7 3_Tertiary Salaries Survey" xfId="11186"/>
    <cellStyle name="RowTitles1-Detail 3 3 7 4" xfId="11187"/>
    <cellStyle name="RowTitles1-Detail 3 3 7 5" xfId="11188"/>
    <cellStyle name="RowTitles1-Detail 3 3 7 5 2" xfId="11189"/>
    <cellStyle name="RowTitles1-Detail 3 3 7 5_Tertiary Salaries Survey" xfId="11190"/>
    <cellStyle name="RowTitles1-Detail 3 3 7 6" xfId="11191"/>
    <cellStyle name="RowTitles1-Detail 3 3 7_Tertiary Salaries Survey" xfId="11192"/>
    <cellStyle name="RowTitles1-Detail 3 3 8" xfId="11193"/>
    <cellStyle name="RowTitles1-Detail 3 3 8 2" xfId="11194"/>
    <cellStyle name="RowTitles1-Detail 3 3 8 2 2" xfId="11195"/>
    <cellStyle name="RowTitles1-Detail 3 3 8 2 2 2" xfId="11196"/>
    <cellStyle name="RowTitles1-Detail 3 3 8 2 2_Tertiary Salaries Survey" xfId="11197"/>
    <cellStyle name="RowTitles1-Detail 3 3 8 2 3" xfId="11198"/>
    <cellStyle name="RowTitles1-Detail 3 3 8 2_Tertiary Salaries Survey" xfId="11199"/>
    <cellStyle name="RowTitles1-Detail 3 3 8 3" xfId="11200"/>
    <cellStyle name="RowTitles1-Detail 3 3 8 3 2" xfId="11201"/>
    <cellStyle name="RowTitles1-Detail 3 3 8 3 2 2" xfId="11202"/>
    <cellStyle name="RowTitles1-Detail 3 3 8 3 2_Tertiary Salaries Survey" xfId="11203"/>
    <cellStyle name="RowTitles1-Detail 3 3 8 3 3" xfId="11204"/>
    <cellStyle name="RowTitles1-Detail 3 3 8 3_Tertiary Salaries Survey" xfId="11205"/>
    <cellStyle name="RowTitles1-Detail 3 3 8 4" xfId="11206"/>
    <cellStyle name="RowTitles1-Detail 3 3 8 4 2" xfId="11207"/>
    <cellStyle name="RowTitles1-Detail 3 3 8 4_Tertiary Salaries Survey" xfId="11208"/>
    <cellStyle name="RowTitles1-Detail 3 3 8 5" xfId="11209"/>
    <cellStyle name="RowTitles1-Detail 3 3 8_Tertiary Salaries Survey" xfId="11210"/>
    <cellStyle name="RowTitles1-Detail 3 3 9" xfId="11211"/>
    <cellStyle name="RowTitles1-Detail 3 3 9 2" xfId="11212"/>
    <cellStyle name="RowTitles1-Detail 3 3 9 2 2" xfId="11213"/>
    <cellStyle name="RowTitles1-Detail 3 3 9 2 2 2" xfId="11214"/>
    <cellStyle name="RowTitles1-Detail 3 3 9 2 2_Tertiary Salaries Survey" xfId="11215"/>
    <cellStyle name="RowTitles1-Detail 3 3 9 2 3" xfId="11216"/>
    <cellStyle name="RowTitles1-Detail 3 3 9 2_Tertiary Salaries Survey" xfId="11217"/>
    <cellStyle name="RowTitles1-Detail 3 3 9 3" xfId="11218"/>
    <cellStyle name="RowTitles1-Detail 3 3 9 3 2" xfId="11219"/>
    <cellStyle name="RowTitles1-Detail 3 3 9 3 2 2" xfId="11220"/>
    <cellStyle name="RowTitles1-Detail 3 3 9 3 2_Tertiary Salaries Survey" xfId="11221"/>
    <cellStyle name="RowTitles1-Detail 3 3 9 3 3" xfId="11222"/>
    <cellStyle name="RowTitles1-Detail 3 3 9 3_Tertiary Salaries Survey" xfId="11223"/>
    <cellStyle name="RowTitles1-Detail 3 3 9 4" xfId="11224"/>
    <cellStyle name="RowTitles1-Detail 3 3 9 4 2" xfId="11225"/>
    <cellStyle name="RowTitles1-Detail 3 3 9 4_Tertiary Salaries Survey" xfId="11226"/>
    <cellStyle name="RowTitles1-Detail 3 3 9 5" xfId="11227"/>
    <cellStyle name="RowTitles1-Detail 3 3 9_Tertiary Salaries Survey" xfId="11228"/>
    <cellStyle name="RowTitles1-Detail 3 3_STUD aligned by INSTIT" xfId="11229"/>
    <cellStyle name="RowTitles1-Detail 3 4" xfId="11230"/>
    <cellStyle name="RowTitles1-Detail 3 4 2" xfId="11231"/>
    <cellStyle name="RowTitles1-Detail 3 4 2 2" xfId="11232"/>
    <cellStyle name="RowTitles1-Detail 3 4 2 2 2" xfId="11233"/>
    <cellStyle name="RowTitles1-Detail 3 4 2 2 2 2" xfId="11234"/>
    <cellStyle name="RowTitles1-Detail 3 4 2 2 2_Tertiary Salaries Survey" xfId="11235"/>
    <cellStyle name="RowTitles1-Detail 3 4 2 2 3" xfId="11236"/>
    <cellStyle name="RowTitles1-Detail 3 4 2 2_Tertiary Salaries Survey" xfId="11237"/>
    <cellStyle name="RowTitles1-Detail 3 4 2 3" xfId="11238"/>
    <cellStyle name="RowTitles1-Detail 3 4 2 3 2" xfId="11239"/>
    <cellStyle name="RowTitles1-Detail 3 4 2 3 2 2" xfId="11240"/>
    <cellStyle name="RowTitles1-Detail 3 4 2 3 2_Tertiary Salaries Survey" xfId="11241"/>
    <cellStyle name="RowTitles1-Detail 3 4 2 3 3" xfId="11242"/>
    <cellStyle name="RowTitles1-Detail 3 4 2 3_Tertiary Salaries Survey" xfId="11243"/>
    <cellStyle name="RowTitles1-Detail 3 4 2 4" xfId="11244"/>
    <cellStyle name="RowTitles1-Detail 3 4 2 5" xfId="11245"/>
    <cellStyle name="RowTitles1-Detail 3 4 2_Tertiary Salaries Survey" xfId="11246"/>
    <cellStyle name="RowTitles1-Detail 3 4 3" xfId="11247"/>
    <cellStyle name="RowTitles1-Detail 3 4 3 2" xfId="11248"/>
    <cellStyle name="RowTitles1-Detail 3 4 3 2 2" xfId="11249"/>
    <cellStyle name="RowTitles1-Detail 3 4 3 2 2 2" xfId="11250"/>
    <cellStyle name="RowTitles1-Detail 3 4 3 2 2_Tertiary Salaries Survey" xfId="11251"/>
    <cellStyle name="RowTitles1-Detail 3 4 3 2 3" xfId="11252"/>
    <cellStyle name="RowTitles1-Detail 3 4 3 2_Tertiary Salaries Survey" xfId="11253"/>
    <cellStyle name="RowTitles1-Detail 3 4 3 3" xfId="11254"/>
    <cellStyle name="RowTitles1-Detail 3 4 3 3 2" xfId="11255"/>
    <cellStyle name="RowTitles1-Detail 3 4 3 3 2 2" xfId="11256"/>
    <cellStyle name="RowTitles1-Detail 3 4 3 3 2_Tertiary Salaries Survey" xfId="11257"/>
    <cellStyle name="RowTitles1-Detail 3 4 3 3 3" xfId="11258"/>
    <cellStyle name="RowTitles1-Detail 3 4 3 3_Tertiary Salaries Survey" xfId="11259"/>
    <cellStyle name="RowTitles1-Detail 3 4 3 4" xfId="11260"/>
    <cellStyle name="RowTitles1-Detail 3 4 3 5" xfId="11261"/>
    <cellStyle name="RowTitles1-Detail 3 4 3 5 2" xfId="11262"/>
    <cellStyle name="RowTitles1-Detail 3 4 3 5_Tertiary Salaries Survey" xfId="11263"/>
    <cellStyle name="RowTitles1-Detail 3 4 3 6" xfId="11264"/>
    <cellStyle name="RowTitles1-Detail 3 4 3_Tertiary Salaries Survey" xfId="11265"/>
    <cellStyle name="RowTitles1-Detail 3 4 4" xfId="11266"/>
    <cellStyle name="RowTitles1-Detail 3 4 4 2" xfId="11267"/>
    <cellStyle name="RowTitles1-Detail 3 4 4 2 2" xfId="11268"/>
    <cellStyle name="RowTitles1-Detail 3 4 4 2 2 2" xfId="11269"/>
    <cellStyle name="RowTitles1-Detail 3 4 4 2 2_Tertiary Salaries Survey" xfId="11270"/>
    <cellStyle name="RowTitles1-Detail 3 4 4 2 3" xfId="11271"/>
    <cellStyle name="RowTitles1-Detail 3 4 4 2_Tertiary Salaries Survey" xfId="11272"/>
    <cellStyle name="RowTitles1-Detail 3 4 4 3" xfId="11273"/>
    <cellStyle name="RowTitles1-Detail 3 4 4 3 2" xfId="11274"/>
    <cellStyle name="RowTitles1-Detail 3 4 4 3 2 2" xfId="11275"/>
    <cellStyle name="RowTitles1-Detail 3 4 4 3 2_Tertiary Salaries Survey" xfId="11276"/>
    <cellStyle name="RowTitles1-Detail 3 4 4 3 3" xfId="11277"/>
    <cellStyle name="RowTitles1-Detail 3 4 4 3_Tertiary Salaries Survey" xfId="11278"/>
    <cellStyle name="RowTitles1-Detail 3 4 4 4" xfId="11279"/>
    <cellStyle name="RowTitles1-Detail 3 4 4 4 2" xfId="11280"/>
    <cellStyle name="RowTitles1-Detail 3 4 4 4_Tertiary Salaries Survey" xfId="11281"/>
    <cellStyle name="RowTitles1-Detail 3 4 4 5" xfId="11282"/>
    <cellStyle name="RowTitles1-Detail 3 4 4_Tertiary Salaries Survey" xfId="11283"/>
    <cellStyle name="RowTitles1-Detail 3 4 5" xfId="11284"/>
    <cellStyle name="RowTitles1-Detail 3 4 5 2" xfId="11285"/>
    <cellStyle name="RowTitles1-Detail 3 4 5 2 2" xfId="11286"/>
    <cellStyle name="RowTitles1-Detail 3 4 5 2 2 2" xfId="11287"/>
    <cellStyle name="RowTitles1-Detail 3 4 5 2 2_Tertiary Salaries Survey" xfId="11288"/>
    <cellStyle name="RowTitles1-Detail 3 4 5 2 3" xfId="11289"/>
    <cellStyle name="RowTitles1-Detail 3 4 5 2_Tertiary Salaries Survey" xfId="11290"/>
    <cellStyle name="RowTitles1-Detail 3 4 5 3" xfId="11291"/>
    <cellStyle name="RowTitles1-Detail 3 4 5 3 2" xfId="11292"/>
    <cellStyle name="RowTitles1-Detail 3 4 5 3 2 2" xfId="11293"/>
    <cellStyle name="RowTitles1-Detail 3 4 5 3 2_Tertiary Salaries Survey" xfId="11294"/>
    <cellStyle name="RowTitles1-Detail 3 4 5 3 3" xfId="11295"/>
    <cellStyle name="RowTitles1-Detail 3 4 5 3_Tertiary Salaries Survey" xfId="11296"/>
    <cellStyle name="RowTitles1-Detail 3 4 5 4" xfId="11297"/>
    <cellStyle name="RowTitles1-Detail 3 4 5 4 2" xfId="11298"/>
    <cellStyle name="RowTitles1-Detail 3 4 5 4_Tertiary Salaries Survey" xfId="11299"/>
    <cellStyle name="RowTitles1-Detail 3 4 5 5" xfId="11300"/>
    <cellStyle name="RowTitles1-Detail 3 4 5_Tertiary Salaries Survey" xfId="11301"/>
    <cellStyle name="RowTitles1-Detail 3 4 6" xfId="11302"/>
    <cellStyle name="RowTitles1-Detail 3 4 6 2" xfId="11303"/>
    <cellStyle name="RowTitles1-Detail 3 4 6 2 2" xfId="11304"/>
    <cellStyle name="RowTitles1-Detail 3 4 6 2 2 2" xfId="11305"/>
    <cellStyle name="RowTitles1-Detail 3 4 6 2 2_Tertiary Salaries Survey" xfId="11306"/>
    <cellStyle name="RowTitles1-Detail 3 4 6 2 3" xfId="11307"/>
    <cellStyle name="RowTitles1-Detail 3 4 6 2_Tertiary Salaries Survey" xfId="11308"/>
    <cellStyle name="RowTitles1-Detail 3 4 6 3" xfId="11309"/>
    <cellStyle name="RowTitles1-Detail 3 4 6 3 2" xfId="11310"/>
    <cellStyle name="RowTitles1-Detail 3 4 6 3 2 2" xfId="11311"/>
    <cellStyle name="RowTitles1-Detail 3 4 6 3 2_Tertiary Salaries Survey" xfId="11312"/>
    <cellStyle name="RowTitles1-Detail 3 4 6 3 3" xfId="11313"/>
    <cellStyle name="RowTitles1-Detail 3 4 6 3_Tertiary Salaries Survey" xfId="11314"/>
    <cellStyle name="RowTitles1-Detail 3 4 6 4" xfId="11315"/>
    <cellStyle name="RowTitles1-Detail 3 4 6 4 2" xfId="11316"/>
    <cellStyle name="RowTitles1-Detail 3 4 6 4_Tertiary Salaries Survey" xfId="11317"/>
    <cellStyle name="RowTitles1-Detail 3 4 6 5" xfId="11318"/>
    <cellStyle name="RowTitles1-Detail 3 4 6_Tertiary Salaries Survey" xfId="11319"/>
    <cellStyle name="RowTitles1-Detail 3 4 7" xfId="11320"/>
    <cellStyle name="RowTitles1-Detail 3 4 7 2" xfId="11321"/>
    <cellStyle name="RowTitles1-Detail 3 4 7 2 2" xfId="11322"/>
    <cellStyle name="RowTitles1-Detail 3 4 7 2_Tertiary Salaries Survey" xfId="11323"/>
    <cellStyle name="RowTitles1-Detail 3 4 7 3" xfId="11324"/>
    <cellStyle name="RowTitles1-Detail 3 4 7_Tertiary Salaries Survey" xfId="11325"/>
    <cellStyle name="RowTitles1-Detail 3 4 8" xfId="11326"/>
    <cellStyle name="RowTitles1-Detail 3 4 9" xfId="11327"/>
    <cellStyle name="RowTitles1-Detail 3 4_STUD aligned by INSTIT" xfId="11328"/>
    <cellStyle name="RowTitles1-Detail 3 5" xfId="11329"/>
    <cellStyle name="RowTitles1-Detail 3 5 2" xfId="11330"/>
    <cellStyle name="RowTitles1-Detail 3 5 2 2" xfId="11331"/>
    <cellStyle name="RowTitles1-Detail 3 5 2 2 2" xfId="11332"/>
    <cellStyle name="RowTitles1-Detail 3 5 2 2 2 2" xfId="11333"/>
    <cellStyle name="RowTitles1-Detail 3 5 2 2 2_Tertiary Salaries Survey" xfId="11334"/>
    <cellStyle name="RowTitles1-Detail 3 5 2 2 3" xfId="11335"/>
    <cellStyle name="RowTitles1-Detail 3 5 2 2_Tertiary Salaries Survey" xfId="11336"/>
    <cellStyle name="RowTitles1-Detail 3 5 2 3" xfId="11337"/>
    <cellStyle name="RowTitles1-Detail 3 5 2 3 2" xfId="11338"/>
    <cellStyle name="RowTitles1-Detail 3 5 2 3 2 2" xfId="11339"/>
    <cellStyle name="RowTitles1-Detail 3 5 2 3 2_Tertiary Salaries Survey" xfId="11340"/>
    <cellStyle name="RowTitles1-Detail 3 5 2 3 3" xfId="11341"/>
    <cellStyle name="RowTitles1-Detail 3 5 2 3_Tertiary Salaries Survey" xfId="11342"/>
    <cellStyle name="RowTitles1-Detail 3 5 2 4" xfId="11343"/>
    <cellStyle name="RowTitles1-Detail 3 5 2 5" xfId="11344"/>
    <cellStyle name="RowTitles1-Detail 3 5 2 5 2" xfId="11345"/>
    <cellStyle name="RowTitles1-Detail 3 5 2 5_Tertiary Salaries Survey" xfId="11346"/>
    <cellStyle name="RowTitles1-Detail 3 5 2 6" xfId="11347"/>
    <cellStyle name="RowTitles1-Detail 3 5 2_Tertiary Salaries Survey" xfId="11348"/>
    <cellStyle name="RowTitles1-Detail 3 5 3" xfId="11349"/>
    <cellStyle name="RowTitles1-Detail 3 5 3 2" xfId="11350"/>
    <cellStyle name="RowTitles1-Detail 3 5 3 2 2" xfId="11351"/>
    <cellStyle name="RowTitles1-Detail 3 5 3 2 2 2" xfId="11352"/>
    <cellStyle name="RowTitles1-Detail 3 5 3 2 2_Tertiary Salaries Survey" xfId="11353"/>
    <cellStyle name="RowTitles1-Detail 3 5 3 2 3" xfId="11354"/>
    <cellStyle name="RowTitles1-Detail 3 5 3 2_Tertiary Salaries Survey" xfId="11355"/>
    <cellStyle name="RowTitles1-Detail 3 5 3 3" xfId="11356"/>
    <cellStyle name="RowTitles1-Detail 3 5 3 3 2" xfId="11357"/>
    <cellStyle name="RowTitles1-Detail 3 5 3 3 2 2" xfId="11358"/>
    <cellStyle name="RowTitles1-Detail 3 5 3 3 2_Tertiary Salaries Survey" xfId="11359"/>
    <cellStyle name="RowTitles1-Detail 3 5 3 3 3" xfId="11360"/>
    <cellStyle name="RowTitles1-Detail 3 5 3 3_Tertiary Salaries Survey" xfId="11361"/>
    <cellStyle name="RowTitles1-Detail 3 5 3 4" xfId="11362"/>
    <cellStyle name="RowTitles1-Detail 3 5 3 5" xfId="11363"/>
    <cellStyle name="RowTitles1-Detail 3 5 3_Tertiary Salaries Survey" xfId="11364"/>
    <cellStyle name="RowTitles1-Detail 3 5 4" xfId="11365"/>
    <cellStyle name="RowTitles1-Detail 3 5 4 2" xfId="11366"/>
    <cellStyle name="RowTitles1-Detail 3 5 4 2 2" xfId="11367"/>
    <cellStyle name="RowTitles1-Detail 3 5 4 2 2 2" xfId="11368"/>
    <cellStyle name="RowTitles1-Detail 3 5 4 2 2_Tertiary Salaries Survey" xfId="11369"/>
    <cellStyle name="RowTitles1-Detail 3 5 4 2 3" xfId="11370"/>
    <cellStyle name="RowTitles1-Detail 3 5 4 2_Tertiary Salaries Survey" xfId="11371"/>
    <cellStyle name="RowTitles1-Detail 3 5 4 3" xfId="11372"/>
    <cellStyle name="RowTitles1-Detail 3 5 4 3 2" xfId="11373"/>
    <cellStyle name="RowTitles1-Detail 3 5 4 3 2 2" xfId="11374"/>
    <cellStyle name="RowTitles1-Detail 3 5 4 3 2_Tertiary Salaries Survey" xfId="11375"/>
    <cellStyle name="RowTitles1-Detail 3 5 4 3 3" xfId="11376"/>
    <cellStyle name="RowTitles1-Detail 3 5 4 3_Tertiary Salaries Survey" xfId="11377"/>
    <cellStyle name="RowTitles1-Detail 3 5 4 4" xfId="11378"/>
    <cellStyle name="RowTitles1-Detail 3 5 4 4 2" xfId="11379"/>
    <cellStyle name="RowTitles1-Detail 3 5 4 4_Tertiary Salaries Survey" xfId="11380"/>
    <cellStyle name="RowTitles1-Detail 3 5 4 5" xfId="11381"/>
    <cellStyle name="RowTitles1-Detail 3 5 4_Tertiary Salaries Survey" xfId="11382"/>
    <cellStyle name="RowTitles1-Detail 3 5 5" xfId="11383"/>
    <cellStyle name="RowTitles1-Detail 3 5 5 2" xfId="11384"/>
    <cellStyle name="RowTitles1-Detail 3 5 5 2 2" xfId="11385"/>
    <cellStyle name="RowTitles1-Detail 3 5 5 2 2 2" xfId="11386"/>
    <cellStyle name="RowTitles1-Detail 3 5 5 2 2_Tertiary Salaries Survey" xfId="11387"/>
    <cellStyle name="RowTitles1-Detail 3 5 5 2 3" xfId="11388"/>
    <cellStyle name="RowTitles1-Detail 3 5 5 2_Tertiary Salaries Survey" xfId="11389"/>
    <cellStyle name="RowTitles1-Detail 3 5 5 3" xfId="11390"/>
    <cellStyle name="RowTitles1-Detail 3 5 5 3 2" xfId="11391"/>
    <cellStyle name="RowTitles1-Detail 3 5 5 3 2 2" xfId="11392"/>
    <cellStyle name="RowTitles1-Detail 3 5 5 3 2_Tertiary Salaries Survey" xfId="11393"/>
    <cellStyle name="RowTitles1-Detail 3 5 5 3 3" xfId="11394"/>
    <cellStyle name="RowTitles1-Detail 3 5 5 3_Tertiary Salaries Survey" xfId="11395"/>
    <cellStyle name="RowTitles1-Detail 3 5 5 4" xfId="11396"/>
    <cellStyle name="RowTitles1-Detail 3 5 5 4 2" xfId="11397"/>
    <cellStyle name="RowTitles1-Detail 3 5 5 4_Tertiary Salaries Survey" xfId="11398"/>
    <cellStyle name="RowTitles1-Detail 3 5 5 5" xfId="11399"/>
    <cellStyle name="RowTitles1-Detail 3 5 5_Tertiary Salaries Survey" xfId="11400"/>
    <cellStyle name="RowTitles1-Detail 3 5 6" xfId="11401"/>
    <cellStyle name="RowTitles1-Detail 3 5 6 2" xfId="11402"/>
    <cellStyle name="RowTitles1-Detail 3 5 6 2 2" xfId="11403"/>
    <cellStyle name="RowTitles1-Detail 3 5 6 2 2 2" xfId="11404"/>
    <cellStyle name="RowTitles1-Detail 3 5 6 2 2_Tertiary Salaries Survey" xfId="11405"/>
    <cellStyle name="RowTitles1-Detail 3 5 6 2 3" xfId="11406"/>
    <cellStyle name="RowTitles1-Detail 3 5 6 2_Tertiary Salaries Survey" xfId="11407"/>
    <cellStyle name="RowTitles1-Detail 3 5 6 3" xfId="11408"/>
    <cellStyle name="RowTitles1-Detail 3 5 6 3 2" xfId="11409"/>
    <cellStyle name="RowTitles1-Detail 3 5 6 3 2 2" xfId="11410"/>
    <cellStyle name="RowTitles1-Detail 3 5 6 3 2_Tertiary Salaries Survey" xfId="11411"/>
    <cellStyle name="RowTitles1-Detail 3 5 6 3 3" xfId="11412"/>
    <cellStyle name="RowTitles1-Detail 3 5 6 3_Tertiary Salaries Survey" xfId="11413"/>
    <cellStyle name="RowTitles1-Detail 3 5 6 4" xfId="11414"/>
    <cellStyle name="RowTitles1-Detail 3 5 6 4 2" xfId="11415"/>
    <cellStyle name="RowTitles1-Detail 3 5 6 4_Tertiary Salaries Survey" xfId="11416"/>
    <cellStyle name="RowTitles1-Detail 3 5 6 5" xfId="11417"/>
    <cellStyle name="RowTitles1-Detail 3 5 6_Tertiary Salaries Survey" xfId="11418"/>
    <cellStyle name="RowTitles1-Detail 3 5 7" xfId="11419"/>
    <cellStyle name="RowTitles1-Detail 3 5 7 2" xfId="11420"/>
    <cellStyle name="RowTitles1-Detail 3 5 7 2 2" xfId="11421"/>
    <cellStyle name="RowTitles1-Detail 3 5 7 2_Tertiary Salaries Survey" xfId="11422"/>
    <cellStyle name="RowTitles1-Detail 3 5 7 3" xfId="11423"/>
    <cellStyle name="RowTitles1-Detail 3 5 7_Tertiary Salaries Survey" xfId="11424"/>
    <cellStyle name="RowTitles1-Detail 3 5 8" xfId="11425"/>
    <cellStyle name="RowTitles1-Detail 3 5 8 2" xfId="11426"/>
    <cellStyle name="RowTitles1-Detail 3 5 8 2 2" xfId="11427"/>
    <cellStyle name="RowTitles1-Detail 3 5 8 2_Tertiary Salaries Survey" xfId="11428"/>
    <cellStyle name="RowTitles1-Detail 3 5 8 3" xfId="11429"/>
    <cellStyle name="RowTitles1-Detail 3 5 8_Tertiary Salaries Survey" xfId="11430"/>
    <cellStyle name="RowTitles1-Detail 3 5 9" xfId="11431"/>
    <cellStyle name="RowTitles1-Detail 3 5_STUD aligned by INSTIT" xfId="11432"/>
    <cellStyle name="RowTitles1-Detail 3 6" xfId="11433"/>
    <cellStyle name="RowTitles1-Detail 3 6 2" xfId="11434"/>
    <cellStyle name="RowTitles1-Detail 3 6 2 2" xfId="11435"/>
    <cellStyle name="RowTitles1-Detail 3 6 2 2 2" xfId="11436"/>
    <cellStyle name="RowTitles1-Detail 3 6 2 2 2 2" xfId="11437"/>
    <cellStyle name="RowTitles1-Detail 3 6 2 2 2_Tertiary Salaries Survey" xfId="11438"/>
    <cellStyle name="RowTitles1-Detail 3 6 2 2 3" xfId="11439"/>
    <cellStyle name="RowTitles1-Detail 3 6 2 2_Tertiary Salaries Survey" xfId="11440"/>
    <cellStyle name="RowTitles1-Detail 3 6 2 3" xfId="11441"/>
    <cellStyle name="RowTitles1-Detail 3 6 2 3 2" xfId="11442"/>
    <cellStyle name="RowTitles1-Detail 3 6 2 3 2 2" xfId="11443"/>
    <cellStyle name="RowTitles1-Detail 3 6 2 3 2_Tertiary Salaries Survey" xfId="11444"/>
    <cellStyle name="RowTitles1-Detail 3 6 2 3 3" xfId="11445"/>
    <cellStyle name="RowTitles1-Detail 3 6 2 3_Tertiary Salaries Survey" xfId="11446"/>
    <cellStyle name="RowTitles1-Detail 3 6 2 4" xfId="11447"/>
    <cellStyle name="RowTitles1-Detail 3 6 2 5" xfId="11448"/>
    <cellStyle name="RowTitles1-Detail 3 6 2 5 2" xfId="11449"/>
    <cellStyle name="RowTitles1-Detail 3 6 2 5_Tertiary Salaries Survey" xfId="11450"/>
    <cellStyle name="RowTitles1-Detail 3 6 2 6" xfId="11451"/>
    <cellStyle name="RowTitles1-Detail 3 6 2_Tertiary Salaries Survey" xfId="11452"/>
    <cellStyle name="RowTitles1-Detail 3 6 3" xfId="11453"/>
    <cellStyle name="RowTitles1-Detail 3 6 3 2" xfId="11454"/>
    <cellStyle name="RowTitles1-Detail 3 6 3 2 2" xfId="11455"/>
    <cellStyle name="RowTitles1-Detail 3 6 3 2 2 2" xfId="11456"/>
    <cellStyle name="RowTitles1-Detail 3 6 3 2 2_Tertiary Salaries Survey" xfId="11457"/>
    <cellStyle name="RowTitles1-Detail 3 6 3 2 3" xfId="11458"/>
    <cellStyle name="RowTitles1-Detail 3 6 3 2_Tertiary Salaries Survey" xfId="11459"/>
    <cellStyle name="RowTitles1-Detail 3 6 3 3" xfId="11460"/>
    <cellStyle name="RowTitles1-Detail 3 6 3 3 2" xfId="11461"/>
    <cellStyle name="RowTitles1-Detail 3 6 3 3 2 2" xfId="11462"/>
    <cellStyle name="RowTitles1-Detail 3 6 3 3 2_Tertiary Salaries Survey" xfId="11463"/>
    <cellStyle name="RowTitles1-Detail 3 6 3 3 3" xfId="11464"/>
    <cellStyle name="RowTitles1-Detail 3 6 3 3_Tertiary Salaries Survey" xfId="11465"/>
    <cellStyle name="RowTitles1-Detail 3 6 3 4" xfId="11466"/>
    <cellStyle name="RowTitles1-Detail 3 6 3 5" xfId="11467"/>
    <cellStyle name="RowTitles1-Detail 3 6 3_Tertiary Salaries Survey" xfId="11468"/>
    <cellStyle name="RowTitles1-Detail 3 6 4" xfId="11469"/>
    <cellStyle name="RowTitles1-Detail 3 6 4 2" xfId="11470"/>
    <cellStyle name="RowTitles1-Detail 3 6 4 2 2" xfId="11471"/>
    <cellStyle name="RowTitles1-Detail 3 6 4 2 2 2" xfId="11472"/>
    <cellStyle name="RowTitles1-Detail 3 6 4 2 2_Tertiary Salaries Survey" xfId="11473"/>
    <cellStyle name="RowTitles1-Detail 3 6 4 2 3" xfId="11474"/>
    <cellStyle name="RowTitles1-Detail 3 6 4 2_Tertiary Salaries Survey" xfId="11475"/>
    <cellStyle name="RowTitles1-Detail 3 6 4 3" xfId="11476"/>
    <cellStyle name="RowTitles1-Detail 3 6 4 3 2" xfId="11477"/>
    <cellStyle name="RowTitles1-Detail 3 6 4 3 2 2" xfId="11478"/>
    <cellStyle name="RowTitles1-Detail 3 6 4 3 2_Tertiary Salaries Survey" xfId="11479"/>
    <cellStyle name="RowTitles1-Detail 3 6 4 3 3" xfId="11480"/>
    <cellStyle name="RowTitles1-Detail 3 6 4 3_Tertiary Salaries Survey" xfId="11481"/>
    <cellStyle name="RowTitles1-Detail 3 6 4 4" xfId="11482"/>
    <cellStyle name="RowTitles1-Detail 3 6 4 5" xfId="11483"/>
    <cellStyle name="RowTitles1-Detail 3 6 4 5 2" xfId="11484"/>
    <cellStyle name="RowTitles1-Detail 3 6 4 5_Tertiary Salaries Survey" xfId="11485"/>
    <cellStyle name="RowTitles1-Detail 3 6 4 6" xfId="11486"/>
    <cellStyle name="RowTitles1-Detail 3 6 4_Tertiary Salaries Survey" xfId="11487"/>
    <cellStyle name="RowTitles1-Detail 3 6 5" xfId="11488"/>
    <cellStyle name="RowTitles1-Detail 3 6 5 2" xfId="11489"/>
    <cellStyle name="RowTitles1-Detail 3 6 5 2 2" xfId="11490"/>
    <cellStyle name="RowTitles1-Detail 3 6 5 2 2 2" xfId="11491"/>
    <cellStyle name="RowTitles1-Detail 3 6 5 2 2_Tertiary Salaries Survey" xfId="11492"/>
    <cellStyle name="RowTitles1-Detail 3 6 5 2 3" xfId="11493"/>
    <cellStyle name="RowTitles1-Detail 3 6 5 2_Tertiary Salaries Survey" xfId="11494"/>
    <cellStyle name="RowTitles1-Detail 3 6 5 3" xfId="11495"/>
    <cellStyle name="RowTitles1-Detail 3 6 5 3 2" xfId="11496"/>
    <cellStyle name="RowTitles1-Detail 3 6 5 3 2 2" xfId="11497"/>
    <cellStyle name="RowTitles1-Detail 3 6 5 3 2_Tertiary Salaries Survey" xfId="11498"/>
    <cellStyle name="RowTitles1-Detail 3 6 5 3 3" xfId="11499"/>
    <cellStyle name="RowTitles1-Detail 3 6 5 3_Tertiary Salaries Survey" xfId="11500"/>
    <cellStyle name="RowTitles1-Detail 3 6 5 4" xfId="11501"/>
    <cellStyle name="RowTitles1-Detail 3 6 5 4 2" xfId="11502"/>
    <cellStyle name="RowTitles1-Detail 3 6 5 4_Tertiary Salaries Survey" xfId="11503"/>
    <cellStyle name="RowTitles1-Detail 3 6 5 5" xfId="11504"/>
    <cellStyle name="RowTitles1-Detail 3 6 5_Tertiary Salaries Survey" xfId="11505"/>
    <cellStyle name="RowTitles1-Detail 3 6 6" xfId="11506"/>
    <cellStyle name="RowTitles1-Detail 3 6 6 2" xfId="11507"/>
    <cellStyle name="RowTitles1-Detail 3 6 6 2 2" xfId="11508"/>
    <cellStyle name="RowTitles1-Detail 3 6 6 2 2 2" xfId="11509"/>
    <cellStyle name="RowTitles1-Detail 3 6 6 2 2_Tertiary Salaries Survey" xfId="11510"/>
    <cellStyle name="RowTitles1-Detail 3 6 6 2 3" xfId="11511"/>
    <cellStyle name="RowTitles1-Detail 3 6 6 2_Tertiary Salaries Survey" xfId="11512"/>
    <cellStyle name="RowTitles1-Detail 3 6 6 3" xfId="11513"/>
    <cellStyle name="RowTitles1-Detail 3 6 6 3 2" xfId="11514"/>
    <cellStyle name="RowTitles1-Detail 3 6 6 3 2 2" xfId="11515"/>
    <cellStyle name="RowTitles1-Detail 3 6 6 3 2_Tertiary Salaries Survey" xfId="11516"/>
    <cellStyle name="RowTitles1-Detail 3 6 6 3 3" xfId="11517"/>
    <cellStyle name="RowTitles1-Detail 3 6 6 3_Tertiary Salaries Survey" xfId="11518"/>
    <cellStyle name="RowTitles1-Detail 3 6 6 4" xfId="11519"/>
    <cellStyle name="RowTitles1-Detail 3 6 6 4 2" xfId="11520"/>
    <cellStyle name="RowTitles1-Detail 3 6 6 4_Tertiary Salaries Survey" xfId="11521"/>
    <cellStyle name="RowTitles1-Detail 3 6 6 5" xfId="11522"/>
    <cellStyle name="RowTitles1-Detail 3 6 6_Tertiary Salaries Survey" xfId="11523"/>
    <cellStyle name="RowTitles1-Detail 3 6 7" xfId="11524"/>
    <cellStyle name="RowTitles1-Detail 3 6 7 2" xfId="11525"/>
    <cellStyle name="RowTitles1-Detail 3 6 7 2 2" xfId="11526"/>
    <cellStyle name="RowTitles1-Detail 3 6 7 2_Tertiary Salaries Survey" xfId="11527"/>
    <cellStyle name="RowTitles1-Detail 3 6 7 3" xfId="11528"/>
    <cellStyle name="RowTitles1-Detail 3 6 7_Tertiary Salaries Survey" xfId="11529"/>
    <cellStyle name="RowTitles1-Detail 3 6 8" xfId="11530"/>
    <cellStyle name="RowTitles1-Detail 3 6 9" xfId="11531"/>
    <cellStyle name="RowTitles1-Detail 3 6_STUD aligned by INSTIT" xfId="11532"/>
    <cellStyle name="RowTitles1-Detail 3 7" xfId="11533"/>
    <cellStyle name="RowTitles1-Detail 3 7 2" xfId="11534"/>
    <cellStyle name="RowTitles1-Detail 3 7 2 2" xfId="11535"/>
    <cellStyle name="RowTitles1-Detail 3 7 2 2 2" xfId="11536"/>
    <cellStyle name="RowTitles1-Detail 3 7 2 2_Tertiary Salaries Survey" xfId="11537"/>
    <cellStyle name="RowTitles1-Detail 3 7 2 3" xfId="11538"/>
    <cellStyle name="RowTitles1-Detail 3 7 2_Tertiary Salaries Survey" xfId="11539"/>
    <cellStyle name="RowTitles1-Detail 3 7 3" xfId="11540"/>
    <cellStyle name="RowTitles1-Detail 3 7 3 2" xfId="11541"/>
    <cellStyle name="RowTitles1-Detail 3 7 3 2 2" xfId="11542"/>
    <cellStyle name="RowTitles1-Detail 3 7 3 2_Tertiary Salaries Survey" xfId="11543"/>
    <cellStyle name="RowTitles1-Detail 3 7 3 3" xfId="11544"/>
    <cellStyle name="RowTitles1-Detail 3 7 3_Tertiary Salaries Survey" xfId="11545"/>
    <cellStyle name="RowTitles1-Detail 3 7 4" xfId="11546"/>
    <cellStyle name="RowTitles1-Detail 3 7 5" xfId="11547"/>
    <cellStyle name="RowTitles1-Detail 3 7 5 2" xfId="11548"/>
    <cellStyle name="RowTitles1-Detail 3 7 5_Tertiary Salaries Survey" xfId="11549"/>
    <cellStyle name="RowTitles1-Detail 3 7 6" xfId="11550"/>
    <cellStyle name="RowTitles1-Detail 3 7_Tertiary Salaries Survey" xfId="11551"/>
    <cellStyle name="RowTitles1-Detail 3 8" xfId="11552"/>
    <cellStyle name="RowTitles1-Detail 3 8 2" xfId="11553"/>
    <cellStyle name="RowTitles1-Detail 3 8 2 2" xfId="11554"/>
    <cellStyle name="RowTitles1-Detail 3 8 2 2 2" xfId="11555"/>
    <cellStyle name="RowTitles1-Detail 3 8 2 2_Tertiary Salaries Survey" xfId="11556"/>
    <cellStyle name="RowTitles1-Detail 3 8 2 3" xfId="11557"/>
    <cellStyle name="RowTitles1-Detail 3 8 2_Tertiary Salaries Survey" xfId="11558"/>
    <cellStyle name="RowTitles1-Detail 3 8 3" xfId="11559"/>
    <cellStyle name="RowTitles1-Detail 3 8 3 2" xfId="11560"/>
    <cellStyle name="RowTitles1-Detail 3 8 3 2 2" xfId="11561"/>
    <cellStyle name="RowTitles1-Detail 3 8 3 2_Tertiary Salaries Survey" xfId="11562"/>
    <cellStyle name="RowTitles1-Detail 3 8 3 3" xfId="11563"/>
    <cellStyle name="RowTitles1-Detail 3 8 3_Tertiary Salaries Survey" xfId="11564"/>
    <cellStyle name="RowTitles1-Detail 3 8 4" xfId="11565"/>
    <cellStyle name="RowTitles1-Detail 3 8 5" xfId="11566"/>
    <cellStyle name="RowTitles1-Detail 3 8_Tertiary Salaries Survey" xfId="11567"/>
    <cellStyle name="RowTitles1-Detail 3 9" xfId="11568"/>
    <cellStyle name="RowTitles1-Detail 3 9 2" xfId="11569"/>
    <cellStyle name="RowTitles1-Detail 3 9 2 2" xfId="11570"/>
    <cellStyle name="RowTitles1-Detail 3 9 2 2 2" xfId="11571"/>
    <cellStyle name="RowTitles1-Detail 3 9 2 2_Tertiary Salaries Survey" xfId="11572"/>
    <cellStyle name="RowTitles1-Detail 3 9 2 3" xfId="11573"/>
    <cellStyle name="RowTitles1-Detail 3 9 2_Tertiary Salaries Survey" xfId="11574"/>
    <cellStyle name="RowTitles1-Detail 3 9 3" xfId="11575"/>
    <cellStyle name="RowTitles1-Detail 3 9 3 2" xfId="11576"/>
    <cellStyle name="RowTitles1-Detail 3 9 3 2 2" xfId="11577"/>
    <cellStyle name="RowTitles1-Detail 3 9 3 2_Tertiary Salaries Survey" xfId="11578"/>
    <cellStyle name="RowTitles1-Detail 3 9 3 3" xfId="11579"/>
    <cellStyle name="RowTitles1-Detail 3 9 3_Tertiary Salaries Survey" xfId="11580"/>
    <cellStyle name="RowTitles1-Detail 3 9 4" xfId="11581"/>
    <cellStyle name="RowTitles1-Detail 3 9 5" xfId="11582"/>
    <cellStyle name="RowTitles1-Detail 3 9 5 2" xfId="11583"/>
    <cellStyle name="RowTitles1-Detail 3 9 5_Tertiary Salaries Survey" xfId="11584"/>
    <cellStyle name="RowTitles1-Detail 3 9 6" xfId="11585"/>
    <cellStyle name="RowTitles1-Detail 3 9_Tertiary Salaries Survey" xfId="11586"/>
    <cellStyle name="RowTitles1-Detail 3_STUD aligned by INSTIT" xfId="11587"/>
    <cellStyle name="RowTitles1-Detail 30" xfId="29687"/>
    <cellStyle name="RowTitles1-Detail 31" xfId="29688"/>
    <cellStyle name="RowTitles1-Detail 32" xfId="29689"/>
    <cellStyle name="RowTitles1-Detail 33" xfId="29690"/>
    <cellStyle name="RowTitles1-Detail 34" xfId="29691"/>
    <cellStyle name="RowTitles1-Detail 35" xfId="29692"/>
    <cellStyle name="RowTitles1-Detail 36" xfId="29693"/>
    <cellStyle name="RowTitles1-Detail 37" xfId="29694"/>
    <cellStyle name="RowTitles1-Detail 38" xfId="29695"/>
    <cellStyle name="RowTitles1-Detail 39" xfId="29696"/>
    <cellStyle name="RowTitles1-Detail 4" xfId="11588"/>
    <cellStyle name="RowTitles1-Detail 4 10" xfId="11589"/>
    <cellStyle name="RowTitles1-Detail 4 10 2" xfId="11590"/>
    <cellStyle name="RowTitles1-Detail 4 10 2 2" xfId="11591"/>
    <cellStyle name="RowTitles1-Detail 4 10 2 2 2" xfId="11592"/>
    <cellStyle name="RowTitles1-Detail 4 10 2 2_Tertiary Salaries Survey" xfId="11593"/>
    <cellStyle name="RowTitles1-Detail 4 10 2 3" xfId="11594"/>
    <cellStyle name="RowTitles1-Detail 4 10 2_Tertiary Salaries Survey" xfId="11595"/>
    <cellStyle name="RowTitles1-Detail 4 10 3" xfId="11596"/>
    <cellStyle name="RowTitles1-Detail 4 10 3 2" xfId="11597"/>
    <cellStyle name="RowTitles1-Detail 4 10 3 2 2" xfId="11598"/>
    <cellStyle name="RowTitles1-Detail 4 10 3 2_Tertiary Salaries Survey" xfId="11599"/>
    <cellStyle name="RowTitles1-Detail 4 10 3 3" xfId="11600"/>
    <cellStyle name="RowTitles1-Detail 4 10 3_Tertiary Salaries Survey" xfId="11601"/>
    <cellStyle name="RowTitles1-Detail 4 10 4" xfId="11602"/>
    <cellStyle name="RowTitles1-Detail 4 10 4 2" xfId="11603"/>
    <cellStyle name="RowTitles1-Detail 4 10 4_Tertiary Salaries Survey" xfId="11604"/>
    <cellStyle name="RowTitles1-Detail 4 10 5" xfId="11605"/>
    <cellStyle name="RowTitles1-Detail 4 10_Tertiary Salaries Survey" xfId="11606"/>
    <cellStyle name="RowTitles1-Detail 4 11" xfId="11607"/>
    <cellStyle name="RowTitles1-Detail 4 11 2" xfId="11608"/>
    <cellStyle name="RowTitles1-Detail 4 11 2 2" xfId="11609"/>
    <cellStyle name="RowTitles1-Detail 4 11 2 2 2" xfId="11610"/>
    <cellStyle name="RowTitles1-Detail 4 11 2 2_Tertiary Salaries Survey" xfId="11611"/>
    <cellStyle name="RowTitles1-Detail 4 11 2 3" xfId="11612"/>
    <cellStyle name="RowTitles1-Detail 4 11 2_Tertiary Salaries Survey" xfId="11613"/>
    <cellStyle name="RowTitles1-Detail 4 11 3" xfId="11614"/>
    <cellStyle name="RowTitles1-Detail 4 11 3 2" xfId="11615"/>
    <cellStyle name="RowTitles1-Detail 4 11 3 2 2" xfId="11616"/>
    <cellStyle name="RowTitles1-Detail 4 11 3 2_Tertiary Salaries Survey" xfId="11617"/>
    <cellStyle name="RowTitles1-Detail 4 11 3 3" xfId="11618"/>
    <cellStyle name="RowTitles1-Detail 4 11 3_Tertiary Salaries Survey" xfId="11619"/>
    <cellStyle name="RowTitles1-Detail 4 11 4" xfId="11620"/>
    <cellStyle name="RowTitles1-Detail 4 11 4 2" xfId="11621"/>
    <cellStyle name="RowTitles1-Detail 4 11 4_Tertiary Salaries Survey" xfId="11622"/>
    <cellStyle name="RowTitles1-Detail 4 11 5" xfId="11623"/>
    <cellStyle name="RowTitles1-Detail 4 11_Tertiary Salaries Survey" xfId="11624"/>
    <cellStyle name="RowTitles1-Detail 4 12" xfId="11625"/>
    <cellStyle name="RowTitles1-Detail 4 12 2" xfId="11626"/>
    <cellStyle name="RowTitles1-Detail 4 12 2 2" xfId="11627"/>
    <cellStyle name="RowTitles1-Detail 4 12 2_Tertiary Salaries Survey" xfId="11628"/>
    <cellStyle name="RowTitles1-Detail 4 12 3" xfId="11629"/>
    <cellStyle name="RowTitles1-Detail 4 12_Tertiary Salaries Survey" xfId="11630"/>
    <cellStyle name="RowTitles1-Detail 4 13" xfId="11631"/>
    <cellStyle name="RowTitles1-Detail 4 14" xfId="11632"/>
    <cellStyle name="RowTitles1-Detail 4 15" xfId="11633"/>
    <cellStyle name="RowTitles1-Detail 4 2" xfId="11634"/>
    <cellStyle name="RowTitles1-Detail 4 2 10" xfId="11635"/>
    <cellStyle name="RowTitles1-Detail 4 2 10 2" xfId="11636"/>
    <cellStyle name="RowTitles1-Detail 4 2 10 2 2" xfId="11637"/>
    <cellStyle name="RowTitles1-Detail 4 2 10 2 2 2" xfId="11638"/>
    <cellStyle name="RowTitles1-Detail 4 2 10 2 2_Tertiary Salaries Survey" xfId="11639"/>
    <cellStyle name="RowTitles1-Detail 4 2 10 2 3" xfId="11640"/>
    <cellStyle name="RowTitles1-Detail 4 2 10 2_Tertiary Salaries Survey" xfId="11641"/>
    <cellStyle name="RowTitles1-Detail 4 2 10 3" xfId="11642"/>
    <cellStyle name="RowTitles1-Detail 4 2 10 3 2" xfId="11643"/>
    <cellStyle name="RowTitles1-Detail 4 2 10 3 2 2" xfId="11644"/>
    <cellStyle name="RowTitles1-Detail 4 2 10 3 2_Tertiary Salaries Survey" xfId="11645"/>
    <cellStyle name="RowTitles1-Detail 4 2 10 3 3" xfId="11646"/>
    <cellStyle name="RowTitles1-Detail 4 2 10 3_Tertiary Salaries Survey" xfId="11647"/>
    <cellStyle name="RowTitles1-Detail 4 2 10 4" xfId="11648"/>
    <cellStyle name="RowTitles1-Detail 4 2 10 4 2" xfId="11649"/>
    <cellStyle name="RowTitles1-Detail 4 2 10 4_Tertiary Salaries Survey" xfId="11650"/>
    <cellStyle name="RowTitles1-Detail 4 2 10 5" xfId="11651"/>
    <cellStyle name="RowTitles1-Detail 4 2 10_Tertiary Salaries Survey" xfId="11652"/>
    <cellStyle name="RowTitles1-Detail 4 2 11" xfId="11653"/>
    <cellStyle name="RowTitles1-Detail 4 2 11 2" xfId="11654"/>
    <cellStyle name="RowTitles1-Detail 4 2 11 2 2" xfId="11655"/>
    <cellStyle name="RowTitles1-Detail 4 2 11 2_Tertiary Salaries Survey" xfId="11656"/>
    <cellStyle name="RowTitles1-Detail 4 2 11 3" xfId="11657"/>
    <cellStyle name="RowTitles1-Detail 4 2 11_Tertiary Salaries Survey" xfId="11658"/>
    <cellStyle name="RowTitles1-Detail 4 2 12" xfId="11659"/>
    <cellStyle name="RowTitles1-Detail 4 2 13" xfId="11660"/>
    <cellStyle name="RowTitles1-Detail 4 2 2" xfId="11661"/>
    <cellStyle name="RowTitles1-Detail 4 2 2 10" xfId="11662"/>
    <cellStyle name="RowTitles1-Detail 4 2 2 10 2" xfId="11663"/>
    <cellStyle name="RowTitles1-Detail 4 2 2 10 2 2" xfId="11664"/>
    <cellStyle name="RowTitles1-Detail 4 2 2 10 2_Tertiary Salaries Survey" xfId="11665"/>
    <cellStyle name="RowTitles1-Detail 4 2 2 10 3" xfId="11666"/>
    <cellStyle name="RowTitles1-Detail 4 2 2 10_Tertiary Salaries Survey" xfId="11667"/>
    <cellStyle name="RowTitles1-Detail 4 2 2 11" xfId="11668"/>
    <cellStyle name="RowTitles1-Detail 4 2 2 12" xfId="11669"/>
    <cellStyle name="RowTitles1-Detail 4 2 2 2" xfId="11670"/>
    <cellStyle name="RowTitles1-Detail 4 2 2 2 2" xfId="11671"/>
    <cellStyle name="RowTitles1-Detail 4 2 2 2 2 2" xfId="11672"/>
    <cellStyle name="RowTitles1-Detail 4 2 2 2 2 2 2" xfId="11673"/>
    <cellStyle name="RowTitles1-Detail 4 2 2 2 2 2 2 2" xfId="11674"/>
    <cellStyle name="RowTitles1-Detail 4 2 2 2 2 2 2_Tertiary Salaries Survey" xfId="11675"/>
    <cellStyle name="RowTitles1-Detail 4 2 2 2 2 2 3" xfId="11676"/>
    <cellStyle name="RowTitles1-Detail 4 2 2 2 2 2_Tertiary Salaries Survey" xfId="11677"/>
    <cellStyle name="RowTitles1-Detail 4 2 2 2 2 3" xfId="11678"/>
    <cellStyle name="RowTitles1-Detail 4 2 2 2 2 3 2" xfId="11679"/>
    <cellStyle name="RowTitles1-Detail 4 2 2 2 2 3 2 2" xfId="11680"/>
    <cellStyle name="RowTitles1-Detail 4 2 2 2 2 3 2_Tertiary Salaries Survey" xfId="11681"/>
    <cellStyle name="RowTitles1-Detail 4 2 2 2 2 3 3" xfId="11682"/>
    <cellStyle name="RowTitles1-Detail 4 2 2 2 2 3_Tertiary Salaries Survey" xfId="11683"/>
    <cellStyle name="RowTitles1-Detail 4 2 2 2 2 4" xfId="11684"/>
    <cellStyle name="RowTitles1-Detail 4 2 2 2 2 5" xfId="11685"/>
    <cellStyle name="RowTitles1-Detail 4 2 2 2 2_Tertiary Salaries Survey" xfId="11686"/>
    <cellStyle name="RowTitles1-Detail 4 2 2 2 3" xfId="11687"/>
    <cellStyle name="RowTitles1-Detail 4 2 2 2 3 2" xfId="11688"/>
    <cellStyle name="RowTitles1-Detail 4 2 2 2 3 2 2" xfId="11689"/>
    <cellStyle name="RowTitles1-Detail 4 2 2 2 3 2 2 2" xfId="11690"/>
    <cellStyle name="RowTitles1-Detail 4 2 2 2 3 2 2_Tertiary Salaries Survey" xfId="11691"/>
    <cellStyle name="RowTitles1-Detail 4 2 2 2 3 2 3" xfId="11692"/>
    <cellStyle name="RowTitles1-Detail 4 2 2 2 3 2_Tertiary Salaries Survey" xfId="11693"/>
    <cellStyle name="RowTitles1-Detail 4 2 2 2 3 3" xfId="11694"/>
    <cellStyle name="RowTitles1-Detail 4 2 2 2 3 3 2" xfId="11695"/>
    <cellStyle name="RowTitles1-Detail 4 2 2 2 3 3 2 2" xfId="11696"/>
    <cellStyle name="RowTitles1-Detail 4 2 2 2 3 3 2_Tertiary Salaries Survey" xfId="11697"/>
    <cellStyle name="RowTitles1-Detail 4 2 2 2 3 3 3" xfId="11698"/>
    <cellStyle name="RowTitles1-Detail 4 2 2 2 3 3_Tertiary Salaries Survey" xfId="11699"/>
    <cellStyle name="RowTitles1-Detail 4 2 2 2 3 4" xfId="11700"/>
    <cellStyle name="RowTitles1-Detail 4 2 2 2 3 5" xfId="11701"/>
    <cellStyle name="RowTitles1-Detail 4 2 2 2 3 5 2" xfId="11702"/>
    <cellStyle name="RowTitles1-Detail 4 2 2 2 3 5_Tertiary Salaries Survey" xfId="11703"/>
    <cellStyle name="RowTitles1-Detail 4 2 2 2 3 6" xfId="11704"/>
    <cellStyle name="RowTitles1-Detail 4 2 2 2 3_Tertiary Salaries Survey" xfId="11705"/>
    <cellStyle name="RowTitles1-Detail 4 2 2 2 4" xfId="11706"/>
    <cellStyle name="RowTitles1-Detail 4 2 2 2 4 2" xfId="11707"/>
    <cellStyle name="RowTitles1-Detail 4 2 2 2 4 2 2" xfId="11708"/>
    <cellStyle name="RowTitles1-Detail 4 2 2 2 4 2 2 2" xfId="11709"/>
    <cellStyle name="RowTitles1-Detail 4 2 2 2 4 2 2_Tertiary Salaries Survey" xfId="11710"/>
    <cellStyle name="RowTitles1-Detail 4 2 2 2 4 2 3" xfId="11711"/>
    <cellStyle name="RowTitles1-Detail 4 2 2 2 4 2_Tertiary Salaries Survey" xfId="11712"/>
    <cellStyle name="RowTitles1-Detail 4 2 2 2 4 3" xfId="11713"/>
    <cellStyle name="RowTitles1-Detail 4 2 2 2 4 3 2" xfId="11714"/>
    <cellStyle name="RowTitles1-Detail 4 2 2 2 4 3 2 2" xfId="11715"/>
    <cellStyle name="RowTitles1-Detail 4 2 2 2 4 3 2_Tertiary Salaries Survey" xfId="11716"/>
    <cellStyle name="RowTitles1-Detail 4 2 2 2 4 3 3" xfId="11717"/>
    <cellStyle name="RowTitles1-Detail 4 2 2 2 4 3_Tertiary Salaries Survey" xfId="11718"/>
    <cellStyle name="RowTitles1-Detail 4 2 2 2 4 4" xfId="11719"/>
    <cellStyle name="RowTitles1-Detail 4 2 2 2 4 4 2" xfId="11720"/>
    <cellStyle name="RowTitles1-Detail 4 2 2 2 4 4_Tertiary Salaries Survey" xfId="11721"/>
    <cellStyle name="RowTitles1-Detail 4 2 2 2 4 5" xfId="11722"/>
    <cellStyle name="RowTitles1-Detail 4 2 2 2 4_Tertiary Salaries Survey" xfId="11723"/>
    <cellStyle name="RowTitles1-Detail 4 2 2 2 5" xfId="11724"/>
    <cellStyle name="RowTitles1-Detail 4 2 2 2 5 2" xfId="11725"/>
    <cellStyle name="RowTitles1-Detail 4 2 2 2 5 2 2" xfId="11726"/>
    <cellStyle name="RowTitles1-Detail 4 2 2 2 5 2 2 2" xfId="11727"/>
    <cellStyle name="RowTitles1-Detail 4 2 2 2 5 2 2_Tertiary Salaries Survey" xfId="11728"/>
    <cellStyle name="RowTitles1-Detail 4 2 2 2 5 2 3" xfId="11729"/>
    <cellStyle name="RowTitles1-Detail 4 2 2 2 5 2_Tertiary Salaries Survey" xfId="11730"/>
    <cellStyle name="RowTitles1-Detail 4 2 2 2 5 3" xfId="11731"/>
    <cellStyle name="RowTitles1-Detail 4 2 2 2 5 3 2" xfId="11732"/>
    <cellStyle name="RowTitles1-Detail 4 2 2 2 5 3 2 2" xfId="11733"/>
    <cellStyle name="RowTitles1-Detail 4 2 2 2 5 3 2_Tertiary Salaries Survey" xfId="11734"/>
    <cellStyle name="RowTitles1-Detail 4 2 2 2 5 3 3" xfId="11735"/>
    <cellStyle name="RowTitles1-Detail 4 2 2 2 5 3_Tertiary Salaries Survey" xfId="11736"/>
    <cellStyle name="RowTitles1-Detail 4 2 2 2 5 4" xfId="11737"/>
    <cellStyle name="RowTitles1-Detail 4 2 2 2 5 4 2" xfId="11738"/>
    <cellStyle name="RowTitles1-Detail 4 2 2 2 5 4_Tertiary Salaries Survey" xfId="11739"/>
    <cellStyle name="RowTitles1-Detail 4 2 2 2 5 5" xfId="11740"/>
    <cellStyle name="RowTitles1-Detail 4 2 2 2 5_Tertiary Salaries Survey" xfId="11741"/>
    <cellStyle name="RowTitles1-Detail 4 2 2 2 6" xfId="11742"/>
    <cellStyle name="RowTitles1-Detail 4 2 2 2 6 2" xfId="11743"/>
    <cellStyle name="RowTitles1-Detail 4 2 2 2 6 2 2" xfId="11744"/>
    <cellStyle name="RowTitles1-Detail 4 2 2 2 6 2 2 2" xfId="11745"/>
    <cellStyle name="RowTitles1-Detail 4 2 2 2 6 2 2_Tertiary Salaries Survey" xfId="11746"/>
    <cellStyle name="RowTitles1-Detail 4 2 2 2 6 2 3" xfId="11747"/>
    <cellStyle name="RowTitles1-Detail 4 2 2 2 6 2_Tertiary Salaries Survey" xfId="11748"/>
    <cellStyle name="RowTitles1-Detail 4 2 2 2 6 3" xfId="11749"/>
    <cellStyle name="RowTitles1-Detail 4 2 2 2 6 3 2" xfId="11750"/>
    <cellStyle name="RowTitles1-Detail 4 2 2 2 6 3 2 2" xfId="11751"/>
    <cellStyle name="RowTitles1-Detail 4 2 2 2 6 3 2_Tertiary Salaries Survey" xfId="11752"/>
    <cellStyle name="RowTitles1-Detail 4 2 2 2 6 3 3" xfId="11753"/>
    <cellStyle name="RowTitles1-Detail 4 2 2 2 6 3_Tertiary Salaries Survey" xfId="11754"/>
    <cellStyle name="RowTitles1-Detail 4 2 2 2 6 4" xfId="11755"/>
    <cellStyle name="RowTitles1-Detail 4 2 2 2 6 4 2" xfId="11756"/>
    <cellStyle name="RowTitles1-Detail 4 2 2 2 6 4_Tertiary Salaries Survey" xfId="11757"/>
    <cellStyle name="RowTitles1-Detail 4 2 2 2 6 5" xfId="11758"/>
    <cellStyle name="RowTitles1-Detail 4 2 2 2 6_Tertiary Salaries Survey" xfId="11759"/>
    <cellStyle name="RowTitles1-Detail 4 2 2 2 7" xfId="11760"/>
    <cellStyle name="RowTitles1-Detail 4 2 2 2 7 2" xfId="11761"/>
    <cellStyle name="RowTitles1-Detail 4 2 2 2 7 2 2" xfId="11762"/>
    <cellStyle name="RowTitles1-Detail 4 2 2 2 7 2_Tertiary Salaries Survey" xfId="11763"/>
    <cellStyle name="RowTitles1-Detail 4 2 2 2 7 3" xfId="11764"/>
    <cellStyle name="RowTitles1-Detail 4 2 2 2 7_Tertiary Salaries Survey" xfId="11765"/>
    <cellStyle name="RowTitles1-Detail 4 2 2 2 8" xfId="11766"/>
    <cellStyle name="RowTitles1-Detail 4 2 2 2 9" xfId="11767"/>
    <cellStyle name="RowTitles1-Detail 4 2 2 2_STUD aligned by INSTIT" xfId="11768"/>
    <cellStyle name="RowTitles1-Detail 4 2 2 3" xfId="11769"/>
    <cellStyle name="RowTitles1-Detail 4 2 2 3 2" xfId="11770"/>
    <cellStyle name="RowTitles1-Detail 4 2 2 3 2 2" xfId="11771"/>
    <cellStyle name="RowTitles1-Detail 4 2 2 3 2 2 2" xfId="11772"/>
    <cellStyle name="RowTitles1-Detail 4 2 2 3 2 2 2 2" xfId="11773"/>
    <cellStyle name="RowTitles1-Detail 4 2 2 3 2 2 2_Tertiary Salaries Survey" xfId="11774"/>
    <cellStyle name="RowTitles1-Detail 4 2 2 3 2 2 3" xfId="11775"/>
    <cellStyle name="RowTitles1-Detail 4 2 2 3 2 2_Tertiary Salaries Survey" xfId="11776"/>
    <cellStyle name="RowTitles1-Detail 4 2 2 3 2 3" xfId="11777"/>
    <cellStyle name="RowTitles1-Detail 4 2 2 3 2 3 2" xfId="11778"/>
    <cellStyle name="RowTitles1-Detail 4 2 2 3 2 3 2 2" xfId="11779"/>
    <cellStyle name="RowTitles1-Detail 4 2 2 3 2 3 2_Tertiary Salaries Survey" xfId="11780"/>
    <cellStyle name="RowTitles1-Detail 4 2 2 3 2 3 3" xfId="11781"/>
    <cellStyle name="RowTitles1-Detail 4 2 2 3 2 3_Tertiary Salaries Survey" xfId="11782"/>
    <cellStyle name="RowTitles1-Detail 4 2 2 3 2 4" xfId="11783"/>
    <cellStyle name="RowTitles1-Detail 4 2 2 3 2 5" xfId="11784"/>
    <cellStyle name="RowTitles1-Detail 4 2 2 3 2 5 2" xfId="11785"/>
    <cellStyle name="RowTitles1-Detail 4 2 2 3 2 5_Tertiary Salaries Survey" xfId="11786"/>
    <cellStyle name="RowTitles1-Detail 4 2 2 3 2 6" xfId="11787"/>
    <cellStyle name="RowTitles1-Detail 4 2 2 3 2_Tertiary Salaries Survey" xfId="11788"/>
    <cellStyle name="RowTitles1-Detail 4 2 2 3 3" xfId="11789"/>
    <cellStyle name="RowTitles1-Detail 4 2 2 3 3 2" xfId="11790"/>
    <cellStyle name="RowTitles1-Detail 4 2 2 3 3 2 2" xfId="11791"/>
    <cellStyle name="RowTitles1-Detail 4 2 2 3 3 2 2 2" xfId="11792"/>
    <cellStyle name="RowTitles1-Detail 4 2 2 3 3 2 2_Tertiary Salaries Survey" xfId="11793"/>
    <cellStyle name="RowTitles1-Detail 4 2 2 3 3 2 3" xfId="11794"/>
    <cellStyle name="RowTitles1-Detail 4 2 2 3 3 2_Tertiary Salaries Survey" xfId="11795"/>
    <cellStyle name="RowTitles1-Detail 4 2 2 3 3 3" xfId="11796"/>
    <cellStyle name="RowTitles1-Detail 4 2 2 3 3 3 2" xfId="11797"/>
    <cellStyle name="RowTitles1-Detail 4 2 2 3 3 3 2 2" xfId="11798"/>
    <cellStyle name="RowTitles1-Detail 4 2 2 3 3 3 2_Tertiary Salaries Survey" xfId="11799"/>
    <cellStyle name="RowTitles1-Detail 4 2 2 3 3 3 3" xfId="11800"/>
    <cellStyle name="RowTitles1-Detail 4 2 2 3 3 3_Tertiary Salaries Survey" xfId="11801"/>
    <cellStyle name="RowTitles1-Detail 4 2 2 3 3 4" xfId="11802"/>
    <cellStyle name="RowTitles1-Detail 4 2 2 3 3 5" xfId="11803"/>
    <cellStyle name="RowTitles1-Detail 4 2 2 3 3_Tertiary Salaries Survey" xfId="11804"/>
    <cellStyle name="RowTitles1-Detail 4 2 2 3 4" xfId="11805"/>
    <cellStyle name="RowTitles1-Detail 4 2 2 3 4 2" xfId="11806"/>
    <cellStyle name="RowTitles1-Detail 4 2 2 3 4 2 2" xfId="11807"/>
    <cellStyle name="RowTitles1-Detail 4 2 2 3 4 2 2 2" xfId="11808"/>
    <cellStyle name="RowTitles1-Detail 4 2 2 3 4 2 2_Tertiary Salaries Survey" xfId="11809"/>
    <cellStyle name="RowTitles1-Detail 4 2 2 3 4 2 3" xfId="11810"/>
    <cellStyle name="RowTitles1-Detail 4 2 2 3 4 2_Tertiary Salaries Survey" xfId="11811"/>
    <cellStyle name="RowTitles1-Detail 4 2 2 3 4 3" xfId="11812"/>
    <cellStyle name="RowTitles1-Detail 4 2 2 3 4 3 2" xfId="11813"/>
    <cellStyle name="RowTitles1-Detail 4 2 2 3 4 3 2 2" xfId="11814"/>
    <cellStyle name="RowTitles1-Detail 4 2 2 3 4 3 2_Tertiary Salaries Survey" xfId="11815"/>
    <cellStyle name="RowTitles1-Detail 4 2 2 3 4 3 3" xfId="11816"/>
    <cellStyle name="RowTitles1-Detail 4 2 2 3 4 3_Tertiary Salaries Survey" xfId="11817"/>
    <cellStyle name="RowTitles1-Detail 4 2 2 3 4 4" xfId="11818"/>
    <cellStyle name="RowTitles1-Detail 4 2 2 3 4 4 2" xfId="11819"/>
    <cellStyle name="RowTitles1-Detail 4 2 2 3 4 4_Tertiary Salaries Survey" xfId="11820"/>
    <cellStyle name="RowTitles1-Detail 4 2 2 3 4 5" xfId="11821"/>
    <cellStyle name="RowTitles1-Detail 4 2 2 3 4_Tertiary Salaries Survey" xfId="11822"/>
    <cellStyle name="RowTitles1-Detail 4 2 2 3 5" xfId="11823"/>
    <cellStyle name="RowTitles1-Detail 4 2 2 3 5 2" xfId="11824"/>
    <cellStyle name="RowTitles1-Detail 4 2 2 3 5 2 2" xfId="11825"/>
    <cellStyle name="RowTitles1-Detail 4 2 2 3 5 2 2 2" xfId="11826"/>
    <cellStyle name="RowTitles1-Detail 4 2 2 3 5 2 2_Tertiary Salaries Survey" xfId="11827"/>
    <cellStyle name="RowTitles1-Detail 4 2 2 3 5 2 3" xfId="11828"/>
    <cellStyle name="RowTitles1-Detail 4 2 2 3 5 2_Tertiary Salaries Survey" xfId="11829"/>
    <cellStyle name="RowTitles1-Detail 4 2 2 3 5 3" xfId="11830"/>
    <cellStyle name="RowTitles1-Detail 4 2 2 3 5 3 2" xfId="11831"/>
    <cellStyle name="RowTitles1-Detail 4 2 2 3 5 3 2 2" xfId="11832"/>
    <cellStyle name="RowTitles1-Detail 4 2 2 3 5 3 2_Tertiary Salaries Survey" xfId="11833"/>
    <cellStyle name="RowTitles1-Detail 4 2 2 3 5 3 3" xfId="11834"/>
    <cellStyle name="RowTitles1-Detail 4 2 2 3 5 3_Tertiary Salaries Survey" xfId="11835"/>
    <cellStyle name="RowTitles1-Detail 4 2 2 3 5 4" xfId="11836"/>
    <cellStyle name="RowTitles1-Detail 4 2 2 3 5 4 2" xfId="11837"/>
    <cellStyle name="RowTitles1-Detail 4 2 2 3 5 4_Tertiary Salaries Survey" xfId="11838"/>
    <cellStyle name="RowTitles1-Detail 4 2 2 3 5 5" xfId="11839"/>
    <cellStyle name="RowTitles1-Detail 4 2 2 3 5_Tertiary Salaries Survey" xfId="11840"/>
    <cellStyle name="RowTitles1-Detail 4 2 2 3 6" xfId="11841"/>
    <cellStyle name="RowTitles1-Detail 4 2 2 3 6 2" xfId="11842"/>
    <cellStyle name="RowTitles1-Detail 4 2 2 3 6 2 2" xfId="11843"/>
    <cellStyle name="RowTitles1-Detail 4 2 2 3 6 2 2 2" xfId="11844"/>
    <cellStyle name="RowTitles1-Detail 4 2 2 3 6 2 2_Tertiary Salaries Survey" xfId="11845"/>
    <cellStyle name="RowTitles1-Detail 4 2 2 3 6 2 3" xfId="11846"/>
    <cellStyle name="RowTitles1-Detail 4 2 2 3 6 2_Tertiary Salaries Survey" xfId="11847"/>
    <cellStyle name="RowTitles1-Detail 4 2 2 3 6 3" xfId="11848"/>
    <cellStyle name="RowTitles1-Detail 4 2 2 3 6 3 2" xfId="11849"/>
    <cellStyle name="RowTitles1-Detail 4 2 2 3 6 3 2 2" xfId="11850"/>
    <cellStyle name="RowTitles1-Detail 4 2 2 3 6 3 2_Tertiary Salaries Survey" xfId="11851"/>
    <cellStyle name="RowTitles1-Detail 4 2 2 3 6 3 3" xfId="11852"/>
    <cellStyle name="RowTitles1-Detail 4 2 2 3 6 3_Tertiary Salaries Survey" xfId="11853"/>
    <cellStyle name="RowTitles1-Detail 4 2 2 3 6 4" xfId="11854"/>
    <cellStyle name="RowTitles1-Detail 4 2 2 3 6 4 2" xfId="11855"/>
    <cellStyle name="RowTitles1-Detail 4 2 2 3 6 4_Tertiary Salaries Survey" xfId="11856"/>
    <cellStyle name="RowTitles1-Detail 4 2 2 3 6 5" xfId="11857"/>
    <cellStyle name="RowTitles1-Detail 4 2 2 3 6_Tertiary Salaries Survey" xfId="11858"/>
    <cellStyle name="RowTitles1-Detail 4 2 2 3 7" xfId="11859"/>
    <cellStyle name="RowTitles1-Detail 4 2 2 3 7 2" xfId="11860"/>
    <cellStyle name="RowTitles1-Detail 4 2 2 3 7 2 2" xfId="11861"/>
    <cellStyle name="RowTitles1-Detail 4 2 2 3 7 2_Tertiary Salaries Survey" xfId="11862"/>
    <cellStyle name="RowTitles1-Detail 4 2 2 3 7 3" xfId="11863"/>
    <cellStyle name="RowTitles1-Detail 4 2 2 3 7_Tertiary Salaries Survey" xfId="11864"/>
    <cellStyle name="RowTitles1-Detail 4 2 2 3 8" xfId="11865"/>
    <cellStyle name="RowTitles1-Detail 4 2 2 3 8 2" xfId="11866"/>
    <cellStyle name="RowTitles1-Detail 4 2 2 3 8 2 2" xfId="11867"/>
    <cellStyle name="RowTitles1-Detail 4 2 2 3 8 2_Tertiary Salaries Survey" xfId="11868"/>
    <cellStyle name="RowTitles1-Detail 4 2 2 3 8 3" xfId="11869"/>
    <cellStyle name="RowTitles1-Detail 4 2 2 3 8_Tertiary Salaries Survey" xfId="11870"/>
    <cellStyle name="RowTitles1-Detail 4 2 2 3 9" xfId="11871"/>
    <cellStyle name="RowTitles1-Detail 4 2 2 3_STUD aligned by INSTIT" xfId="11872"/>
    <cellStyle name="RowTitles1-Detail 4 2 2 4" xfId="11873"/>
    <cellStyle name="RowTitles1-Detail 4 2 2 4 2" xfId="11874"/>
    <cellStyle name="RowTitles1-Detail 4 2 2 4 2 2" xfId="11875"/>
    <cellStyle name="RowTitles1-Detail 4 2 2 4 2 2 2" xfId="11876"/>
    <cellStyle name="RowTitles1-Detail 4 2 2 4 2 2 2 2" xfId="11877"/>
    <cellStyle name="RowTitles1-Detail 4 2 2 4 2 2 2_Tertiary Salaries Survey" xfId="11878"/>
    <cellStyle name="RowTitles1-Detail 4 2 2 4 2 2 3" xfId="11879"/>
    <cellStyle name="RowTitles1-Detail 4 2 2 4 2 2_Tertiary Salaries Survey" xfId="11880"/>
    <cellStyle name="RowTitles1-Detail 4 2 2 4 2 3" xfId="11881"/>
    <cellStyle name="RowTitles1-Detail 4 2 2 4 2 3 2" xfId="11882"/>
    <cellStyle name="RowTitles1-Detail 4 2 2 4 2 3 2 2" xfId="11883"/>
    <cellStyle name="RowTitles1-Detail 4 2 2 4 2 3 2_Tertiary Salaries Survey" xfId="11884"/>
    <cellStyle name="RowTitles1-Detail 4 2 2 4 2 3 3" xfId="11885"/>
    <cellStyle name="RowTitles1-Detail 4 2 2 4 2 3_Tertiary Salaries Survey" xfId="11886"/>
    <cellStyle name="RowTitles1-Detail 4 2 2 4 2 4" xfId="11887"/>
    <cellStyle name="RowTitles1-Detail 4 2 2 4 2 5" xfId="11888"/>
    <cellStyle name="RowTitles1-Detail 4 2 2 4 2 5 2" xfId="11889"/>
    <cellStyle name="RowTitles1-Detail 4 2 2 4 2 5_Tertiary Salaries Survey" xfId="11890"/>
    <cellStyle name="RowTitles1-Detail 4 2 2 4 2 6" xfId="11891"/>
    <cellStyle name="RowTitles1-Detail 4 2 2 4 2_Tertiary Salaries Survey" xfId="11892"/>
    <cellStyle name="RowTitles1-Detail 4 2 2 4 3" xfId="11893"/>
    <cellStyle name="RowTitles1-Detail 4 2 2 4 3 2" xfId="11894"/>
    <cellStyle name="RowTitles1-Detail 4 2 2 4 3 2 2" xfId="11895"/>
    <cellStyle name="RowTitles1-Detail 4 2 2 4 3 2 2 2" xfId="11896"/>
    <cellStyle name="RowTitles1-Detail 4 2 2 4 3 2 2_Tertiary Salaries Survey" xfId="11897"/>
    <cellStyle name="RowTitles1-Detail 4 2 2 4 3 2 3" xfId="11898"/>
    <cellStyle name="RowTitles1-Detail 4 2 2 4 3 2_Tertiary Salaries Survey" xfId="11899"/>
    <cellStyle name="RowTitles1-Detail 4 2 2 4 3 3" xfId="11900"/>
    <cellStyle name="RowTitles1-Detail 4 2 2 4 3 3 2" xfId="11901"/>
    <cellStyle name="RowTitles1-Detail 4 2 2 4 3 3 2 2" xfId="11902"/>
    <cellStyle name="RowTitles1-Detail 4 2 2 4 3 3 2_Tertiary Salaries Survey" xfId="11903"/>
    <cellStyle name="RowTitles1-Detail 4 2 2 4 3 3 3" xfId="11904"/>
    <cellStyle name="RowTitles1-Detail 4 2 2 4 3 3_Tertiary Salaries Survey" xfId="11905"/>
    <cellStyle name="RowTitles1-Detail 4 2 2 4 3 4" xfId="11906"/>
    <cellStyle name="RowTitles1-Detail 4 2 2 4 3 5" xfId="11907"/>
    <cellStyle name="RowTitles1-Detail 4 2 2 4 3_Tertiary Salaries Survey" xfId="11908"/>
    <cellStyle name="RowTitles1-Detail 4 2 2 4 4" xfId="11909"/>
    <cellStyle name="RowTitles1-Detail 4 2 2 4 4 2" xfId="11910"/>
    <cellStyle name="RowTitles1-Detail 4 2 2 4 4 2 2" xfId="11911"/>
    <cellStyle name="RowTitles1-Detail 4 2 2 4 4 2 2 2" xfId="11912"/>
    <cellStyle name="RowTitles1-Detail 4 2 2 4 4 2 2_Tertiary Salaries Survey" xfId="11913"/>
    <cellStyle name="RowTitles1-Detail 4 2 2 4 4 2 3" xfId="11914"/>
    <cellStyle name="RowTitles1-Detail 4 2 2 4 4 2_Tertiary Salaries Survey" xfId="11915"/>
    <cellStyle name="RowTitles1-Detail 4 2 2 4 4 3" xfId="11916"/>
    <cellStyle name="RowTitles1-Detail 4 2 2 4 4 3 2" xfId="11917"/>
    <cellStyle name="RowTitles1-Detail 4 2 2 4 4 3 2 2" xfId="11918"/>
    <cellStyle name="RowTitles1-Detail 4 2 2 4 4 3 2_Tertiary Salaries Survey" xfId="11919"/>
    <cellStyle name="RowTitles1-Detail 4 2 2 4 4 3 3" xfId="11920"/>
    <cellStyle name="RowTitles1-Detail 4 2 2 4 4 3_Tertiary Salaries Survey" xfId="11921"/>
    <cellStyle name="RowTitles1-Detail 4 2 2 4 4 4" xfId="11922"/>
    <cellStyle name="RowTitles1-Detail 4 2 2 4 4 5" xfId="11923"/>
    <cellStyle name="RowTitles1-Detail 4 2 2 4 4 5 2" xfId="11924"/>
    <cellStyle name="RowTitles1-Detail 4 2 2 4 4 5_Tertiary Salaries Survey" xfId="11925"/>
    <cellStyle name="RowTitles1-Detail 4 2 2 4 4 6" xfId="11926"/>
    <cellStyle name="RowTitles1-Detail 4 2 2 4 4_Tertiary Salaries Survey" xfId="11927"/>
    <cellStyle name="RowTitles1-Detail 4 2 2 4 5" xfId="11928"/>
    <cellStyle name="RowTitles1-Detail 4 2 2 4 5 2" xfId="11929"/>
    <cellStyle name="RowTitles1-Detail 4 2 2 4 5 2 2" xfId="11930"/>
    <cellStyle name="RowTitles1-Detail 4 2 2 4 5 2 2 2" xfId="11931"/>
    <cellStyle name="RowTitles1-Detail 4 2 2 4 5 2 2_Tertiary Salaries Survey" xfId="11932"/>
    <cellStyle name="RowTitles1-Detail 4 2 2 4 5 2 3" xfId="11933"/>
    <cellStyle name="RowTitles1-Detail 4 2 2 4 5 2_Tertiary Salaries Survey" xfId="11934"/>
    <cellStyle name="RowTitles1-Detail 4 2 2 4 5 3" xfId="11935"/>
    <cellStyle name="RowTitles1-Detail 4 2 2 4 5 3 2" xfId="11936"/>
    <cellStyle name="RowTitles1-Detail 4 2 2 4 5 3 2 2" xfId="11937"/>
    <cellStyle name="RowTitles1-Detail 4 2 2 4 5 3 2_Tertiary Salaries Survey" xfId="11938"/>
    <cellStyle name="RowTitles1-Detail 4 2 2 4 5 3 3" xfId="11939"/>
    <cellStyle name="RowTitles1-Detail 4 2 2 4 5 3_Tertiary Salaries Survey" xfId="11940"/>
    <cellStyle name="RowTitles1-Detail 4 2 2 4 5 4" xfId="11941"/>
    <cellStyle name="RowTitles1-Detail 4 2 2 4 5 4 2" xfId="11942"/>
    <cellStyle name="RowTitles1-Detail 4 2 2 4 5 4_Tertiary Salaries Survey" xfId="11943"/>
    <cellStyle name="RowTitles1-Detail 4 2 2 4 5 5" xfId="11944"/>
    <cellStyle name="RowTitles1-Detail 4 2 2 4 5_Tertiary Salaries Survey" xfId="11945"/>
    <cellStyle name="RowTitles1-Detail 4 2 2 4 6" xfId="11946"/>
    <cellStyle name="RowTitles1-Detail 4 2 2 4 6 2" xfId="11947"/>
    <cellStyle name="RowTitles1-Detail 4 2 2 4 6 2 2" xfId="11948"/>
    <cellStyle name="RowTitles1-Detail 4 2 2 4 6 2 2 2" xfId="11949"/>
    <cellStyle name="RowTitles1-Detail 4 2 2 4 6 2 2_Tertiary Salaries Survey" xfId="11950"/>
    <cellStyle name="RowTitles1-Detail 4 2 2 4 6 2 3" xfId="11951"/>
    <cellStyle name="RowTitles1-Detail 4 2 2 4 6 2_Tertiary Salaries Survey" xfId="11952"/>
    <cellStyle name="RowTitles1-Detail 4 2 2 4 6 3" xfId="11953"/>
    <cellStyle name="RowTitles1-Detail 4 2 2 4 6 3 2" xfId="11954"/>
    <cellStyle name="RowTitles1-Detail 4 2 2 4 6 3 2 2" xfId="11955"/>
    <cellStyle name="RowTitles1-Detail 4 2 2 4 6 3 2_Tertiary Salaries Survey" xfId="11956"/>
    <cellStyle name="RowTitles1-Detail 4 2 2 4 6 3 3" xfId="11957"/>
    <cellStyle name="RowTitles1-Detail 4 2 2 4 6 3_Tertiary Salaries Survey" xfId="11958"/>
    <cellStyle name="RowTitles1-Detail 4 2 2 4 6 4" xfId="11959"/>
    <cellStyle name="RowTitles1-Detail 4 2 2 4 6 4 2" xfId="11960"/>
    <cellStyle name="RowTitles1-Detail 4 2 2 4 6 4_Tertiary Salaries Survey" xfId="11961"/>
    <cellStyle name="RowTitles1-Detail 4 2 2 4 6 5" xfId="11962"/>
    <cellStyle name="RowTitles1-Detail 4 2 2 4 6_Tertiary Salaries Survey" xfId="11963"/>
    <cellStyle name="RowTitles1-Detail 4 2 2 4 7" xfId="11964"/>
    <cellStyle name="RowTitles1-Detail 4 2 2 4 7 2" xfId="11965"/>
    <cellStyle name="RowTitles1-Detail 4 2 2 4 7 2 2" xfId="11966"/>
    <cellStyle name="RowTitles1-Detail 4 2 2 4 7 2_Tertiary Salaries Survey" xfId="11967"/>
    <cellStyle name="RowTitles1-Detail 4 2 2 4 7 3" xfId="11968"/>
    <cellStyle name="RowTitles1-Detail 4 2 2 4 7_Tertiary Salaries Survey" xfId="11969"/>
    <cellStyle name="RowTitles1-Detail 4 2 2 4 8" xfId="11970"/>
    <cellStyle name="RowTitles1-Detail 4 2 2 4 9" xfId="11971"/>
    <cellStyle name="RowTitles1-Detail 4 2 2 4_STUD aligned by INSTIT" xfId="11972"/>
    <cellStyle name="RowTitles1-Detail 4 2 2 5" xfId="11973"/>
    <cellStyle name="RowTitles1-Detail 4 2 2 5 2" xfId="11974"/>
    <cellStyle name="RowTitles1-Detail 4 2 2 5 2 2" xfId="11975"/>
    <cellStyle name="RowTitles1-Detail 4 2 2 5 2 2 2" xfId="11976"/>
    <cellStyle name="RowTitles1-Detail 4 2 2 5 2 2_Tertiary Salaries Survey" xfId="11977"/>
    <cellStyle name="RowTitles1-Detail 4 2 2 5 2 3" xfId="11978"/>
    <cellStyle name="RowTitles1-Detail 4 2 2 5 2_Tertiary Salaries Survey" xfId="11979"/>
    <cellStyle name="RowTitles1-Detail 4 2 2 5 3" xfId="11980"/>
    <cellStyle name="RowTitles1-Detail 4 2 2 5 3 2" xfId="11981"/>
    <cellStyle name="RowTitles1-Detail 4 2 2 5 3 2 2" xfId="11982"/>
    <cellStyle name="RowTitles1-Detail 4 2 2 5 3 2_Tertiary Salaries Survey" xfId="11983"/>
    <cellStyle name="RowTitles1-Detail 4 2 2 5 3 3" xfId="11984"/>
    <cellStyle name="RowTitles1-Detail 4 2 2 5 3_Tertiary Salaries Survey" xfId="11985"/>
    <cellStyle name="RowTitles1-Detail 4 2 2 5 4" xfId="11986"/>
    <cellStyle name="RowTitles1-Detail 4 2 2 5 5" xfId="11987"/>
    <cellStyle name="RowTitles1-Detail 4 2 2 5 5 2" xfId="11988"/>
    <cellStyle name="RowTitles1-Detail 4 2 2 5 5_Tertiary Salaries Survey" xfId="11989"/>
    <cellStyle name="RowTitles1-Detail 4 2 2 5 6" xfId="11990"/>
    <cellStyle name="RowTitles1-Detail 4 2 2 5_Tertiary Salaries Survey" xfId="11991"/>
    <cellStyle name="RowTitles1-Detail 4 2 2 6" xfId="11992"/>
    <cellStyle name="RowTitles1-Detail 4 2 2 6 2" xfId="11993"/>
    <cellStyle name="RowTitles1-Detail 4 2 2 6 2 2" xfId="11994"/>
    <cellStyle name="RowTitles1-Detail 4 2 2 6 2 2 2" xfId="11995"/>
    <cellStyle name="RowTitles1-Detail 4 2 2 6 2 2_Tertiary Salaries Survey" xfId="11996"/>
    <cellStyle name="RowTitles1-Detail 4 2 2 6 2 3" xfId="11997"/>
    <cellStyle name="RowTitles1-Detail 4 2 2 6 2_Tertiary Salaries Survey" xfId="11998"/>
    <cellStyle name="RowTitles1-Detail 4 2 2 6 3" xfId="11999"/>
    <cellStyle name="RowTitles1-Detail 4 2 2 6 3 2" xfId="12000"/>
    <cellStyle name="RowTitles1-Detail 4 2 2 6 3 2 2" xfId="12001"/>
    <cellStyle name="RowTitles1-Detail 4 2 2 6 3 2_Tertiary Salaries Survey" xfId="12002"/>
    <cellStyle name="RowTitles1-Detail 4 2 2 6 3 3" xfId="12003"/>
    <cellStyle name="RowTitles1-Detail 4 2 2 6 3_Tertiary Salaries Survey" xfId="12004"/>
    <cellStyle name="RowTitles1-Detail 4 2 2 6 4" xfId="12005"/>
    <cellStyle name="RowTitles1-Detail 4 2 2 6 5" xfId="12006"/>
    <cellStyle name="RowTitles1-Detail 4 2 2 6_Tertiary Salaries Survey" xfId="12007"/>
    <cellStyle name="RowTitles1-Detail 4 2 2 7" xfId="12008"/>
    <cellStyle name="RowTitles1-Detail 4 2 2 7 2" xfId="12009"/>
    <cellStyle name="RowTitles1-Detail 4 2 2 7 2 2" xfId="12010"/>
    <cellStyle name="RowTitles1-Detail 4 2 2 7 2 2 2" xfId="12011"/>
    <cellStyle name="RowTitles1-Detail 4 2 2 7 2 2_Tertiary Salaries Survey" xfId="12012"/>
    <cellStyle name="RowTitles1-Detail 4 2 2 7 2 3" xfId="12013"/>
    <cellStyle name="RowTitles1-Detail 4 2 2 7 2_Tertiary Salaries Survey" xfId="12014"/>
    <cellStyle name="RowTitles1-Detail 4 2 2 7 3" xfId="12015"/>
    <cellStyle name="RowTitles1-Detail 4 2 2 7 3 2" xfId="12016"/>
    <cellStyle name="RowTitles1-Detail 4 2 2 7 3 2 2" xfId="12017"/>
    <cellStyle name="RowTitles1-Detail 4 2 2 7 3 2_Tertiary Salaries Survey" xfId="12018"/>
    <cellStyle name="RowTitles1-Detail 4 2 2 7 3 3" xfId="12019"/>
    <cellStyle name="RowTitles1-Detail 4 2 2 7 3_Tertiary Salaries Survey" xfId="12020"/>
    <cellStyle name="RowTitles1-Detail 4 2 2 7 4" xfId="12021"/>
    <cellStyle name="RowTitles1-Detail 4 2 2 7 5" xfId="12022"/>
    <cellStyle name="RowTitles1-Detail 4 2 2 7 5 2" xfId="12023"/>
    <cellStyle name="RowTitles1-Detail 4 2 2 7 5_Tertiary Salaries Survey" xfId="12024"/>
    <cellStyle name="RowTitles1-Detail 4 2 2 7 6" xfId="12025"/>
    <cellStyle name="RowTitles1-Detail 4 2 2 7_Tertiary Salaries Survey" xfId="12026"/>
    <cellStyle name="RowTitles1-Detail 4 2 2 8" xfId="12027"/>
    <cellStyle name="RowTitles1-Detail 4 2 2 8 2" xfId="12028"/>
    <cellStyle name="RowTitles1-Detail 4 2 2 8 2 2" xfId="12029"/>
    <cellStyle name="RowTitles1-Detail 4 2 2 8 2 2 2" xfId="12030"/>
    <cellStyle name="RowTitles1-Detail 4 2 2 8 2 2_Tertiary Salaries Survey" xfId="12031"/>
    <cellStyle name="RowTitles1-Detail 4 2 2 8 2 3" xfId="12032"/>
    <cellStyle name="RowTitles1-Detail 4 2 2 8 2_Tertiary Salaries Survey" xfId="12033"/>
    <cellStyle name="RowTitles1-Detail 4 2 2 8 3" xfId="12034"/>
    <cellStyle name="RowTitles1-Detail 4 2 2 8 3 2" xfId="12035"/>
    <cellStyle name="RowTitles1-Detail 4 2 2 8 3 2 2" xfId="12036"/>
    <cellStyle name="RowTitles1-Detail 4 2 2 8 3 2_Tertiary Salaries Survey" xfId="12037"/>
    <cellStyle name="RowTitles1-Detail 4 2 2 8 3 3" xfId="12038"/>
    <cellStyle name="RowTitles1-Detail 4 2 2 8 3_Tertiary Salaries Survey" xfId="12039"/>
    <cellStyle name="RowTitles1-Detail 4 2 2 8 4" xfId="12040"/>
    <cellStyle name="RowTitles1-Detail 4 2 2 8 4 2" xfId="12041"/>
    <cellStyle name="RowTitles1-Detail 4 2 2 8 4_Tertiary Salaries Survey" xfId="12042"/>
    <cellStyle name="RowTitles1-Detail 4 2 2 8 5" xfId="12043"/>
    <cellStyle name="RowTitles1-Detail 4 2 2 8_Tertiary Salaries Survey" xfId="12044"/>
    <cellStyle name="RowTitles1-Detail 4 2 2 9" xfId="12045"/>
    <cellStyle name="RowTitles1-Detail 4 2 2 9 2" xfId="12046"/>
    <cellStyle name="RowTitles1-Detail 4 2 2 9 2 2" xfId="12047"/>
    <cellStyle name="RowTitles1-Detail 4 2 2 9 2 2 2" xfId="12048"/>
    <cellStyle name="RowTitles1-Detail 4 2 2 9 2 2_Tertiary Salaries Survey" xfId="12049"/>
    <cellStyle name="RowTitles1-Detail 4 2 2 9 2 3" xfId="12050"/>
    <cellStyle name="RowTitles1-Detail 4 2 2 9 2_Tertiary Salaries Survey" xfId="12051"/>
    <cellStyle name="RowTitles1-Detail 4 2 2 9 3" xfId="12052"/>
    <cellStyle name="RowTitles1-Detail 4 2 2 9 3 2" xfId="12053"/>
    <cellStyle name="RowTitles1-Detail 4 2 2 9 3 2 2" xfId="12054"/>
    <cellStyle name="RowTitles1-Detail 4 2 2 9 3 2_Tertiary Salaries Survey" xfId="12055"/>
    <cellStyle name="RowTitles1-Detail 4 2 2 9 3 3" xfId="12056"/>
    <cellStyle name="RowTitles1-Detail 4 2 2 9 3_Tertiary Salaries Survey" xfId="12057"/>
    <cellStyle name="RowTitles1-Detail 4 2 2 9 4" xfId="12058"/>
    <cellStyle name="RowTitles1-Detail 4 2 2 9 4 2" xfId="12059"/>
    <cellStyle name="RowTitles1-Detail 4 2 2 9 4_Tertiary Salaries Survey" xfId="12060"/>
    <cellStyle name="RowTitles1-Detail 4 2 2 9 5" xfId="12061"/>
    <cellStyle name="RowTitles1-Detail 4 2 2 9_Tertiary Salaries Survey" xfId="12062"/>
    <cellStyle name="RowTitles1-Detail 4 2 2_STUD aligned by INSTIT" xfId="12063"/>
    <cellStyle name="RowTitles1-Detail 4 2 3" xfId="12064"/>
    <cellStyle name="RowTitles1-Detail 4 2 3 2" xfId="12065"/>
    <cellStyle name="RowTitles1-Detail 4 2 3 2 2" xfId="12066"/>
    <cellStyle name="RowTitles1-Detail 4 2 3 2 2 2" xfId="12067"/>
    <cellStyle name="RowTitles1-Detail 4 2 3 2 2 2 2" xfId="12068"/>
    <cellStyle name="RowTitles1-Detail 4 2 3 2 2 2_Tertiary Salaries Survey" xfId="12069"/>
    <cellStyle name="RowTitles1-Detail 4 2 3 2 2 3" xfId="12070"/>
    <cellStyle name="RowTitles1-Detail 4 2 3 2 2_Tertiary Salaries Survey" xfId="12071"/>
    <cellStyle name="RowTitles1-Detail 4 2 3 2 3" xfId="12072"/>
    <cellStyle name="RowTitles1-Detail 4 2 3 2 3 2" xfId="12073"/>
    <cellStyle name="RowTitles1-Detail 4 2 3 2 3 2 2" xfId="12074"/>
    <cellStyle name="RowTitles1-Detail 4 2 3 2 3 2_Tertiary Salaries Survey" xfId="12075"/>
    <cellStyle name="RowTitles1-Detail 4 2 3 2 3 3" xfId="12076"/>
    <cellStyle name="RowTitles1-Detail 4 2 3 2 3_Tertiary Salaries Survey" xfId="12077"/>
    <cellStyle name="RowTitles1-Detail 4 2 3 2 4" xfId="12078"/>
    <cellStyle name="RowTitles1-Detail 4 2 3 2 5" xfId="12079"/>
    <cellStyle name="RowTitles1-Detail 4 2 3 2_Tertiary Salaries Survey" xfId="12080"/>
    <cellStyle name="RowTitles1-Detail 4 2 3 3" xfId="12081"/>
    <cellStyle name="RowTitles1-Detail 4 2 3 3 2" xfId="12082"/>
    <cellStyle name="RowTitles1-Detail 4 2 3 3 2 2" xfId="12083"/>
    <cellStyle name="RowTitles1-Detail 4 2 3 3 2 2 2" xfId="12084"/>
    <cellStyle name="RowTitles1-Detail 4 2 3 3 2 2_Tertiary Salaries Survey" xfId="12085"/>
    <cellStyle name="RowTitles1-Detail 4 2 3 3 2 3" xfId="12086"/>
    <cellStyle name="RowTitles1-Detail 4 2 3 3 2_Tertiary Salaries Survey" xfId="12087"/>
    <cellStyle name="RowTitles1-Detail 4 2 3 3 3" xfId="12088"/>
    <cellStyle name="RowTitles1-Detail 4 2 3 3 3 2" xfId="12089"/>
    <cellStyle name="RowTitles1-Detail 4 2 3 3 3 2 2" xfId="12090"/>
    <cellStyle name="RowTitles1-Detail 4 2 3 3 3 2_Tertiary Salaries Survey" xfId="12091"/>
    <cellStyle name="RowTitles1-Detail 4 2 3 3 3 3" xfId="12092"/>
    <cellStyle name="RowTitles1-Detail 4 2 3 3 3_Tertiary Salaries Survey" xfId="12093"/>
    <cellStyle name="RowTitles1-Detail 4 2 3 3 4" xfId="12094"/>
    <cellStyle name="RowTitles1-Detail 4 2 3 3 5" xfId="12095"/>
    <cellStyle name="RowTitles1-Detail 4 2 3 3 5 2" xfId="12096"/>
    <cellStyle name="RowTitles1-Detail 4 2 3 3 5_Tertiary Salaries Survey" xfId="12097"/>
    <cellStyle name="RowTitles1-Detail 4 2 3 3 6" xfId="12098"/>
    <cellStyle name="RowTitles1-Detail 4 2 3 3_Tertiary Salaries Survey" xfId="12099"/>
    <cellStyle name="RowTitles1-Detail 4 2 3 4" xfId="12100"/>
    <cellStyle name="RowTitles1-Detail 4 2 3 4 2" xfId="12101"/>
    <cellStyle name="RowTitles1-Detail 4 2 3 4 2 2" xfId="12102"/>
    <cellStyle name="RowTitles1-Detail 4 2 3 4 2 2 2" xfId="12103"/>
    <cellStyle name="RowTitles1-Detail 4 2 3 4 2 2_Tertiary Salaries Survey" xfId="12104"/>
    <cellStyle name="RowTitles1-Detail 4 2 3 4 2 3" xfId="12105"/>
    <cellStyle name="RowTitles1-Detail 4 2 3 4 2_Tertiary Salaries Survey" xfId="12106"/>
    <cellStyle name="RowTitles1-Detail 4 2 3 4 3" xfId="12107"/>
    <cellStyle name="RowTitles1-Detail 4 2 3 4 3 2" xfId="12108"/>
    <cellStyle name="RowTitles1-Detail 4 2 3 4 3 2 2" xfId="12109"/>
    <cellStyle name="RowTitles1-Detail 4 2 3 4 3 2_Tertiary Salaries Survey" xfId="12110"/>
    <cellStyle name="RowTitles1-Detail 4 2 3 4 3 3" xfId="12111"/>
    <cellStyle name="RowTitles1-Detail 4 2 3 4 3_Tertiary Salaries Survey" xfId="12112"/>
    <cellStyle name="RowTitles1-Detail 4 2 3 4 4" xfId="12113"/>
    <cellStyle name="RowTitles1-Detail 4 2 3 4 4 2" xfId="12114"/>
    <cellStyle name="RowTitles1-Detail 4 2 3 4 4_Tertiary Salaries Survey" xfId="12115"/>
    <cellStyle name="RowTitles1-Detail 4 2 3 4 5" xfId="12116"/>
    <cellStyle name="RowTitles1-Detail 4 2 3 4_Tertiary Salaries Survey" xfId="12117"/>
    <cellStyle name="RowTitles1-Detail 4 2 3 5" xfId="12118"/>
    <cellStyle name="RowTitles1-Detail 4 2 3 5 2" xfId="12119"/>
    <cellStyle name="RowTitles1-Detail 4 2 3 5 2 2" xfId="12120"/>
    <cellStyle name="RowTitles1-Detail 4 2 3 5 2 2 2" xfId="12121"/>
    <cellStyle name="RowTitles1-Detail 4 2 3 5 2 2_Tertiary Salaries Survey" xfId="12122"/>
    <cellStyle name="RowTitles1-Detail 4 2 3 5 2 3" xfId="12123"/>
    <cellStyle name="RowTitles1-Detail 4 2 3 5 2_Tertiary Salaries Survey" xfId="12124"/>
    <cellStyle name="RowTitles1-Detail 4 2 3 5 3" xfId="12125"/>
    <cellStyle name="RowTitles1-Detail 4 2 3 5 3 2" xfId="12126"/>
    <cellStyle name="RowTitles1-Detail 4 2 3 5 3 2 2" xfId="12127"/>
    <cellStyle name="RowTitles1-Detail 4 2 3 5 3 2_Tertiary Salaries Survey" xfId="12128"/>
    <cellStyle name="RowTitles1-Detail 4 2 3 5 3 3" xfId="12129"/>
    <cellStyle name="RowTitles1-Detail 4 2 3 5 3_Tertiary Salaries Survey" xfId="12130"/>
    <cellStyle name="RowTitles1-Detail 4 2 3 5 4" xfId="12131"/>
    <cellStyle name="RowTitles1-Detail 4 2 3 5 4 2" xfId="12132"/>
    <cellStyle name="RowTitles1-Detail 4 2 3 5 4_Tertiary Salaries Survey" xfId="12133"/>
    <cellStyle name="RowTitles1-Detail 4 2 3 5 5" xfId="12134"/>
    <cellStyle name="RowTitles1-Detail 4 2 3 5_Tertiary Salaries Survey" xfId="12135"/>
    <cellStyle name="RowTitles1-Detail 4 2 3 6" xfId="12136"/>
    <cellStyle name="RowTitles1-Detail 4 2 3 6 2" xfId="12137"/>
    <cellStyle name="RowTitles1-Detail 4 2 3 6 2 2" xfId="12138"/>
    <cellStyle name="RowTitles1-Detail 4 2 3 6 2 2 2" xfId="12139"/>
    <cellStyle name="RowTitles1-Detail 4 2 3 6 2 2_Tertiary Salaries Survey" xfId="12140"/>
    <cellStyle name="RowTitles1-Detail 4 2 3 6 2 3" xfId="12141"/>
    <cellStyle name="RowTitles1-Detail 4 2 3 6 2_Tertiary Salaries Survey" xfId="12142"/>
    <cellStyle name="RowTitles1-Detail 4 2 3 6 3" xfId="12143"/>
    <cellStyle name="RowTitles1-Detail 4 2 3 6 3 2" xfId="12144"/>
    <cellStyle name="RowTitles1-Detail 4 2 3 6 3 2 2" xfId="12145"/>
    <cellStyle name="RowTitles1-Detail 4 2 3 6 3 2_Tertiary Salaries Survey" xfId="12146"/>
    <cellStyle name="RowTitles1-Detail 4 2 3 6 3 3" xfId="12147"/>
    <cellStyle name="RowTitles1-Detail 4 2 3 6 3_Tertiary Salaries Survey" xfId="12148"/>
    <cellStyle name="RowTitles1-Detail 4 2 3 6 4" xfId="12149"/>
    <cellStyle name="RowTitles1-Detail 4 2 3 6 4 2" xfId="12150"/>
    <cellStyle name="RowTitles1-Detail 4 2 3 6 4_Tertiary Salaries Survey" xfId="12151"/>
    <cellStyle name="RowTitles1-Detail 4 2 3 6 5" xfId="12152"/>
    <cellStyle name="RowTitles1-Detail 4 2 3 6_Tertiary Salaries Survey" xfId="12153"/>
    <cellStyle name="RowTitles1-Detail 4 2 3 7" xfId="12154"/>
    <cellStyle name="RowTitles1-Detail 4 2 3 7 2" xfId="12155"/>
    <cellStyle name="RowTitles1-Detail 4 2 3 7 2 2" xfId="12156"/>
    <cellStyle name="RowTitles1-Detail 4 2 3 7 2_Tertiary Salaries Survey" xfId="12157"/>
    <cellStyle name="RowTitles1-Detail 4 2 3 7 3" xfId="12158"/>
    <cellStyle name="RowTitles1-Detail 4 2 3 7_Tertiary Salaries Survey" xfId="12159"/>
    <cellStyle name="RowTitles1-Detail 4 2 3 8" xfId="12160"/>
    <cellStyle name="RowTitles1-Detail 4 2 3 9" xfId="12161"/>
    <cellStyle name="RowTitles1-Detail 4 2 3_STUD aligned by INSTIT" xfId="12162"/>
    <cellStyle name="RowTitles1-Detail 4 2 4" xfId="12163"/>
    <cellStyle name="RowTitles1-Detail 4 2 4 2" xfId="12164"/>
    <cellStyle name="RowTitles1-Detail 4 2 4 2 2" xfId="12165"/>
    <cellStyle name="RowTitles1-Detail 4 2 4 2 2 2" xfId="12166"/>
    <cellStyle name="RowTitles1-Detail 4 2 4 2 2 2 2" xfId="12167"/>
    <cellStyle name="RowTitles1-Detail 4 2 4 2 2 2_Tertiary Salaries Survey" xfId="12168"/>
    <cellStyle name="RowTitles1-Detail 4 2 4 2 2 3" xfId="12169"/>
    <cellStyle name="RowTitles1-Detail 4 2 4 2 2_Tertiary Salaries Survey" xfId="12170"/>
    <cellStyle name="RowTitles1-Detail 4 2 4 2 3" xfId="12171"/>
    <cellStyle name="RowTitles1-Detail 4 2 4 2 3 2" xfId="12172"/>
    <cellStyle name="RowTitles1-Detail 4 2 4 2 3 2 2" xfId="12173"/>
    <cellStyle name="RowTitles1-Detail 4 2 4 2 3 2_Tertiary Salaries Survey" xfId="12174"/>
    <cellStyle name="RowTitles1-Detail 4 2 4 2 3 3" xfId="12175"/>
    <cellStyle name="RowTitles1-Detail 4 2 4 2 3_Tertiary Salaries Survey" xfId="12176"/>
    <cellStyle name="RowTitles1-Detail 4 2 4 2 4" xfId="12177"/>
    <cellStyle name="RowTitles1-Detail 4 2 4 2 5" xfId="12178"/>
    <cellStyle name="RowTitles1-Detail 4 2 4 2 5 2" xfId="12179"/>
    <cellStyle name="RowTitles1-Detail 4 2 4 2 5_Tertiary Salaries Survey" xfId="12180"/>
    <cellStyle name="RowTitles1-Detail 4 2 4 2 6" xfId="12181"/>
    <cellStyle name="RowTitles1-Detail 4 2 4 2_Tertiary Salaries Survey" xfId="12182"/>
    <cellStyle name="RowTitles1-Detail 4 2 4 3" xfId="12183"/>
    <cellStyle name="RowTitles1-Detail 4 2 4 3 2" xfId="12184"/>
    <cellStyle name="RowTitles1-Detail 4 2 4 3 2 2" xfId="12185"/>
    <cellStyle name="RowTitles1-Detail 4 2 4 3 2 2 2" xfId="12186"/>
    <cellStyle name="RowTitles1-Detail 4 2 4 3 2 2_Tertiary Salaries Survey" xfId="12187"/>
    <cellStyle name="RowTitles1-Detail 4 2 4 3 2 3" xfId="12188"/>
    <cellStyle name="RowTitles1-Detail 4 2 4 3 2_Tertiary Salaries Survey" xfId="12189"/>
    <cellStyle name="RowTitles1-Detail 4 2 4 3 3" xfId="12190"/>
    <cellStyle name="RowTitles1-Detail 4 2 4 3 3 2" xfId="12191"/>
    <cellStyle name="RowTitles1-Detail 4 2 4 3 3 2 2" xfId="12192"/>
    <cellStyle name="RowTitles1-Detail 4 2 4 3 3 2_Tertiary Salaries Survey" xfId="12193"/>
    <cellStyle name="RowTitles1-Detail 4 2 4 3 3 3" xfId="12194"/>
    <cellStyle name="RowTitles1-Detail 4 2 4 3 3_Tertiary Salaries Survey" xfId="12195"/>
    <cellStyle name="RowTitles1-Detail 4 2 4 3 4" xfId="12196"/>
    <cellStyle name="RowTitles1-Detail 4 2 4 3 5" xfId="12197"/>
    <cellStyle name="RowTitles1-Detail 4 2 4 3_Tertiary Salaries Survey" xfId="12198"/>
    <cellStyle name="RowTitles1-Detail 4 2 4 4" xfId="12199"/>
    <cellStyle name="RowTitles1-Detail 4 2 4 4 2" xfId="12200"/>
    <cellStyle name="RowTitles1-Detail 4 2 4 4 2 2" xfId="12201"/>
    <cellStyle name="RowTitles1-Detail 4 2 4 4 2 2 2" xfId="12202"/>
    <cellStyle name="RowTitles1-Detail 4 2 4 4 2 2_Tertiary Salaries Survey" xfId="12203"/>
    <cellStyle name="RowTitles1-Detail 4 2 4 4 2 3" xfId="12204"/>
    <cellStyle name="RowTitles1-Detail 4 2 4 4 2_Tertiary Salaries Survey" xfId="12205"/>
    <cellStyle name="RowTitles1-Detail 4 2 4 4 3" xfId="12206"/>
    <cellStyle name="RowTitles1-Detail 4 2 4 4 3 2" xfId="12207"/>
    <cellStyle name="RowTitles1-Detail 4 2 4 4 3 2 2" xfId="12208"/>
    <cellStyle name="RowTitles1-Detail 4 2 4 4 3 2_Tertiary Salaries Survey" xfId="12209"/>
    <cellStyle name="RowTitles1-Detail 4 2 4 4 3 3" xfId="12210"/>
    <cellStyle name="RowTitles1-Detail 4 2 4 4 3_Tertiary Salaries Survey" xfId="12211"/>
    <cellStyle name="RowTitles1-Detail 4 2 4 4 4" xfId="12212"/>
    <cellStyle name="RowTitles1-Detail 4 2 4 4 4 2" xfId="12213"/>
    <cellStyle name="RowTitles1-Detail 4 2 4 4 4_Tertiary Salaries Survey" xfId="12214"/>
    <cellStyle name="RowTitles1-Detail 4 2 4 4 5" xfId="12215"/>
    <cellStyle name="RowTitles1-Detail 4 2 4 4_Tertiary Salaries Survey" xfId="12216"/>
    <cellStyle name="RowTitles1-Detail 4 2 4 5" xfId="12217"/>
    <cellStyle name="RowTitles1-Detail 4 2 4 5 2" xfId="12218"/>
    <cellStyle name="RowTitles1-Detail 4 2 4 5 2 2" xfId="12219"/>
    <cellStyle name="RowTitles1-Detail 4 2 4 5 2 2 2" xfId="12220"/>
    <cellStyle name="RowTitles1-Detail 4 2 4 5 2 2_Tertiary Salaries Survey" xfId="12221"/>
    <cellStyle name="RowTitles1-Detail 4 2 4 5 2 3" xfId="12222"/>
    <cellStyle name="RowTitles1-Detail 4 2 4 5 2_Tertiary Salaries Survey" xfId="12223"/>
    <cellStyle name="RowTitles1-Detail 4 2 4 5 3" xfId="12224"/>
    <cellStyle name="RowTitles1-Detail 4 2 4 5 3 2" xfId="12225"/>
    <cellStyle name="RowTitles1-Detail 4 2 4 5 3 2 2" xfId="12226"/>
    <cellStyle name="RowTitles1-Detail 4 2 4 5 3 2_Tertiary Salaries Survey" xfId="12227"/>
    <cellStyle name="RowTitles1-Detail 4 2 4 5 3 3" xfId="12228"/>
    <cellStyle name="RowTitles1-Detail 4 2 4 5 3_Tertiary Salaries Survey" xfId="12229"/>
    <cellStyle name="RowTitles1-Detail 4 2 4 5 4" xfId="12230"/>
    <cellStyle name="RowTitles1-Detail 4 2 4 5 4 2" xfId="12231"/>
    <cellStyle name="RowTitles1-Detail 4 2 4 5 4_Tertiary Salaries Survey" xfId="12232"/>
    <cellStyle name="RowTitles1-Detail 4 2 4 5 5" xfId="12233"/>
    <cellStyle name="RowTitles1-Detail 4 2 4 5_Tertiary Salaries Survey" xfId="12234"/>
    <cellStyle name="RowTitles1-Detail 4 2 4 6" xfId="12235"/>
    <cellStyle name="RowTitles1-Detail 4 2 4 6 2" xfId="12236"/>
    <cellStyle name="RowTitles1-Detail 4 2 4 6 2 2" xfId="12237"/>
    <cellStyle name="RowTitles1-Detail 4 2 4 6 2 2 2" xfId="12238"/>
    <cellStyle name="RowTitles1-Detail 4 2 4 6 2 2_Tertiary Salaries Survey" xfId="12239"/>
    <cellStyle name="RowTitles1-Detail 4 2 4 6 2 3" xfId="12240"/>
    <cellStyle name="RowTitles1-Detail 4 2 4 6 2_Tertiary Salaries Survey" xfId="12241"/>
    <cellStyle name="RowTitles1-Detail 4 2 4 6 3" xfId="12242"/>
    <cellStyle name="RowTitles1-Detail 4 2 4 6 3 2" xfId="12243"/>
    <cellStyle name="RowTitles1-Detail 4 2 4 6 3 2 2" xfId="12244"/>
    <cellStyle name="RowTitles1-Detail 4 2 4 6 3 2_Tertiary Salaries Survey" xfId="12245"/>
    <cellStyle name="RowTitles1-Detail 4 2 4 6 3 3" xfId="12246"/>
    <cellStyle name="RowTitles1-Detail 4 2 4 6 3_Tertiary Salaries Survey" xfId="12247"/>
    <cellStyle name="RowTitles1-Detail 4 2 4 6 4" xfId="12248"/>
    <cellStyle name="RowTitles1-Detail 4 2 4 6 4 2" xfId="12249"/>
    <cellStyle name="RowTitles1-Detail 4 2 4 6 4_Tertiary Salaries Survey" xfId="12250"/>
    <cellStyle name="RowTitles1-Detail 4 2 4 6 5" xfId="12251"/>
    <cellStyle name="RowTitles1-Detail 4 2 4 6_Tertiary Salaries Survey" xfId="12252"/>
    <cellStyle name="RowTitles1-Detail 4 2 4 7" xfId="12253"/>
    <cellStyle name="RowTitles1-Detail 4 2 4 7 2" xfId="12254"/>
    <cellStyle name="RowTitles1-Detail 4 2 4 7 2 2" xfId="12255"/>
    <cellStyle name="RowTitles1-Detail 4 2 4 7 2_Tertiary Salaries Survey" xfId="12256"/>
    <cellStyle name="RowTitles1-Detail 4 2 4 7 3" xfId="12257"/>
    <cellStyle name="RowTitles1-Detail 4 2 4 7_Tertiary Salaries Survey" xfId="12258"/>
    <cellStyle name="RowTitles1-Detail 4 2 4 8" xfId="12259"/>
    <cellStyle name="RowTitles1-Detail 4 2 4 8 2" xfId="12260"/>
    <cellStyle name="RowTitles1-Detail 4 2 4 8 2 2" xfId="12261"/>
    <cellStyle name="RowTitles1-Detail 4 2 4 8 2_Tertiary Salaries Survey" xfId="12262"/>
    <cellStyle name="RowTitles1-Detail 4 2 4 8 3" xfId="12263"/>
    <cellStyle name="RowTitles1-Detail 4 2 4 8_Tertiary Salaries Survey" xfId="12264"/>
    <cellStyle name="RowTitles1-Detail 4 2 4 9" xfId="12265"/>
    <cellStyle name="RowTitles1-Detail 4 2 4_STUD aligned by INSTIT" xfId="12266"/>
    <cellStyle name="RowTitles1-Detail 4 2 5" xfId="12267"/>
    <cellStyle name="RowTitles1-Detail 4 2 5 2" xfId="12268"/>
    <cellStyle name="RowTitles1-Detail 4 2 5 2 2" xfId="12269"/>
    <cellStyle name="RowTitles1-Detail 4 2 5 2 2 2" xfId="12270"/>
    <cellStyle name="RowTitles1-Detail 4 2 5 2 2 2 2" xfId="12271"/>
    <cellStyle name="RowTitles1-Detail 4 2 5 2 2 2_Tertiary Salaries Survey" xfId="12272"/>
    <cellStyle name="RowTitles1-Detail 4 2 5 2 2 3" xfId="12273"/>
    <cellStyle name="RowTitles1-Detail 4 2 5 2 2_Tertiary Salaries Survey" xfId="12274"/>
    <cellStyle name="RowTitles1-Detail 4 2 5 2 3" xfId="12275"/>
    <cellStyle name="RowTitles1-Detail 4 2 5 2 3 2" xfId="12276"/>
    <cellStyle name="RowTitles1-Detail 4 2 5 2 3 2 2" xfId="12277"/>
    <cellStyle name="RowTitles1-Detail 4 2 5 2 3 2_Tertiary Salaries Survey" xfId="12278"/>
    <cellStyle name="RowTitles1-Detail 4 2 5 2 3 3" xfId="12279"/>
    <cellStyle name="RowTitles1-Detail 4 2 5 2 3_Tertiary Salaries Survey" xfId="12280"/>
    <cellStyle name="RowTitles1-Detail 4 2 5 2 4" xfId="12281"/>
    <cellStyle name="RowTitles1-Detail 4 2 5 2 5" xfId="12282"/>
    <cellStyle name="RowTitles1-Detail 4 2 5 2 5 2" xfId="12283"/>
    <cellStyle name="RowTitles1-Detail 4 2 5 2 5_Tertiary Salaries Survey" xfId="12284"/>
    <cellStyle name="RowTitles1-Detail 4 2 5 2 6" xfId="12285"/>
    <cellStyle name="RowTitles1-Detail 4 2 5 2_Tertiary Salaries Survey" xfId="12286"/>
    <cellStyle name="RowTitles1-Detail 4 2 5 3" xfId="12287"/>
    <cellStyle name="RowTitles1-Detail 4 2 5 3 2" xfId="12288"/>
    <cellStyle name="RowTitles1-Detail 4 2 5 3 2 2" xfId="12289"/>
    <cellStyle name="RowTitles1-Detail 4 2 5 3 2 2 2" xfId="12290"/>
    <cellStyle name="RowTitles1-Detail 4 2 5 3 2 2_Tertiary Salaries Survey" xfId="12291"/>
    <cellStyle name="RowTitles1-Detail 4 2 5 3 2 3" xfId="12292"/>
    <cellStyle name="RowTitles1-Detail 4 2 5 3 2_Tertiary Salaries Survey" xfId="12293"/>
    <cellStyle name="RowTitles1-Detail 4 2 5 3 3" xfId="12294"/>
    <cellStyle name="RowTitles1-Detail 4 2 5 3 3 2" xfId="12295"/>
    <cellStyle name="RowTitles1-Detail 4 2 5 3 3 2 2" xfId="12296"/>
    <cellStyle name="RowTitles1-Detail 4 2 5 3 3 2_Tertiary Salaries Survey" xfId="12297"/>
    <cellStyle name="RowTitles1-Detail 4 2 5 3 3 3" xfId="12298"/>
    <cellStyle name="RowTitles1-Detail 4 2 5 3 3_Tertiary Salaries Survey" xfId="12299"/>
    <cellStyle name="RowTitles1-Detail 4 2 5 3 4" xfId="12300"/>
    <cellStyle name="RowTitles1-Detail 4 2 5 3 5" xfId="12301"/>
    <cellStyle name="RowTitles1-Detail 4 2 5 3_Tertiary Salaries Survey" xfId="12302"/>
    <cellStyle name="RowTitles1-Detail 4 2 5 4" xfId="12303"/>
    <cellStyle name="RowTitles1-Detail 4 2 5 4 2" xfId="12304"/>
    <cellStyle name="RowTitles1-Detail 4 2 5 4 2 2" xfId="12305"/>
    <cellStyle name="RowTitles1-Detail 4 2 5 4 2 2 2" xfId="12306"/>
    <cellStyle name="RowTitles1-Detail 4 2 5 4 2 2_Tertiary Salaries Survey" xfId="12307"/>
    <cellStyle name="RowTitles1-Detail 4 2 5 4 2 3" xfId="12308"/>
    <cellStyle name="RowTitles1-Detail 4 2 5 4 2_Tertiary Salaries Survey" xfId="12309"/>
    <cellStyle name="RowTitles1-Detail 4 2 5 4 3" xfId="12310"/>
    <cellStyle name="RowTitles1-Detail 4 2 5 4 3 2" xfId="12311"/>
    <cellStyle name="RowTitles1-Detail 4 2 5 4 3 2 2" xfId="12312"/>
    <cellStyle name="RowTitles1-Detail 4 2 5 4 3 2_Tertiary Salaries Survey" xfId="12313"/>
    <cellStyle name="RowTitles1-Detail 4 2 5 4 3 3" xfId="12314"/>
    <cellStyle name="RowTitles1-Detail 4 2 5 4 3_Tertiary Salaries Survey" xfId="12315"/>
    <cellStyle name="RowTitles1-Detail 4 2 5 4 4" xfId="12316"/>
    <cellStyle name="RowTitles1-Detail 4 2 5 4 5" xfId="12317"/>
    <cellStyle name="RowTitles1-Detail 4 2 5 4 5 2" xfId="12318"/>
    <cellStyle name="RowTitles1-Detail 4 2 5 4 5_Tertiary Salaries Survey" xfId="12319"/>
    <cellStyle name="RowTitles1-Detail 4 2 5 4 6" xfId="12320"/>
    <cellStyle name="RowTitles1-Detail 4 2 5 4_Tertiary Salaries Survey" xfId="12321"/>
    <cellStyle name="RowTitles1-Detail 4 2 5 5" xfId="12322"/>
    <cellStyle name="RowTitles1-Detail 4 2 5 5 2" xfId="12323"/>
    <cellStyle name="RowTitles1-Detail 4 2 5 5 2 2" xfId="12324"/>
    <cellStyle name="RowTitles1-Detail 4 2 5 5 2 2 2" xfId="12325"/>
    <cellStyle name="RowTitles1-Detail 4 2 5 5 2 2_Tertiary Salaries Survey" xfId="12326"/>
    <cellStyle name="RowTitles1-Detail 4 2 5 5 2 3" xfId="12327"/>
    <cellStyle name="RowTitles1-Detail 4 2 5 5 2_Tertiary Salaries Survey" xfId="12328"/>
    <cellStyle name="RowTitles1-Detail 4 2 5 5 3" xfId="12329"/>
    <cellStyle name="RowTitles1-Detail 4 2 5 5 3 2" xfId="12330"/>
    <cellStyle name="RowTitles1-Detail 4 2 5 5 3 2 2" xfId="12331"/>
    <cellStyle name="RowTitles1-Detail 4 2 5 5 3 2_Tertiary Salaries Survey" xfId="12332"/>
    <cellStyle name="RowTitles1-Detail 4 2 5 5 3 3" xfId="12333"/>
    <cellStyle name="RowTitles1-Detail 4 2 5 5 3_Tertiary Salaries Survey" xfId="12334"/>
    <cellStyle name="RowTitles1-Detail 4 2 5 5 4" xfId="12335"/>
    <cellStyle name="RowTitles1-Detail 4 2 5 5 4 2" xfId="12336"/>
    <cellStyle name="RowTitles1-Detail 4 2 5 5 4_Tertiary Salaries Survey" xfId="12337"/>
    <cellStyle name="RowTitles1-Detail 4 2 5 5 5" xfId="12338"/>
    <cellStyle name="RowTitles1-Detail 4 2 5 5_Tertiary Salaries Survey" xfId="12339"/>
    <cellStyle name="RowTitles1-Detail 4 2 5 6" xfId="12340"/>
    <cellStyle name="RowTitles1-Detail 4 2 5 6 2" xfId="12341"/>
    <cellStyle name="RowTitles1-Detail 4 2 5 6 2 2" xfId="12342"/>
    <cellStyle name="RowTitles1-Detail 4 2 5 6 2 2 2" xfId="12343"/>
    <cellStyle name="RowTitles1-Detail 4 2 5 6 2 2_Tertiary Salaries Survey" xfId="12344"/>
    <cellStyle name="RowTitles1-Detail 4 2 5 6 2 3" xfId="12345"/>
    <cellStyle name="RowTitles1-Detail 4 2 5 6 2_Tertiary Salaries Survey" xfId="12346"/>
    <cellStyle name="RowTitles1-Detail 4 2 5 6 3" xfId="12347"/>
    <cellStyle name="RowTitles1-Detail 4 2 5 6 3 2" xfId="12348"/>
    <cellStyle name="RowTitles1-Detail 4 2 5 6 3 2 2" xfId="12349"/>
    <cellStyle name="RowTitles1-Detail 4 2 5 6 3 2_Tertiary Salaries Survey" xfId="12350"/>
    <cellStyle name="RowTitles1-Detail 4 2 5 6 3 3" xfId="12351"/>
    <cellStyle name="RowTitles1-Detail 4 2 5 6 3_Tertiary Salaries Survey" xfId="12352"/>
    <cellStyle name="RowTitles1-Detail 4 2 5 6 4" xfId="12353"/>
    <cellStyle name="RowTitles1-Detail 4 2 5 6 4 2" xfId="12354"/>
    <cellStyle name="RowTitles1-Detail 4 2 5 6 4_Tertiary Salaries Survey" xfId="12355"/>
    <cellStyle name="RowTitles1-Detail 4 2 5 6 5" xfId="12356"/>
    <cellStyle name="RowTitles1-Detail 4 2 5 6_Tertiary Salaries Survey" xfId="12357"/>
    <cellStyle name="RowTitles1-Detail 4 2 5 7" xfId="12358"/>
    <cellStyle name="RowTitles1-Detail 4 2 5 7 2" xfId="12359"/>
    <cellStyle name="RowTitles1-Detail 4 2 5 7 2 2" xfId="12360"/>
    <cellStyle name="RowTitles1-Detail 4 2 5 7 2_Tertiary Salaries Survey" xfId="12361"/>
    <cellStyle name="RowTitles1-Detail 4 2 5 7 3" xfId="12362"/>
    <cellStyle name="RowTitles1-Detail 4 2 5 7_Tertiary Salaries Survey" xfId="12363"/>
    <cellStyle name="RowTitles1-Detail 4 2 5 8" xfId="12364"/>
    <cellStyle name="RowTitles1-Detail 4 2 5 9" xfId="12365"/>
    <cellStyle name="RowTitles1-Detail 4 2 5_STUD aligned by INSTIT" xfId="12366"/>
    <cellStyle name="RowTitles1-Detail 4 2 6" xfId="12367"/>
    <cellStyle name="RowTitles1-Detail 4 2 6 2" xfId="12368"/>
    <cellStyle name="RowTitles1-Detail 4 2 6 2 2" xfId="12369"/>
    <cellStyle name="RowTitles1-Detail 4 2 6 2 2 2" xfId="12370"/>
    <cellStyle name="RowTitles1-Detail 4 2 6 2 2_Tertiary Salaries Survey" xfId="12371"/>
    <cellStyle name="RowTitles1-Detail 4 2 6 2 3" xfId="12372"/>
    <cellStyle name="RowTitles1-Detail 4 2 6 2_Tertiary Salaries Survey" xfId="12373"/>
    <cellStyle name="RowTitles1-Detail 4 2 6 3" xfId="12374"/>
    <cellStyle name="RowTitles1-Detail 4 2 6 3 2" xfId="12375"/>
    <cellStyle name="RowTitles1-Detail 4 2 6 3 2 2" xfId="12376"/>
    <cellStyle name="RowTitles1-Detail 4 2 6 3 2_Tertiary Salaries Survey" xfId="12377"/>
    <cellStyle name="RowTitles1-Detail 4 2 6 3 3" xfId="12378"/>
    <cellStyle name="RowTitles1-Detail 4 2 6 3_Tertiary Salaries Survey" xfId="12379"/>
    <cellStyle name="RowTitles1-Detail 4 2 6 4" xfId="12380"/>
    <cellStyle name="RowTitles1-Detail 4 2 6 5" xfId="12381"/>
    <cellStyle name="RowTitles1-Detail 4 2 6 5 2" xfId="12382"/>
    <cellStyle name="RowTitles1-Detail 4 2 6 5_Tertiary Salaries Survey" xfId="12383"/>
    <cellStyle name="RowTitles1-Detail 4 2 6 6" xfId="12384"/>
    <cellStyle name="RowTitles1-Detail 4 2 6_Tertiary Salaries Survey" xfId="12385"/>
    <cellStyle name="RowTitles1-Detail 4 2 7" xfId="12386"/>
    <cellStyle name="RowTitles1-Detail 4 2 7 2" xfId="12387"/>
    <cellStyle name="RowTitles1-Detail 4 2 7 2 2" xfId="12388"/>
    <cellStyle name="RowTitles1-Detail 4 2 7 2 2 2" xfId="12389"/>
    <cellStyle name="RowTitles1-Detail 4 2 7 2 2_Tertiary Salaries Survey" xfId="12390"/>
    <cellStyle name="RowTitles1-Detail 4 2 7 2 3" xfId="12391"/>
    <cellStyle name="RowTitles1-Detail 4 2 7 2_Tertiary Salaries Survey" xfId="12392"/>
    <cellStyle name="RowTitles1-Detail 4 2 7 3" xfId="12393"/>
    <cellStyle name="RowTitles1-Detail 4 2 7 3 2" xfId="12394"/>
    <cellStyle name="RowTitles1-Detail 4 2 7 3 2 2" xfId="12395"/>
    <cellStyle name="RowTitles1-Detail 4 2 7 3 2_Tertiary Salaries Survey" xfId="12396"/>
    <cellStyle name="RowTitles1-Detail 4 2 7 3 3" xfId="12397"/>
    <cellStyle name="RowTitles1-Detail 4 2 7 3_Tertiary Salaries Survey" xfId="12398"/>
    <cellStyle name="RowTitles1-Detail 4 2 7 4" xfId="12399"/>
    <cellStyle name="RowTitles1-Detail 4 2 7 5" xfId="12400"/>
    <cellStyle name="RowTitles1-Detail 4 2 7_Tertiary Salaries Survey" xfId="12401"/>
    <cellStyle name="RowTitles1-Detail 4 2 8" xfId="12402"/>
    <cellStyle name="RowTitles1-Detail 4 2 8 2" xfId="12403"/>
    <cellStyle name="RowTitles1-Detail 4 2 8 2 2" xfId="12404"/>
    <cellStyle name="RowTitles1-Detail 4 2 8 2 2 2" xfId="12405"/>
    <cellStyle name="RowTitles1-Detail 4 2 8 2 2_Tertiary Salaries Survey" xfId="12406"/>
    <cellStyle name="RowTitles1-Detail 4 2 8 2 3" xfId="12407"/>
    <cellStyle name="RowTitles1-Detail 4 2 8 2_Tertiary Salaries Survey" xfId="12408"/>
    <cellStyle name="RowTitles1-Detail 4 2 8 3" xfId="12409"/>
    <cellStyle name="RowTitles1-Detail 4 2 8 3 2" xfId="12410"/>
    <cellStyle name="RowTitles1-Detail 4 2 8 3 2 2" xfId="12411"/>
    <cellStyle name="RowTitles1-Detail 4 2 8 3 2_Tertiary Salaries Survey" xfId="12412"/>
    <cellStyle name="RowTitles1-Detail 4 2 8 3 3" xfId="12413"/>
    <cellStyle name="RowTitles1-Detail 4 2 8 3_Tertiary Salaries Survey" xfId="12414"/>
    <cellStyle name="RowTitles1-Detail 4 2 8 4" xfId="12415"/>
    <cellStyle name="RowTitles1-Detail 4 2 8 5" xfId="12416"/>
    <cellStyle name="RowTitles1-Detail 4 2 8 5 2" xfId="12417"/>
    <cellStyle name="RowTitles1-Detail 4 2 8 5_Tertiary Salaries Survey" xfId="12418"/>
    <cellStyle name="RowTitles1-Detail 4 2 8 6" xfId="12419"/>
    <cellStyle name="RowTitles1-Detail 4 2 8_Tertiary Salaries Survey" xfId="12420"/>
    <cellStyle name="RowTitles1-Detail 4 2 9" xfId="12421"/>
    <cellStyle name="RowTitles1-Detail 4 2 9 2" xfId="12422"/>
    <cellStyle name="RowTitles1-Detail 4 2 9 2 2" xfId="12423"/>
    <cellStyle name="RowTitles1-Detail 4 2 9 2 2 2" xfId="12424"/>
    <cellStyle name="RowTitles1-Detail 4 2 9 2 2_Tertiary Salaries Survey" xfId="12425"/>
    <cellStyle name="RowTitles1-Detail 4 2 9 2 3" xfId="12426"/>
    <cellStyle name="RowTitles1-Detail 4 2 9 2_Tertiary Salaries Survey" xfId="12427"/>
    <cellStyle name="RowTitles1-Detail 4 2 9 3" xfId="12428"/>
    <cellStyle name="RowTitles1-Detail 4 2 9 3 2" xfId="12429"/>
    <cellStyle name="RowTitles1-Detail 4 2 9 3 2 2" xfId="12430"/>
    <cellStyle name="RowTitles1-Detail 4 2 9 3 2_Tertiary Salaries Survey" xfId="12431"/>
    <cellStyle name="RowTitles1-Detail 4 2 9 3 3" xfId="12432"/>
    <cellStyle name="RowTitles1-Detail 4 2 9 3_Tertiary Salaries Survey" xfId="12433"/>
    <cellStyle name="RowTitles1-Detail 4 2 9 4" xfId="12434"/>
    <cellStyle name="RowTitles1-Detail 4 2 9 4 2" xfId="12435"/>
    <cellStyle name="RowTitles1-Detail 4 2 9 4_Tertiary Salaries Survey" xfId="12436"/>
    <cellStyle name="RowTitles1-Detail 4 2 9 5" xfId="12437"/>
    <cellStyle name="RowTitles1-Detail 4 2 9_Tertiary Salaries Survey" xfId="12438"/>
    <cellStyle name="RowTitles1-Detail 4 2_STUD aligned by INSTIT" xfId="12439"/>
    <cellStyle name="RowTitles1-Detail 4 3" xfId="12440"/>
    <cellStyle name="RowTitles1-Detail 4 3 10" xfId="12441"/>
    <cellStyle name="RowTitles1-Detail 4 3 10 2" xfId="12442"/>
    <cellStyle name="RowTitles1-Detail 4 3 10 2 2" xfId="12443"/>
    <cellStyle name="RowTitles1-Detail 4 3 10 2_Tertiary Salaries Survey" xfId="12444"/>
    <cellStyle name="RowTitles1-Detail 4 3 10 3" xfId="12445"/>
    <cellStyle name="RowTitles1-Detail 4 3 10_Tertiary Salaries Survey" xfId="12446"/>
    <cellStyle name="RowTitles1-Detail 4 3 11" xfId="12447"/>
    <cellStyle name="RowTitles1-Detail 4 3 12" xfId="12448"/>
    <cellStyle name="RowTitles1-Detail 4 3 2" xfId="12449"/>
    <cellStyle name="RowTitles1-Detail 4 3 2 2" xfId="12450"/>
    <cellStyle name="RowTitles1-Detail 4 3 2 2 2" xfId="12451"/>
    <cellStyle name="RowTitles1-Detail 4 3 2 2 2 2" xfId="12452"/>
    <cellStyle name="RowTitles1-Detail 4 3 2 2 2 2 2" xfId="12453"/>
    <cellStyle name="RowTitles1-Detail 4 3 2 2 2 2_Tertiary Salaries Survey" xfId="12454"/>
    <cellStyle name="RowTitles1-Detail 4 3 2 2 2 3" xfId="12455"/>
    <cellStyle name="RowTitles1-Detail 4 3 2 2 2_Tertiary Salaries Survey" xfId="12456"/>
    <cellStyle name="RowTitles1-Detail 4 3 2 2 3" xfId="12457"/>
    <cellStyle name="RowTitles1-Detail 4 3 2 2 3 2" xfId="12458"/>
    <cellStyle name="RowTitles1-Detail 4 3 2 2 3 2 2" xfId="12459"/>
    <cellStyle name="RowTitles1-Detail 4 3 2 2 3 2_Tertiary Salaries Survey" xfId="12460"/>
    <cellStyle name="RowTitles1-Detail 4 3 2 2 3 3" xfId="12461"/>
    <cellStyle name="RowTitles1-Detail 4 3 2 2 3_Tertiary Salaries Survey" xfId="12462"/>
    <cellStyle name="RowTitles1-Detail 4 3 2 2 4" xfId="12463"/>
    <cellStyle name="RowTitles1-Detail 4 3 2 2 5" xfId="12464"/>
    <cellStyle name="RowTitles1-Detail 4 3 2 2_Tertiary Salaries Survey" xfId="12465"/>
    <cellStyle name="RowTitles1-Detail 4 3 2 3" xfId="12466"/>
    <cellStyle name="RowTitles1-Detail 4 3 2 3 2" xfId="12467"/>
    <cellStyle name="RowTitles1-Detail 4 3 2 3 2 2" xfId="12468"/>
    <cellStyle name="RowTitles1-Detail 4 3 2 3 2 2 2" xfId="12469"/>
    <cellStyle name="RowTitles1-Detail 4 3 2 3 2 2_Tertiary Salaries Survey" xfId="12470"/>
    <cellStyle name="RowTitles1-Detail 4 3 2 3 2 3" xfId="12471"/>
    <cellStyle name="RowTitles1-Detail 4 3 2 3 2_Tertiary Salaries Survey" xfId="12472"/>
    <cellStyle name="RowTitles1-Detail 4 3 2 3 3" xfId="12473"/>
    <cellStyle name="RowTitles1-Detail 4 3 2 3 3 2" xfId="12474"/>
    <cellStyle name="RowTitles1-Detail 4 3 2 3 3 2 2" xfId="12475"/>
    <cellStyle name="RowTitles1-Detail 4 3 2 3 3 2_Tertiary Salaries Survey" xfId="12476"/>
    <cellStyle name="RowTitles1-Detail 4 3 2 3 3 3" xfId="12477"/>
    <cellStyle name="RowTitles1-Detail 4 3 2 3 3_Tertiary Salaries Survey" xfId="12478"/>
    <cellStyle name="RowTitles1-Detail 4 3 2 3 4" xfId="12479"/>
    <cellStyle name="RowTitles1-Detail 4 3 2 3 5" xfId="12480"/>
    <cellStyle name="RowTitles1-Detail 4 3 2 3 5 2" xfId="12481"/>
    <cellStyle name="RowTitles1-Detail 4 3 2 3 5_Tertiary Salaries Survey" xfId="12482"/>
    <cellStyle name="RowTitles1-Detail 4 3 2 3 6" xfId="12483"/>
    <cellStyle name="RowTitles1-Detail 4 3 2 3_Tertiary Salaries Survey" xfId="12484"/>
    <cellStyle name="RowTitles1-Detail 4 3 2 4" xfId="12485"/>
    <cellStyle name="RowTitles1-Detail 4 3 2 4 2" xfId="12486"/>
    <cellStyle name="RowTitles1-Detail 4 3 2 4 2 2" xfId="12487"/>
    <cellStyle name="RowTitles1-Detail 4 3 2 4 2 2 2" xfId="12488"/>
    <cellStyle name="RowTitles1-Detail 4 3 2 4 2 2_Tertiary Salaries Survey" xfId="12489"/>
    <cellStyle name="RowTitles1-Detail 4 3 2 4 2 3" xfId="12490"/>
    <cellStyle name="RowTitles1-Detail 4 3 2 4 2_Tertiary Salaries Survey" xfId="12491"/>
    <cellStyle name="RowTitles1-Detail 4 3 2 4 3" xfId="12492"/>
    <cellStyle name="RowTitles1-Detail 4 3 2 4 3 2" xfId="12493"/>
    <cellStyle name="RowTitles1-Detail 4 3 2 4 3 2 2" xfId="12494"/>
    <cellStyle name="RowTitles1-Detail 4 3 2 4 3 2_Tertiary Salaries Survey" xfId="12495"/>
    <cellStyle name="RowTitles1-Detail 4 3 2 4 3 3" xfId="12496"/>
    <cellStyle name="RowTitles1-Detail 4 3 2 4 3_Tertiary Salaries Survey" xfId="12497"/>
    <cellStyle name="RowTitles1-Detail 4 3 2 4 4" xfId="12498"/>
    <cellStyle name="RowTitles1-Detail 4 3 2 4 4 2" xfId="12499"/>
    <cellStyle name="RowTitles1-Detail 4 3 2 4 4_Tertiary Salaries Survey" xfId="12500"/>
    <cellStyle name="RowTitles1-Detail 4 3 2 4 5" xfId="12501"/>
    <cellStyle name="RowTitles1-Detail 4 3 2 4_Tertiary Salaries Survey" xfId="12502"/>
    <cellStyle name="RowTitles1-Detail 4 3 2 5" xfId="12503"/>
    <cellStyle name="RowTitles1-Detail 4 3 2 5 2" xfId="12504"/>
    <cellStyle name="RowTitles1-Detail 4 3 2 5 2 2" xfId="12505"/>
    <cellStyle name="RowTitles1-Detail 4 3 2 5 2 2 2" xfId="12506"/>
    <cellStyle name="RowTitles1-Detail 4 3 2 5 2 2_Tertiary Salaries Survey" xfId="12507"/>
    <cellStyle name="RowTitles1-Detail 4 3 2 5 2 3" xfId="12508"/>
    <cellStyle name="RowTitles1-Detail 4 3 2 5 2_Tertiary Salaries Survey" xfId="12509"/>
    <cellStyle name="RowTitles1-Detail 4 3 2 5 3" xfId="12510"/>
    <cellStyle name="RowTitles1-Detail 4 3 2 5 3 2" xfId="12511"/>
    <cellStyle name="RowTitles1-Detail 4 3 2 5 3 2 2" xfId="12512"/>
    <cellStyle name="RowTitles1-Detail 4 3 2 5 3 2_Tertiary Salaries Survey" xfId="12513"/>
    <cellStyle name="RowTitles1-Detail 4 3 2 5 3 3" xfId="12514"/>
    <cellStyle name="RowTitles1-Detail 4 3 2 5 3_Tertiary Salaries Survey" xfId="12515"/>
    <cellStyle name="RowTitles1-Detail 4 3 2 5 4" xfId="12516"/>
    <cellStyle name="RowTitles1-Detail 4 3 2 5 4 2" xfId="12517"/>
    <cellStyle name="RowTitles1-Detail 4 3 2 5 4_Tertiary Salaries Survey" xfId="12518"/>
    <cellStyle name="RowTitles1-Detail 4 3 2 5 5" xfId="12519"/>
    <cellStyle name="RowTitles1-Detail 4 3 2 5_Tertiary Salaries Survey" xfId="12520"/>
    <cellStyle name="RowTitles1-Detail 4 3 2 6" xfId="12521"/>
    <cellStyle name="RowTitles1-Detail 4 3 2 6 2" xfId="12522"/>
    <cellStyle name="RowTitles1-Detail 4 3 2 6 2 2" xfId="12523"/>
    <cellStyle name="RowTitles1-Detail 4 3 2 6 2 2 2" xfId="12524"/>
    <cellStyle name="RowTitles1-Detail 4 3 2 6 2 2_Tertiary Salaries Survey" xfId="12525"/>
    <cellStyle name="RowTitles1-Detail 4 3 2 6 2 3" xfId="12526"/>
    <cellStyle name="RowTitles1-Detail 4 3 2 6 2_Tertiary Salaries Survey" xfId="12527"/>
    <cellStyle name="RowTitles1-Detail 4 3 2 6 3" xfId="12528"/>
    <cellStyle name="RowTitles1-Detail 4 3 2 6 3 2" xfId="12529"/>
    <cellStyle name="RowTitles1-Detail 4 3 2 6 3 2 2" xfId="12530"/>
    <cellStyle name="RowTitles1-Detail 4 3 2 6 3 2_Tertiary Salaries Survey" xfId="12531"/>
    <cellStyle name="RowTitles1-Detail 4 3 2 6 3 3" xfId="12532"/>
    <cellStyle name="RowTitles1-Detail 4 3 2 6 3_Tertiary Salaries Survey" xfId="12533"/>
    <cellStyle name="RowTitles1-Detail 4 3 2 6 4" xfId="12534"/>
    <cellStyle name="RowTitles1-Detail 4 3 2 6 4 2" xfId="12535"/>
    <cellStyle name="RowTitles1-Detail 4 3 2 6 4_Tertiary Salaries Survey" xfId="12536"/>
    <cellStyle name="RowTitles1-Detail 4 3 2 6 5" xfId="12537"/>
    <cellStyle name="RowTitles1-Detail 4 3 2 6_Tertiary Salaries Survey" xfId="12538"/>
    <cellStyle name="RowTitles1-Detail 4 3 2 7" xfId="12539"/>
    <cellStyle name="RowTitles1-Detail 4 3 2 7 2" xfId="12540"/>
    <cellStyle name="RowTitles1-Detail 4 3 2 7 2 2" xfId="12541"/>
    <cellStyle name="RowTitles1-Detail 4 3 2 7 2_Tertiary Salaries Survey" xfId="12542"/>
    <cellStyle name="RowTitles1-Detail 4 3 2 7 3" xfId="12543"/>
    <cellStyle name="RowTitles1-Detail 4 3 2 7_Tertiary Salaries Survey" xfId="12544"/>
    <cellStyle name="RowTitles1-Detail 4 3 2 8" xfId="12545"/>
    <cellStyle name="RowTitles1-Detail 4 3 2 9" xfId="12546"/>
    <cellStyle name="RowTitles1-Detail 4 3 2_STUD aligned by INSTIT" xfId="12547"/>
    <cellStyle name="RowTitles1-Detail 4 3 3" xfId="12548"/>
    <cellStyle name="RowTitles1-Detail 4 3 3 2" xfId="12549"/>
    <cellStyle name="RowTitles1-Detail 4 3 3 2 2" xfId="12550"/>
    <cellStyle name="RowTitles1-Detail 4 3 3 2 2 2" xfId="12551"/>
    <cellStyle name="RowTitles1-Detail 4 3 3 2 2 2 2" xfId="12552"/>
    <cellStyle name="RowTitles1-Detail 4 3 3 2 2 2_Tertiary Salaries Survey" xfId="12553"/>
    <cellStyle name="RowTitles1-Detail 4 3 3 2 2 3" xfId="12554"/>
    <cellStyle name="RowTitles1-Detail 4 3 3 2 2_Tertiary Salaries Survey" xfId="12555"/>
    <cellStyle name="RowTitles1-Detail 4 3 3 2 3" xfId="12556"/>
    <cellStyle name="RowTitles1-Detail 4 3 3 2 3 2" xfId="12557"/>
    <cellStyle name="RowTitles1-Detail 4 3 3 2 3 2 2" xfId="12558"/>
    <cellStyle name="RowTitles1-Detail 4 3 3 2 3 2_Tertiary Salaries Survey" xfId="12559"/>
    <cellStyle name="RowTitles1-Detail 4 3 3 2 3 3" xfId="12560"/>
    <cellStyle name="RowTitles1-Detail 4 3 3 2 3_Tertiary Salaries Survey" xfId="12561"/>
    <cellStyle name="RowTitles1-Detail 4 3 3 2 4" xfId="12562"/>
    <cellStyle name="RowTitles1-Detail 4 3 3 2 5" xfId="12563"/>
    <cellStyle name="RowTitles1-Detail 4 3 3 2 5 2" xfId="12564"/>
    <cellStyle name="RowTitles1-Detail 4 3 3 2 5_Tertiary Salaries Survey" xfId="12565"/>
    <cellStyle name="RowTitles1-Detail 4 3 3 2 6" xfId="12566"/>
    <cellStyle name="RowTitles1-Detail 4 3 3 2_Tertiary Salaries Survey" xfId="12567"/>
    <cellStyle name="RowTitles1-Detail 4 3 3 3" xfId="12568"/>
    <cellStyle name="RowTitles1-Detail 4 3 3 3 2" xfId="12569"/>
    <cellStyle name="RowTitles1-Detail 4 3 3 3 2 2" xfId="12570"/>
    <cellStyle name="RowTitles1-Detail 4 3 3 3 2 2 2" xfId="12571"/>
    <cellStyle name="RowTitles1-Detail 4 3 3 3 2 2_Tertiary Salaries Survey" xfId="12572"/>
    <cellStyle name="RowTitles1-Detail 4 3 3 3 2 3" xfId="12573"/>
    <cellStyle name="RowTitles1-Detail 4 3 3 3 2_Tertiary Salaries Survey" xfId="12574"/>
    <cellStyle name="RowTitles1-Detail 4 3 3 3 3" xfId="12575"/>
    <cellStyle name="RowTitles1-Detail 4 3 3 3 3 2" xfId="12576"/>
    <cellStyle name="RowTitles1-Detail 4 3 3 3 3 2 2" xfId="12577"/>
    <cellStyle name="RowTitles1-Detail 4 3 3 3 3 2_Tertiary Salaries Survey" xfId="12578"/>
    <cellStyle name="RowTitles1-Detail 4 3 3 3 3 3" xfId="12579"/>
    <cellStyle name="RowTitles1-Detail 4 3 3 3 3_Tertiary Salaries Survey" xfId="12580"/>
    <cellStyle name="RowTitles1-Detail 4 3 3 3 4" xfId="12581"/>
    <cellStyle name="RowTitles1-Detail 4 3 3 3 5" xfId="12582"/>
    <cellStyle name="RowTitles1-Detail 4 3 3 3_Tertiary Salaries Survey" xfId="12583"/>
    <cellStyle name="RowTitles1-Detail 4 3 3 4" xfId="12584"/>
    <cellStyle name="RowTitles1-Detail 4 3 3 4 2" xfId="12585"/>
    <cellStyle name="RowTitles1-Detail 4 3 3 4 2 2" xfId="12586"/>
    <cellStyle name="RowTitles1-Detail 4 3 3 4 2 2 2" xfId="12587"/>
    <cellStyle name="RowTitles1-Detail 4 3 3 4 2 2_Tertiary Salaries Survey" xfId="12588"/>
    <cellStyle name="RowTitles1-Detail 4 3 3 4 2 3" xfId="12589"/>
    <cellStyle name="RowTitles1-Detail 4 3 3 4 2_Tertiary Salaries Survey" xfId="12590"/>
    <cellStyle name="RowTitles1-Detail 4 3 3 4 3" xfId="12591"/>
    <cellStyle name="RowTitles1-Detail 4 3 3 4 3 2" xfId="12592"/>
    <cellStyle name="RowTitles1-Detail 4 3 3 4 3 2 2" xfId="12593"/>
    <cellStyle name="RowTitles1-Detail 4 3 3 4 3 2_Tertiary Salaries Survey" xfId="12594"/>
    <cellStyle name="RowTitles1-Detail 4 3 3 4 3 3" xfId="12595"/>
    <cellStyle name="RowTitles1-Detail 4 3 3 4 3_Tertiary Salaries Survey" xfId="12596"/>
    <cellStyle name="RowTitles1-Detail 4 3 3 4 4" xfId="12597"/>
    <cellStyle name="RowTitles1-Detail 4 3 3 4 4 2" xfId="12598"/>
    <cellStyle name="RowTitles1-Detail 4 3 3 4 4_Tertiary Salaries Survey" xfId="12599"/>
    <cellStyle name="RowTitles1-Detail 4 3 3 4 5" xfId="12600"/>
    <cellStyle name="RowTitles1-Detail 4 3 3 4_Tertiary Salaries Survey" xfId="12601"/>
    <cellStyle name="RowTitles1-Detail 4 3 3 5" xfId="12602"/>
    <cellStyle name="RowTitles1-Detail 4 3 3 5 2" xfId="12603"/>
    <cellStyle name="RowTitles1-Detail 4 3 3 5 2 2" xfId="12604"/>
    <cellStyle name="RowTitles1-Detail 4 3 3 5 2 2 2" xfId="12605"/>
    <cellStyle name="RowTitles1-Detail 4 3 3 5 2 2_Tertiary Salaries Survey" xfId="12606"/>
    <cellStyle name="RowTitles1-Detail 4 3 3 5 2 3" xfId="12607"/>
    <cellStyle name="RowTitles1-Detail 4 3 3 5 2_Tertiary Salaries Survey" xfId="12608"/>
    <cellStyle name="RowTitles1-Detail 4 3 3 5 3" xfId="12609"/>
    <cellStyle name="RowTitles1-Detail 4 3 3 5 3 2" xfId="12610"/>
    <cellStyle name="RowTitles1-Detail 4 3 3 5 3 2 2" xfId="12611"/>
    <cellStyle name="RowTitles1-Detail 4 3 3 5 3 2_Tertiary Salaries Survey" xfId="12612"/>
    <cellStyle name="RowTitles1-Detail 4 3 3 5 3 3" xfId="12613"/>
    <cellStyle name="RowTitles1-Detail 4 3 3 5 3_Tertiary Salaries Survey" xfId="12614"/>
    <cellStyle name="RowTitles1-Detail 4 3 3 5 4" xfId="12615"/>
    <cellStyle name="RowTitles1-Detail 4 3 3 5 4 2" xfId="12616"/>
    <cellStyle name="RowTitles1-Detail 4 3 3 5 4_Tertiary Salaries Survey" xfId="12617"/>
    <cellStyle name="RowTitles1-Detail 4 3 3 5 5" xfId="12618"/>
    <cellStyle name="RowTitles1-Detail 4 3 3 5_Tertiary Salaries Survey" xfId="12619"/>
    <cellStyle name="RowTitles1-Detail 4 3 3 6" xfId="12620"/>
    <cellStyle name="RowTitles1-Detail 4 3 3 6 2" xfId="12621"/>
    <cellStyle name="RowTitles1-Detail 4 3 3 6 2 2" xfId="12622"/>
    <cellStyle name="RowTitles1-Detail 4 3 3 6 2 2 2" xfId="12623"/>
    <cellStyle name="RowTitles1-Detail 4 3 3 6 2 2_Tertiary Salaries Survey" xfId="12624"/>
    <cellStyle name="RowTitles1-Detail 4 3 3 6 2 3" xfId="12625"/>
    <cellStyle name="RowTitles1-Detail 4 3 3 6 2_Tertiary Salaries Survey" xfId="12626"/>
    <cellStyle name="RowTitles1-Detail 4 3 3 6 3" xfId="12627"/>
    <cellStyle name="RowTitles1-Detail 4 3 3 6 3 2" xfId="12628"/>
    <cellStyle name="RowTitles1-Detail 4 3 3 6 3 2 2" xfId="12629"/>
    <cellStyle name="RowTitles1-Detail 4 3 3 6 3 2_Tertiary Salaries Survey" xfId="12630"/>
    <cellStyle name="RowTitles1-Detail 4 3 3 6 3 3" xfId="12631"/>
    <cellStyle name="RowTitles1-Detail 4 3 3 6 3_Tertiary Salaries Survey" xfId="12632"/>
    <cellStyle name="RowTitles1-Detail 4 3 3 6 4" xfId="12633"/>
    <cellStyle name="RowTitles1-Detail 4 3 3 6 4 2" xfId="12634"/>
    <cellStyle name="RowTitles1-Detail 4 3 3 6 4_Tertiary Salaries Survey" xfId="12635"/>
    <cellStyle name="RowTitles1-Detail 4 3 3 6 5" xfId="12636"/>
    <cellStyle name="RowTitles1-Detail 4 3 3 6_Tertiary Salaries Survey" xfId="12637"/>
    <cellStyle name="RowTitles1-Detail 4 3 3 7" xfId="12638"/>
    <cellStyle name="RowTitles1-Detail 4 3 3 7 2" xfId="12639"/>
    <cellStyle name="RowTitles1-Detail 4 3 3 7 2 2" xfId="12640"/>
    <cellStyle name="RowTitles1-Detail 4 3 3 7 2_Tertiary Salaries Survey" xfId="12641"/>
    <cellStyle name="RowTitles1-Detail 4 3 3 7 3" xfId="12642"/>
    <cellStyle name="RowTitles1-Detail 4 3 3 7_Tertiary Salaries Survey" xfId="12643"/>
    <cellStyle name="RowTitles1-Detail 4 3 3 8" xfId="12644"/>
    <cellStyle name="RowTitles1-Detail 4 3 3 8 2" xfId="12645"/>
    <cellStyle name="RowTitles1-Detail 4 3 3 8 2 2" xfId="12646"/>
    <cellStyle name="RowTitles1-Detail 4 3 3 8 2_Tertiary Salaries Survey" xfId="12647"/>
    <cellStyle name="RowTitles1-Detail 4 3 3 8 3" xfId="12648"/>
    <cellStyle name="RowTitles1-Detail 4 3 3 8_Tertiary Salaries Survey" xfId="12649"/>
    <cellStyle name="RowTitles1-Detail 4 3 3 9" xfId="12650"/>
    <cellStyle name="RowTitles1-Detail 4 3 3_STUD aligned by INSTIT" xfId="12651"/>
    <cellStyle name="RowTitles1-Detail 4 3 4" xfId="12652"/>
    <cellStyle name="RowTitles1-Detail 4 3 4 2" xfId="12653"/>
    <cellStyle name="RowTitles1-Detail 4 3 4 2 2" xfId="12654"/>
    <cellStyle name="RowTitles1-Detail 4 3 4 2 2 2" xfId="12655"/>
    <cellStyle name="RowTitles1-Detail 4 3 4 2 2 2 2" xfId="12656"/>
    <cellStyle name="RowTitles1-Detail 4 3 4 2 2 2_Tertiary Salaries Survey" xfId="12657"/>
    <cellStyle name="RowTitles1-Detail 4 3 4 2 2 3" xfId="12658"/>
    <cellStyle name="RowTitles1-Detail 4 3 4 2 2_Tertiary Salaries Survey" xfId="12659"/>
    <cellStyle name="RowTitles1-Detail 4 3 4 2 3" xfId="12660"/>
    <cellStyle name="RowTitles1-Detail 4 3 4 2 3 2" xfId="12661"/>
    <cellStyle name="RowTitles1-Detail 4 3 4 2 3 2 2" xfId="12662"/>
    <cellStyle name="RowTitles1-Detail 4 3 4 2 3 2_Tertiary Salaries Survey" xfId="12663"/>
    <cellStyle name="RowTitles1-Detail 4 3 4 2 3 3" xfId="12664"/>
    <cellStyle name="RowTitles1-Detail 4 3 4 2 3_Tertiary Salaries Survey" xfId="12665"/>
    <cellStyle name="RowTitles1-Detail 4 3 4 2 4" xfId="12666"/>
    <cellStyle name="RowTitles1-Detail 4 3 4 2 5" xfId="12667"/>
    <cellStyle name="RowTitles1-Detail 4 3 4 2 5 2" xfId="12668"/>
    <cellStyle name="RowTitles1-Detail 4 3 4 2 5_Tertiary Salaries Survey" xfId="12669"/>
    <cellStyle name="RowTitles1-Detail 4 3 4 2 6" xfId="12670"/>
    <cellStyle name="RowTitles1-Detail 4 3 4 2_Tertiary Salaries Survey" xfId="12671"/>
    <cellStyle name="RowTitles1-Detail 4 3 4 3" xfId="12672"/>
    <cellStyle name="RowTitles1-Detail 4 3 4 3 2" xfId="12673"/>
    <cellStyle name="RowTitles1-Detail 4 3 4 3 2 2" xfId="12674"/>
    <cellStyle name="RowTitles1-Detail 4 3 4 3 2 2 2" xfId="12675"/>
    <cellStyle name="RowTitles1-Detail 4 3 4 3 2 2_Tertiary Salaries Survey" xfId="12676"/>
    <cellStyle name="RowTitles1-Detail 4 3 4 3 2 3" xfId="12677"/>
    <cellStyle name="RowTitles1-Detail 4 3 4 3 2_Tertiary Salaries Survey" xfId="12678"/>
    <cellStyle name="RowTitles1-Detail 4 3 4 3 3" xfId="12679"/>
    <cellStyle name="RowTitles1-Detail 4 3 4 3 3 2" xfId="12680"/>
    <cellStyle name="RowTitles1-Detail 4 3 4 3 3 2 2" xfId="12681"/>
    <cellStyle name="RowTitles1-Detail 4 3 4 3 3 2_Tertiary Salaries Survey" xfId="12682"/>
    <cellStyle name="RowTitles1-Detail 4 3 4 3 3 3" xfId="12683"/>
    <cellStyle name="RowTitles1-Detail 4 3 4 3 3_Tertiary Salaries Survey" xfId="12684"/>
    <cellStyle name="RowTitles1-Detail 4 3 4 3 4" xfId="12685"/>
    <cellStyle name="RowTitles1-Detail 4 3 4 3 5" xfId="12686"/>
    <cellStyle name="RowTitles1-Detail 4 3 4 3_Tertiary Salaries Survey" xfId="12687"/>
    <cellStyle name="RowTitles1-Detail 4 3 4 4" xfId="12688"/>
    <cellStyle name="RowTitles1-Detail 4 3 4 4 2" xfId="12689"/>
    <cellStyle name="RowTitles1-Detail 4 3 4 4 2 2" xfId="12690"/>
    <cellStyle name="RowTitles1-Detail 4 3 4 4 2 2 2" xfId="12691"/>
    <cellStyle name="RowTitles1-Detail 4 3 4 4 2 2_Tertiary Salaries Survey" xfId="12692"/>
    <cellStyle name="RowTitles1-Detail 4 3 4 4 2 3" xfId="12693"/>
    <cellStyle name="RowTitles1-Detail 4 3 4 4 2_Tertiary Salaries Survey" xfId="12694"/>
    <cellStyle name="RowTitles1-Detail 4 3 4 4 3" xfId="12695"/>
    <cellStyle name="RowTitles1-Detail 4 3 4 4 3 2" xfId="12696"/>
    <cellStyle name="RowTitles1-Detail 4 3 4 4 3 2 2" xfId="12697"/>
    <cellStyle name="RowTitles1-Detail 4 3 4 4 3 2_Tertiary Salaries Survey" xfId="12698"/>
    <cellStyle name="RowTitles1-Detail 4 3 4 4 3 3" xfId="12699"/>
    <cellStyle name="RowTitles1-Detail 4 3 4 4 3_Tertiary Salaries Survey" xfId="12700"/>
    <cellStyle name="RowTitles1-Detail 4 3 4 4 4" xfId="12701"/>
    <cellStyle name="RowTitles1-Detail 4 3 4 4 5" xfId="12702"/>
    <cellStyle name="RowTitles1-Detail 4 3 4 4 5 2" xfId="12703"/>
    <cellStyle name="RowTitles1-Detail 4 3 4 4 5_Tertiary Salaries Survey" xfId="12704"/>
    <cellStyle name="RowTitles1-Detail 4 3 4 4 6" xfId="12705"/>
    <cellStyle name="RowTitles1-Detail 4 3 4 4_Tertiary Salaries Survey" xfId="12706"/>
    <cellStyle name="RowTitles1-Detail 4 3 4 5" xfId="12707"/>
    <cellStyle name="RowTitles1-Detail 4 3 4 5 2" xfId="12708"/>
    <cellStyle name="RowTitles1-Detail 4 3 4 5 2 2" xfId="12709"/>
    <cellStyle name="RowTitles1-Detail 4 3 4 5 2 2 2" xfId="12710"/>
    <cellStyle name="RowTitles1-Detail 4 3 4 5 2 2_Tertiary Salaries Survey" xfId="12711"/>
    <cellStyle name="RowTitles1-Detail 4 3 4 5 2 3" xfId="12712"/>
    <cellStyle name="RowTitles1-Detail 4 3 4 5 2_Tertiary Salaries Survey" xfId="12713"/>
    <cellStyle name="RowTitles1-Detail 4 3 4 5 3" xfId="12714"/>
    <cellStyle name="RowTitles1-Detail 4 3 4 5 3 2" xfId="12715"/>
    <cellStyle name="RowTitles1-Detail 4 3 4 5 3 2 2" xfId="12716"/>
    <cellStyle name="RowTitles1-Detail 4 3 4 5 3 2_Tertiary Salaries Survey" xfId="12717"/>
    <cellStyle name="RowTitles1-Detail 4 3 4 5 3 3" xfId="12718"/>
    <cellStyle name="RowTitles1-Detail 4 3 4 5 3_Tertiary Salaries Survey" xfId="12719"/>
    <cellStyle name="RowTitles1-Detail 4 3 4 5 4" xfId="12720"/>
    <cellStyle name="RowTitles1-Detail 4 3 4 5 4 2" xfId="12721"/>
    <cellStyle name="RowTitles1-Detail 4 3 4 5 4_Tertiary Salaries Survey" xfId="12722"/>
    <cellStyle name="RowTitles1-Detail 4 3 4 5 5" xfId="12723"/>
    <cellStyle name="RowTitles1-Detail 4 3 4 5_Tertiary Salaries Survey" xfId="12724"/>
    <cellStyle name="RowTitles1-Detail 4 3 4 6" xfId="12725"/>
    <cellStyle name="RowTitles1-Detail 4 3 4 6 2" xfId="12726"/>
    <cellStyle name="RowTitles1-Detail 4 3 4 6 2 2" xfId="12727"/>
    <cellStyle name="RowTitles1-Detail 4 3 4 6 2 2 2" xfId="12728"/>
    <cellStyle name="RowTitles1-Detail 4 3 4 6 2 2_Tertiary Salaries Survey" xfId="12729"/>
    <cellStyle name="RowTitles1-Detail 4 3 4 6 2 3" xfId="12730"/>
    <cellStyle name="RowTitles1-Detail 4 3 4 6 2_Tertiary Salaries Survey" xfId="12731"/>
    <cellStyle name="RowTitles1-Detail 4 3 4 6 3" xfId="12732"/>
    <cellStyle name="RowTitles1-Detail 4 3 4 6 3 2" xfId="12733"/>
    <cellStyle name="RowTitles1-Detail 4 3 4 6 3 2 2" xfId="12734"/>
    <cellStyle name="RowTitles1-Detail 4 3 4 6 3 2_Tertiary Salaries Survey" xfId="12735"/>
    <cellStyle name="RowTitles1-Detail 4 3 4 6 3 3" xfId="12736"/>
    <cellStyle name="RowTitles1-Detail 4 3 4 6 3_Tertiary Salaries Survey" xfId="12737"/>
    <cellStyle name="RowTitles1-Detail 4 3 4 6 4" xfId="12738"/>
    <cellStyle name="RowTitles1-Detail 4 3 4 6 4 2" xfId="12739"/>
    <cellStyle name="RowTitles1-Detail 4 3 4 6 4_Tertiary Salaries Survey" xfId="12740"/>
    <cellStyle name="RowTitles1-Detail 4 3 4 6 5" xfId="12741"/>
    <cellStyle name="RowTitles1-Detail 4 3 4 6_Tertiary Salaries Survey" xfId="12742"/>
    <cellStyle name="RowTitles1-Detail 4 3 4 7" xfId="12743"/>
    <cellStyle name="RowTitles1-Detail 4 3 4 7 2" xfId="12744"/>
    <cellStyle name="RowTitles1-Detail 4 3 4 7 2 2" xfId="12745"/>
    <cellStyle name="RowTitles1-Detail 4 3 4 7 2_Tertiary Salaries Survey" xfId="12746"/>
    <cellStyle name="RowTitles1-Detail 4 3 4 7 3" xfId="12747"/>
    <cellStyle name="RowTitles1-Detail 4 3 4 7_Tertiary Salaries Survey" xfId="12748"/>
    <cellStyle name="RowTitles1-Detail 4 3 4 8" xfId="12749"/>
    <cellStyle name="RowTitles1-Detail 4 3 4 9" xfId="12750"/>
    <cellStyle name="RowTitles1-Detail 4 3 4_STUD aligned by INSTIT" xfId="12751"/>
    <cellStyle name="RowTitles1-Detail 4 3 5" xfId="12752"/>
    <cellStyle name="RowTitles1-Detail 4 3 5 2" xfId="12753"/>
    <cellStyle name="RowTitles1-Detail 4 3 5 2 2" xfId="12754"/>
    <cellStyle name="RowTitles1-Detail 4 3 5 2 2 2" xfId="12755"/>
    <cellStyle name="RowTitles1-Detail 4 3 5 2 2_Tertiary Salaries Survey" xfId="12756"/>
    <cellStyle name="RowTitles1-Detail 4 3 5 2 3" xfId="12757"/>
    <cellStyle name="RowTitles1-Detail 4 3 5 2_Tertiary Salaries Survey" xfId="12758"/>
    <cellStyle name="RowTitles1-Detail 4 3 5 3" xfId="12759"/>
    <cellStyle name="RowTitles1-Detail 4 3 5 3 2" xfId="12760"/>
    <cellStyle name="RowTitles1-Detail 4 3 5 3 2 2" xfId="12761"/>
    <cellStyle name="RowTitles1-Detail 4 3 5 3 2_Tertiary Salaries Survey" xfId="12762"/>
    <cellStyle name="RowTitles1-Detail 4 3 5 3 3" xfId="12763"/>
    <cellStyle name="RowTitles1-Detail 4 3 5 3_Tertiary Salaries Survey" xfId="12764"/>
    <cellStyle name="RowTitles1-Detail 4 3 5 4" xfId="12765"/>
    <cellStyle name="RowTitles1-Detail 4 3 5 5" xfId="12766"/>
    <cellStyle name="RowTitles1-Detail 4 3 5 5 2" xfId="12767"/>
    <cellStyle name="RowTitles1-Detail 4 3 5 5_Tertiary Salaries Survey" xfId="12768"/>
    <cellStyle name="RowTitles1-Detail 4 3 5 6" xfId="12769"/>
    <cellStyle name="RowTitles1-Detail 4 3 5_Tertiary Salaries Survey" xfId="12770"/>
    <cellStyle name="RowTitles1-Detail 4 3 6" xfId="12771"/>
    <cellStyle name="RowTitles1-Detail 4 3 6 2" xfId="12772"/>
    <cellStyle name="RowTitles1-Detail 4 3 6 2 2" xfId="12773"/>
    <cellStyle name="RowTitles1-Detail 4 3 6 2 2 2" xfId="12774"/>
    <cellStyle name="RowTitles1-Detail 4 3 6 2 2_Tertiary Salaries Survey" xfId="12775"/>
    <cellStyle name="RowTitles1-Detail 4 3 6 2 3" xfId="12776"/>
    <cellStyle name="RowTitles1-Detail 4 3 6 2_Tertiary Salaries Survey" xfId="12777"/>
    <cellStyle name="RowTitles1-Detail 4 3 6 3" xfId="12778"/>
    <cellStyle name="RowTitles1-Detail 4 3 6 3 2" xfId="12779"/>
    <cellStyle name="RowTitles1-Detail 4 3 6 3 2 2" xfId="12780"/>
    <cellStyle name="RowTitles1-Detail 4 3 6 3 2_Tertiary Salaries Survey" xfId="12781"/>
    <cellStyle name="RowTitles1-Detail 4 3 6 3 3" xfId="12782"/>
    <cellStyle name="RowTitles1-Detail 4 3 6 3_Tertiary Salaries Survey" xfId="12783"/>
    <cellStyle name="RowTitles1-Detail 4 3 6 4" xfId="12784"/>
    <cellStyle name="RowTitles1-Detail 4 3 6 5" xfId="12785"/>
    <cellStyle name="RowTitles1-Detail 4 3 6_Tertiary Salaries Survey" xfId="12786"/>
    <cellStyle name="RowTitles1-Detail 4 3 7" xfId="12787"/>
    <cellStyle name="RowTitles1-Detail 4 3 7 2" xfId="12788"/>
    <cellStyle name="RowTitles1-Detail 4 3 7 2 2" xfId="12789"/>
    <cellStyle name="RowTitles1-Detail 4 3 7 2 2 2" xfId="12790"/>
    <cellStyle name="RowTitles1-Detail 4 3 7 2 2_Tertiary Salaries Survey" xfId="12791"/>
    <cellStyle name="RowTitles1-Detail 4 3 7 2 3" xfId="12792"/>
    <cellStyle name="RowTitles1-Detail 4 3 7 2_Tertiary Salaries Survey" xfId="12793"/>
    <cellStyle name="RowTitles1-Detail 4 3 7 3" xfId="12794"/>
    <cellStyle name="RowTitles1-Detail 4 3 7 3 2" xfId="12795"/>
    <cellStyle name="RowTitles1-Detail 4 3 7 3 2 2" xfId="12796"/>
    <cellStyle name="RowTitles1-Detail 4 3 7 3 2_Tertiary Salaries Survey" xfId="12797"/>
    <cellStyle name="RowTitles1-Detail 4 3 7 3 3" xfId="12798"/>
    <cellStyle name="RowTitles1-Detail 4 3 7 3_Tertiary Salaries Survey" xfId="12799"/>
    <cellStyle name="RowTitles1-Detail 4 3 7 4" xfId="12800"/>
    <cellStyle name="RowTitles1-Detail 4 3 7 5" xfId="12801"/>
    <cellStyle name="RowTitles1-Detail 4 3 7 5 2" xfId="12802"/>
    <cellStyle name="RowTitles1-Detail 4 3 7 5_Tertiary Salaries Survey" xfId="12803"/>
    <cellStyle name="RowTitles1-Detail 4 3 7 6" xfId="12804"/>
    <cellStyle name="RowTitles1-Detail 4 3 7_Tertiary Salaries Survey" xfId="12805"/>
    <cellStyle name="RowTitles1-Detail 4 3 8" xfId="12806"/>
    <cellStyle name="RowTitles1-Detail 4 3 8 2" xfId="12807"/>
    <cellStyle name="RowTitles1-Detail 4 3 8 2 2" xfId="12808"/>
    <cellStyle name="RowTitles1-Detail 4 3 8 2 2 2" xfId="12809"/>
    <cellStyle name="RowTitles1-Detail 4 3 8 2 2_Tertiary Salaries Survey" xfId="12810"/>
    <cellStyle name="RowTitles1-Detail 4 3 8 2 3" xfId="12811"/>
    <cellStyle name="RowTitles1-Detail 4 3 8 2_Tertiary Salaries Survey" xfId="12812"/>
    <cellStyle name="RowTitles1-Detail 4 3 8 3" xfId="12813"/>
    <cellStyle name="RowTitles1-Detail 4 3 8 3 2" xfId="12814"/>
    <cellStyle name="RowTitles1-Detail 4 3 8 3 2 2" xfId="12815"/>
    <cellStyle name="RowTitles1-Detail 4 3 8 3 2_Tertiary Salaries Survey" xfId="12816"/>
    <cellStyle name="RowTitles1-Detail 4 3 8 3 3" xfId="12817"/>
    <cellStyle name="RowTitles1-Detail 4 3 8 3_Tertiary Salaries Survey" xfId="12818"/>
    <cellStyle name="RowTitles1-Detail 4 3 8 4" xfId="12819"/>
    <cellStyle name="RowTitles1-Detail 4 3 8 4 2" xfId="12820"/>
    <cellStyle name="RowTitles1-Detail 4 3 8 4_Tertiary Salaries Survey" xfId="12821"/>
    <cellStyle name="RowTitles1-Detail 4 3 8 5" xfId="12822"/>
    <cellStyle name="RowTitles1-Detail 4 3 8_Tertiary Salaries Survey" xfId="12823"/>
    <cellStyle name="RowTitles1-Detail 4 3 9" xfId="12824"/>
    <cellStyle name="RowTitles1-Detail 4 3 9 2" xfId="12825"/>
    <cellStyle name="RowTitles1-Detail 4 3 9 2 2" xfId="12826"/>
    <cellStyle name="RowTitles1-Detail 4 3 9 2 2 2" xfId="12827"/>
    <cellStyle name="RowTitles1-Detail 4 3 9 2 2_Tertiary Salaries Survey" xfId="12828"/>
    <cellStyle name="RowTitles1-Detail 4 3 9 2 3" xfId="12829"/>
    <cellStyle name="RowTitles1-Detail 4 3 9 2_Tertiary Salaries Survey" xfId="12830"/>
    <cellStyle name="RowTitles1-Detail 4 3 9 3" xfId="12831"/>
    <cellStyle name="RowTitles1-Detail 4 3 9 3 2" xfId="12832"/>
    <cellStyle name="RowTitles1-Detail 4 3 9 3 2 2" xfId="12833"/>
    <cellStyle name="RowTitles1-Detail 4 3 9 3 2_Tertiary Salaries Survey" xfId="12834"/>
    <cellStyle name="RowTitles1-Detail 4 3 9 3 3" xfId="12835"/>
    <cellStyle name="RowTitles1-Detail 4 3 9 3_Tertiary Salaries Survey" xfId="12836"/>
    <cellStyle name="RowTitles1-Detail 4 3 9 4" xfId="12837"/>
    <cellStyle name="RowTitles1-Detail 4 3 9 4 2" xfId="12838"/>
    <cellStyle name="RowTitles1-Detail 4 3 9 4_Tertiary Salaries Survey" xfId="12839"/>
    <cellStyle name="RowTitles1-Detail 4 3 9 5" xfId="12840"/>
    <cellStyle name="RowTitles1-Detail 4 3 9_Tertiary Salaries Survey" xfId="12841"/>
    <cellStyle name="RowTitles1-Detail 4 3_STUD aligned by INSTIT" xfId="12842"/>
    <cellStyle name="RowTitles1-Detail 4 4" xfId="12843"/>
    <cellStyle name="RowTitles1-Detail 4 4 2" xfId="12844"/>
    <cellStyle name="RowTitles1-Detail 4 4 2 2" xfId="12845"/>
    <cellStyle name="RowTitles1-Detail 4 4 2 2 2" xfId="12846"/>
    <cellStyle name="RowTitles1-Detail 4 4 2 2 2 2" xfId="12847"/>
    <cellStyle name="RowTitles1-Detail 4 4 2 2 2_Tertiary Salaries Survey" xfId="12848"/>
    <cellStyle name="RowTitles1-Detail 4 4 2 2 3" xfId="12849"/>
    <cellStyle name="RowTitles1-Detail 4 4 2 2_Tertiary Salaries Survey" xfId="12850"/>
    <cellStyle name="RowTitles1-Detail 4 4 2 3" xfId="12851"/>
    <cellStyle name="RowTitles1-Detail 4 4 2 3 2" xfId="12852"/>
    <cellStyle name="RowTitles1-Detail 4 4 2 3 2 2" xfId="12853"/>
    <cellStyle name="RowTitles1-Detail 4 4 2 3 2_Tertiary Salaries Survey" xfId="12854"/>
    <cellStyle name="RowTitles1-Detail 4 4 2 3 3" xfId="12855"/>
    <cellStyle name="RowTitles1-Detail 4 4 2 3_Tertiary Salaries Survey" xfId="12856"/>
    <cellStyle name="RowTitles1-Detail 4 4 2 4" xfId="12857"/>
    <cellStyle name="RowTitles1-Detail 4 4 2 5" xfId="12858"/>
    <cellStyle name="RowTitles1-Detail 4 4 2_Tertiary Salaries Survey" xfId="12859"/>
    <cellStyle name="RowTitles1-Detail 4 4 3" xfId="12860"/>
    <cellStyle name="RowTitles1-Detail 4 4 3 2" xfId="12861"/>
    <cellStyle name="RowTitles1-Detail 4 4 3 2 2" xfId="12862"/>
    <cellStyle name="RowTitles1-Detail 4 4 3 2 2 2" xfId="12863"/>
    <cellStyle name="RowTitles1-Detail 4 4 3 2 2_Tertiary Salaries Survey" xfId="12864"/>
    <cellStyle name="RowTitles1-Detail 4 4 3 2 3" xfId="12865"/>
    <cellStyle name="RowTitles1-Detail 4 4 3 2_Tertiary Salaries Survey" xfId="12866"/>
    <cellStyle name="RowTitles1-Detail 4 4 3 3" xfId="12867"/>
    <cellStyle name="RowTitles1-Detail 4 4 3 3 2" xfId="12868"/>
    <cellStyle name="RowTitles1-Detail 4 4 3 3 2 2" xfId="12869"/>
    <cellStyle name="RowTitles1-Detail 4 4 3 3 2_Tertiary Salaries Survey" xfId="12870"/>
    <cellStyle name="RowTitles1-Detail 4 4 3 3 3" xfId="12871"/>
    <cellStyle name="RowTitles1-Detail 4 4 3 3_Tertiary Salaries Survey" xfId="12872"/>
    <cellStyle name="RowTitles1-Detail 4 4 3 4" xfId="12873"/>
    <cellStyle name="RowTitles1-Detail 4 4 3 5" xfId="12874"/>
    <cellStyle name="RowTitles1-Detail 4 4 3 5 2" xfId="12875"/>
    <cellStyle name="RowTitles1-Detail 4 4 3 5_Tertiary Salaries Survey" xfId="12876"/>
    <cellStyle name="RowTitles1-Detail 4 4 3 6" xfId="12877"/>
    <cellStyle name="RowTitles1-Detail 4 4 3_Tertiary Salaries Survey" xfId="12878"/>
    <cellStyle name="RowTitles1-Detail 4 4 4" xfId="12879"/>
    <cellStyle name="RowTitles1-Detail 4 4 4 2" xfId="12880"/>
    <cellStyle name="RowTitles1-Detail 4 4 4 2 2" xfId="12881"/>
    <cellStyle name="RowTitles1-Detail 4 4 4 2 2 2" xfId="12882"/>
    <cellStyle name="RowTitles1-Detail 4 4 4 2 2_Tertiary Salaries Survey" xfId="12883"/>
    <cellStyle name="RowTitles1-Detail 4 4 4 2 3" xfId="12884"/>
    <cellStyle name="RowTitles1-Detail 4 4 4 2_Tertiary Salaries Survey" xfId="12885"/>
    <cellStyle name="RowTitles1-Detail 4 4 4 3" xfId="12886"/>
    <cellStyle name="RowTitles1-Detail 4 4 4 3 2" xfId="12887"/>
    <cellStyle name="RowTitles1-Detail 4 4 4 3 2 2" xfId="12888"/>
    <cellStyle name="RowTitles1-Detail 4 4 4 3 2_Tertiary Salaries Survey" xfId="12889"/>
    <cellStyle name="RowTitles1-Detail 4 4 4 3 3" xfId="12890"/>
    <cellStyle name="RowTitles1-Detail 4 4 4 3_Tertiary Salaries Survey" xfId="12891"/>
    <cellStyle name="RowTitles1-Detail 4 4 4 4" xfId="12892"/>
    <cellStyle name="RowTitles1-Detail 4 4 4 4 2" xfId="12893"/>
    <cellStyle name="RowTitles1-Detail 4 4 4 4_Tertiary Salaries Survey" xfId="12894"/>
    <cellStyle name="RowTitles1-Detail 4 4 4 5" xfId="12895"/>
    <cellStyle name="RowTitles1-Detail 4 4 4_Tertiary Salaries Survey" xfId="12896"/>
    <cellStyle name="RowTitles1-Detail 4 4 5" xfId="12897"/>
    <cellStyle name="RowTitles1-Detail 4 4 5 2" xfId="12898"/>
    <cellStyle name="RowTitles1-Detail 4 4 5 2 2" xfId="12899"/>
    <cellStyle name="RowTitles1-Detail 4 4 5 2 2 2" xfId="12900"/>
    <cellStyle name="RowTitles1-Detail 4 4 5 2 2_Tertiary Salaries Survey" xfId="12901"/>
    <cellStyle name="RowTitles1-Detail 4 4 5 2 3" xfId="12902"/>
    <cellStyle name="RowTitles1-Detail 4 4 5 2_Tertiary Salaries Survey" xfId="12903"/>
    <cellStyle name="RowTitles1-Detail 4 4 5 3" xfId="12904"/>
    <cellStyle name="RowTitles1-Detail 4 4 5 3 2" xfId="12905"/>
    <cellStyle name="RowTitles1-Detail 4 4 5 3 2 2" xfId="12906"/>
    <cellStyle name="RowTitles1-Detail 4 4 5 3 2_Tertiary Salaries Survey" xfId="12907"/>
    <cellStyle name="RowTitles1-Detail 4 4 5 3 3" xfId="12908"/>
    <cellStyle name="RowTitles1-Detail 4 4 5 3_Tertiary Salaries Survey" xfId="12909"/>
    <cellStyle name="RowTitles1-Detail 4 4 5 4" xfId="12910"/>
    <cellStyle name="RowTitles1-Detail 4 4 5 4 2" xfId="12911"/>
    <cellStyle name="RowTitles1-Detail 4 4 5 4_Tertiary Salaries Survey" xfId="12912"/>
    <cellStyle name="RowTitles1-Detail 4 4 5 5" xfId="12913"/>
    <cellStyle name="RowTitles1-Detail 4 4 5_Tertiary Salaries Survey" xfId="12914"/>
    <cellStyle name="RowTitles1-Detail 4 4 6" xfId="12915"/>
    <cellStyle name="RowTitles1-Detail 4 4 6 2" xfId="12916"/>
    <cellStyle name="RowTitles1-Detail 4 4 6 2 2" xfId="12917"/>
    <cellStyle name="RowTitles1-Detail 4 4 6 2 2 2" xfId="12918"/>
    <cellStyle name="RowTitles1-Detail 4 4 6 2 2_Tertiary Salaries Survey" xfId="12919"/>
    <cellStyle name="RowTitles1-Detail 4 4 6 2 3" xfId="12920"/>
    <cellStyle name="RowTitles1-Detail 4 4 6 2_Tertiary Salaries Survey" xfId="12921"/>
    <cellStyle name="RowTitles1-Detail 4 4 6 3" xfId="12922"/>
    <cellStyle name="RowTitles1-Detail 4 4 6 3 2" xfId="12923"/>
    <cellStyle name="RowTitles1-Detail 4 4 6 3 2 2" xfId="12924"/>
    <cellStyle name="RowTitles1-Detail 4 4 6 3 2_Tertiary Salaries Survey" xfId="12925"/>
    <cellStyle name="RowTitles1-Detail 4 4 6 3 3" xfId="12926"/>
    <cellStyle name="RowTitles1-Detail 4 4 6 3_Tertiary Salaries Survey" xfId="12927"/>
    <cellStyle name="RowTitles1-Detail 4 4 6 4" xfId="12928"/>
    <cellStyle name="RowTitles1-Detail 4 4 6 4 2" xfId="12929"/>
    <cellStyle name="RowTitles1-Detail 4 4 6 4_Tertiary Salaries Survey" xfId="12930"/>
    <cellStyle name="RowTitles1-Detail 4 4 6 5" xfId="12931"/>
    <cellStyle name="RowTitles1-Detail 4 4 6_Tertiary Salaries Survey" xfId="12932"/>
    <cellStyle name="RowTitles1-Detail 4 4 7" xfId="12933"/>
    <cellStyle name="RowTitles1-Detail 4 4 7 2" xfId="12934"/>
    <cellStyle name="RowTitles1-Detail 4 4 7 2 2" xfId="12935"/>
    <cellStyle name="RowTitles1-Detail 4 4 7 2_Tertiary Salaries Survey" xfId="12936"/>
    <cellStyle name="RowTitles1-Detail 4 4 7 3" xfId="12937"/>
    <cellStyle name="RowTitles1-Detail 4 4 7_Tertiary Salaries Survey" xfId="12938"/>
    <cellStyle name="RowTitles1-Detail 4 4 8" xfId="12939"/>
    <cellStyle name="RowTitles1-Detail 4 4 9" xfId="12940"/>
    <cellStyle name="RowTitles1-Detail 4 4_STUD aligned by INSTIT" xfId="12941"/>
    <cellStyle name="RowTitles1-Detail 4 5" xfId="12942"/>
    <cellStyle name="RowTitles1-Detail 4 5 2" xfId="12943"/>
    <cellStyle name="RowTitles1-Detail 4 5 2 2" xfId="12944"/>
    <cellStyle name="RowTitles1-Detail 4 5 2 2 2" xfId="12945"/>
    <cellStyle name="RowTitles1-Detail 4 5 2 2 2 2" xfId="12946"/>
    <cellStyle name="RowTitles1-Detail 4 5 2 2 2_Tertiary Salaries Survey" xfId="12947"/>
    <cellStyle name="RowTitles1-Detail 4 5 2 2 3" xfId="12948"/>
    <cellStyle name="RowTitles1-Detail 4 5 2 2_Tertiary Salaries Survey" xfId="12949"/>
    <cellStyle name="RowTitles1-Detail 4 5 2 3" xfId="12950"/>
    <cellStyle name="RowTitles1-Detail 4 5 2 3 2" xfId="12951"/>
    <cellStyle name="RowTitles1-Detail 4 5 2 3 2 2" xfId="12952"/>
    <cellStyle name="RowTitles1-Detail 4 5 2 3 2_Tertiary Salaries Survey" xfId="12953"/>
    <cellStyle name="RowTitles1-Detail 4 5 2 3 3" xfId="12954"/>
    <cellStyle name="RowTitles1-Detail 4 5 2 3_Tertiary Salaries Survey" xfId="12955"/>
    <cellStyle name="RowTitles1-Detail 4 5 2 4" xfId="12956"/>
    <cellStyle name="RowTitles1-Detail 4 5 2 5" xfId="12957"/>
    <cellStyle name="RowTitles1-Detail 4 5 2 5 2" xfId="12958"/>
    <cellStyle name="RowTitles1-Detail 4 5 2 5_Tertiary Salaries Survey" xfId="12959"/>
    <cellStyle name="RowTitles1-Detail 4 5 2 6" xfId="12960"/>
    <cellStyle name="RowTitles1-Detail 4 5 2_Tertiary Salaries Survey" xfId="12961"/>
    <cellStyle name="RowTitles1-Detail 4 5 3" xfId="12962"/>
    <cellStyle name="RowTitles1-Detail 4 5 3 2" xfId="12963"/>
    <cellStyle name="RowTitles1-Detail 4 5 3 2 2" xfId="12964"/>
    <cellStyle name="RowTitles1-Detail 4 5 3 2 2 2" xfId="12965"/>
    <cellStyle name="RowTitles1-Detail 4 5 3 2 2_Tertiary Salaries Survey" xfId="12966"/>
    <cellStyle name="RowTitles1-Detail 4 5 3 2 3" xfId="12967"/>
    <cellStyle name="RowTitles1-Detail 4 5 3 2_Tertiary Salaries Survey" xfId="12968"/>
    <cellStyle name="RowTitles1-Detail 4 5 3 3" xfId="12969"/>
    <cellStyle name="RowTitles1-Detail 4 5 3 3 2" xfId="12970"/>
    <cellStyle name="RowTitles1-Detail 4 5 3 3 2 2" xfId="12971"/>
    <cellStyle name="RowTitles1-Detail 4 5 3 3 2_Tertiary Salaries Survey" xfId="12972"/>
    <cellStyle name="RowTitles1-Detail 4 5 3 3 3" xfId="12973"/>
    <cellStyle name="RowTitles1-Detail 4 5 3 3_Tertiary Salaries Survey" xfId="12974"/>
    <cellStyle name="RowTitles1-Detail 4 5 3 4" xfId="12975"/>
    <cellStyle name="RowTitles1-Detail 4 5 3 5" xfId="12976"/>
    <cellStyle name="RowTitles1-Detail 4 5 3_Tertiary Salaries Survey" xfId="12977"/>
    <cellStyle name="RowTitles1-Detail 4 5 4" xfId="12978"/>
    <cellStyle name="RowTitles1-Detail 4 5 4 2" xfId="12979"/>
    <cellStyle name="RowTitles1-Detail 4 5 4 2 2" xfId="12980"/>
    <cellStyle name="RowTitles1-Detail 4 5 4 2 2 2" xfId="12981"/>
    <cellStyle name="RowTitles1-Detail 4 5 4 2 2_Tertiary Salaries Survey" xfId="12982"/>
    <cellStyle name="RowTitles1-Detail 4 5 4 2 3" xfId="12983"/>
    <cellStyle name="RowTitles1-Detail 4 5 4 2_Tertiary Salaries Survey" xfId="12984"/>
    <cellStyle name="RowTitles1-Detail 4 5 4 3" xfId="12985"/>
    <cellStyle name="RowTitles1-Detail 4 5 4 3 2" xfId="12986"/>
    <cellStyle name="RowTitles1-Detail 4 5 4 3 2 2" xfId="12987"/>
    <cellStyle name="RowTitles1-Detail 4 5 4 3 2_Tertiary Salaries Survey" xfId="12988"/>
    <cellStyle name="RowTitles1-Detail 4 5 4 3 3" xfId="12989"/>
    <cellStyle name="RowTitles1-Detail 4 5 4 3_Tertiary Salaries Survey" xfId="12990"/>
    <cellStyle name="RowTitles1-Detail 4 5 4 4" xfId="12991"/>
    <cellStyle name="RowTitles1-Detail 4 5 4 4 2" xfId="12992"/>
    <cellStyle name="RowTitles1-Detail 4 5 4 4_Tertiary Salaries Survey" xfId="12993"/>
    <cellStyle name="RowTitles1-Detail 4 5 4 5" xfId="12994"/>
    <cellStyle name="RowTitles1-Detail 4 5 4_Tertiary Salaries Survey" xfId="12995"/>
    <cellStyle name="RowTitles1-Detail 4 5 5" xfId="12996"/>
    <cellStyle name="RowTitles1-Detail 4 5 5 2" xfId="12997"/>
    <cellStyle name="RowTitles1-Detail 4 5 5 2 2" xfId="12998"/>
    <cellStyle name="RowTitles1-Detail 4 5 5 2 2 2" xfId="12999"/>
    <cellStyle name="RowTitles1-Detail 4 5 5 2 2_Tertiary Salaries Survey" xfId="13000"/>
    <cellStyle name="RowTitles1-Detail 4 5 5 2 3" xfId="13001"/>
    <cellStyle name="RowTitles1-Detail 4 5 5 2_Tertiary Salaries Survey" xfId="13002"/>
    <cellStyle name="RowTitles1-Detail 4 5 5 3" xfId="13003"/>
    <cellStyle name="RowTitles1-Detail 4 5 5 3 2" xfId="13004"/>
    <cellStyle name="RowTitles1-Detail 4 5 5 3 2 2" xfId="13005"/>
    <cellStyle name="RowTitles1-Detail 4 5 5 3 2_Tertiary Salaries Survey" xfId="13006"/>
    <cellStyle name="RowTitles1-Detail 4 5 5 3 3" xfId="13007"/>
    <cellStyle name="RowTitles1-Detail 4 5 5 3_Tertiary Salaries Survey" xfId="13008"/>
    <cellStyle name="RowTitles1-Detail 4 5 5 4" xfId="13009"/>
    <cellStyle name="RowTitles1-Detail 4 5 5 4 2" xfId="13010"/>
    <cellStyle name="RowTitles1-Detail 4 5 5 4_Tertiary Salaries Survey" xfId="13011"/>
    <cellStyle name="RowTitles1-Detail 4 5 5 5" xfId="13012"/>
    <cellStyle name="RowTitles1-Detail 4 5 5_Tertiary Salaries Survey" xfId="13013"/>
    <cellStyle name="RowTitles1-Detail 4 5 6" xfId="13014"/>
    <cellStyle name="RowTitles1-Detail 4 5 6 2" xfId="13015"/>
    <cellStyle name="RowTitles1-Detail 4 5 6 2 2" xfId="13016"/>
    <cellStyle name="RowTitles1-Detail 4 5 6 2 2 2" xfId="13017"/>
    <cellStyle name="RowTitles1-Detail 4 5 6 2 2_Tertiary Salaries Survey" xfId="13018"/>
    <cellStyle name="RowTitles1-Detail 4 5 6 2 3" xfId="13019"/>
    <cellStyle name="RowTitles1-Detail 4 5 6 2_Tertiary Salaries Survey" xfId="13020"/>
    <cellStyle name="RowTitles1-Detail 4 5 6 3" xfId="13021"/>
    <cellStyle name="RowTitles1-Detail 4 5 6 3 2" xfId="13022"/>
    <cellStyle name="RowTitles1-Detail 4 5 6 3 2 2" xfId="13023"/>
    <cellStyle name="RowTitles1-Detail 4 5 6 3 2_Tertiary Salaries Survey" xfId="13024"/>
    <cellStyle name="RowTitles1-Detail 4 5 6 3 3" xfId="13025"/>
    <cellStyle name="RowTitles1-Detail 4 5 6 3_Tertiary Salaries Survey" xfId="13026"/>
    <cellStyle name="RowTitles1-Detail 4 5 6 4" xfId="13027"/>
    <cellStyle name="RowTitles1-Detail 4 5 6 4 2" xfId="13028"/>
    <cellStyle name="RowTitles1-Detail 4 5 6 4_Tertiary Salaries Survey" xfId="13029"/>
    <cellStyle name="RowTitles1-Detail 4 5 6 5" xfId="13030"/>
    <cellStyle name="RowTitles1-Detail 4 5 6_Tertiary Salaries Survey" xfId="13031"/>
    <cellStyle name="RowTitles1-Detail 4 5 7" xfId="13032"/>
    <cellStyle name="RowTitles1-Detail 4 5 7 2" xfId="13033"/>
    <cellStyle name="RowTitles1-Detail 4 5 7 2 2" xfId="13034"/>
    <cellStyle name="RowTitles1-Detail 4 5 7 2_Tertiary Salaries Survey" xfId="13035"/>
    <cellStyle name="RowTitles1-Detail 4 5 7 3" xfId="13036"/>
    <cellStyle name="RowTitles1-Detail 4 5 7_Tertiary Salaries Survey" xfId="13037"/>
    <cellStyle name="RowTitles1-Detail 4 5 8" xfId="13038"/>
    <cellStyle name="RowTitles1-Detail 4 5 8 2" xfId="13039"/>
    <cellStyle name="RowTitles1-Detail 4 5 8 2 2" xfId="13040"/>
    <cellStyle name="RowTitles1-Detail 4 5 8 2_Tertiary Salaries Survey" xfId="13041"/>
    <cellStyle name="RowTitles1-Detail 4 5 8 3" xfId="13042"/>
    <cellStyle name="RowTitles1-Detail 4 5 8_Tertiary Salaries Survey" xfId="13043"/>
    <cellStyle name="RowTitles1-Detail 4 5 9" xfId="13044"/>
    <cellStyle name="RowTitles1-Detail 4 5_STUD aligned by INSTIT" xfId="13045"/>
    <cellStyle name="RowTitles1-Detail 4 6" xfId="13046"/>
    <cellStyle name="RowTitles1-Detail 4 6 2" xfId="13047"/>
    <cellStyle name="RowTitles1-Detail 4 6 2 2" xfId="13048"/>
    <cellStyle name="RowTitles1-Detail 4 6 2 2 2" xfId="13049"/>
    <cellStyle name="RowTitles1-Detail 4 6 2 2 2 2" xfId="13050"/>
    <cellStyle name="RowTitles1-Detail 4 6 2 2 2_Tertiary Salaries Survey" xfId="13051"/>
    <cellStyle name="RowTitles1-Detail 4 6 2 2 3" xfId="13052"/>
    <cellStyle name="RowTitles1-Detail 4 6 2 2_Tertiary Salaries Survey" xfId="13053"/>
    <cellStyle name="RowTitles1-Detail 4 6 2 3" xfId="13054"/>
    <cellStyle name="RowTitles1-Detail 4 6 2 3 2" xfId="13055"/>
    <cellStyle name="RowTitles1-Detail 4 6 2 3 2 2" xfId="13056"/>
    <cellStyle name="RowTitles1-Detail 4 6 2 3 2_Tertiary Salaries Survey" xfId="13057"/>
    <cellStyle name="RowTitles1-Detail 4 6 2 3 3" xfId="13058"/>
    <cellStyle name="RowTitles1-Detail 4 6 2 3_Tertiary Salaries Survey" xfId="13059"/>
    <cellStyle name="RowTitles1-Detail 4 6 2 4" xfId="13060"/>
    <cellStyle name="RowTitles1-Detail 4 6 2 5" xfId="13061"/>
    <cellStyle name="RowTitles1-Detail 4 6 2 5 2" xfId="13062"/>
    <cellStyle name="RowTitles1-Detail 4 6 2 5_Tertiary Salaries Survey" xfId="13063"/>
    <cellStyle name="RowTitles1-Detail 4 6 2 6" xfId="13064"/>
    <cellStyle name="RowTitles1-Detail 4 6 2_Tertiary Salaries Survey" xfId="13065"/>
    <cellStyle name="RowTitles1-Detail 4 6 3" xfId="13066"/>
    <cellStyle name="RowTitles1-Detail 4 6 3 2" xfId="13067"/>
    <cellStyle name="RowTitles1-Detail 4 6 3 2 2" xfId="13068"/>
    <cellStyle name="RowTitles1-Detail 4 6 3 2 2 2" xfId="13069"/>
    <cellStyle name="RowTitles1-Detail 4 6 3 2 2_Tertiary Salaries Survey" xfId="13070"/>
    <cellStyle name="RowTitles1-Detail 4 6 3 2 3" xfId="13071"/>
    <cellStyle name="RowTitles1-Detail 4 6 3 2_Tertiary Salaries Survey" xfId="13072"/>
    <cellStyle name="RowTitles1-Detail 4 6 3 3" xfId="13073"/>
    <cellStyle name="RowTitles1-Detail 4 6 3 3 2" xfId="13074"/>
    <cellStyle name="RowTitles1-Detail 4 6 3 3 2 2" xfId="13075"/>
    <cellStyle name="RowTitles1-Detail 4 6 3 3 2_Tertiary Salaries Survey" xfId="13076"/>
    <cellStyle name="RowTitles1-Detail 4 6 3 3 3" xfId="13077"/>
    <cellStyle name="RowTitles1-Detail 4 6 3 3_Tertiary Salaries Survey" xfId="13078"/>
    <cellStyle name="RowTitles1-Detail 4 6 3 4" xfId="13079"/>
    <cellStyle name="RowTitles1-Detail 4 6 3 5" xfId="13080"/>
    <cellStyle name="RowTitles1-Detail 4 6 3_Tertiary Salaries Survey" xfId="13081"/>
    <cellStyle name="RowTitles1-Detail 4 6 4" xfId="13082"/>
    <cellStyle name="RowTitles1-Detail 4 6 4 2" xfId="13083"/>
    <cellStyle name="RowTitles1-Detail 4 6 4 2 2" xfId="13084"/>
    <cellStyle name="RowTitles1-Detail 4 6 4 2 2 2" xfId="13085"/>
    <cellStyle name="RowTitles1-Detail 4 6 4 2 2_Tertiary Salaries Survey" xfId="13086"/>
    <cellStyle name="RowTitles1-Detail 4 6 4 2 3" xfId="13087"/>
    <cellStyle name="RowTitles1-Detail 4 6 4 2_Tertiary Salaries Survey" xfId="13088"/>
    <cellStyle name="RowTitles1-Detail 4 6 4 3" xfId="13089"/>
    <cellStyle name="RowTitles1-Detail 4 6 4 3 2" xfId="13090"/>
    <cellStyle name="RowTitles1-Detail 4 6 4 3 2 2" xfId="13091"/>
    <cellStyle name="RowTitles1-Detail 4 6 4 3 2_Tertiary Salaries Survey" xfId="13092"/>
    <cellStyle name="RowTitles1-Detail 4 6 4 3 3" xfId="13093"/>
    <cellStyle name="RowTitles1-Detail 4 6 4 3_Tertiary Salaries Survey" xfId="13094"/>
    <cellStyle name="RowTitles1-Detail 4 6 4 4" xfId="13095"/>
    <cellStyle name="RowTitles1-Detail 4 6 4 5" xfId="13096"/>
    <cellStyle name="RowTitles1-Detail 4 6 4 5 2" xfId="13097"/>
    <cellStyle name="RowTitles1-Detail 4 6 4 5_Tertiary Salaries Survey" xfId="13098"/>
    <cellStyle name="RowTitles1-Detail 4 6 4 6" xfId="13099"/>
    <cellStyle name="RowTitles1-Detail 4 6 4_Tertiary Salaries Survey" xfId="13100"/>
    <cellStyle name="RowTitles1-Detail 4 6 5" xfId="13101"/>
    <cellStyle name="RowTitles1-Detail 4 6 5 2" xfId="13102"/>
    <cellStyle name="RowTitles1-Detail 4 6 5 2 2" xfId="13103"/>
    <cellStyle name="RowTitles1-Detail 4 6 5 2 2 2" xfId="13104"/>
    <cellStyle name="RowTitles1-Detail 4 6 5 2 2_Tertiary Salaries Survey" xfId="13105"/>
    <cellStyle name="RowTitles1-Detail 4 6 5 2 3" xfId="13106"/>
    <cellStyle name="RowTitles1-Detail 4 6 5 2_Tertiary Salaries Survey" xfId="13107"/>
    <cellStyle name="RowTitles1-Detail 4 6 5 3" xfId="13108"/>
    <cellStyle name="RowTitles1-Detail 4 6 5 3 2" xfId="13109"/>
    <cellStyle name="RowTitles1-Detail 4 6 5 3 2 2" xfId="13110"/>
    <cellStyle name="RowTitles1-Detail 4 6 5 3 2_Tertiary Salaries Survey" xfId="13111"/>
    <cellStyle name="RowTitles1-Detail 4 6 5 3 3" xfId="13112"/>
    <cellStyle name="RowTitles1-Detail 4 6 5 3_Tertiary Salaries Survey" xfId="13113"/>
    <cellStyle name="RowTitles1-Detail 4 6 5 4" xfId="13114"/>
    <cellStyle name="RowTitles1-Detail 4 6 5 4 2" xfId="13115"/>
    <cellStyle name="RowTitles1-Detail 4 6 5 4_Tertiary Salaries Survey" xfId="13116"/>
    <cellStyle name="RowTitles1-Detail 4 6 5 5" xfId="13117"/>
    <cellStyle name="RowTitles1-Detail 4 6 5_Tertiary Salaries Survey" xfId="13118"/>
    <cellStyle name="RowTitles1-Detail 4 6 6" xfId="13119"/>
    <cellStyle name="RowTitles1-Detail 4 6 6 2" xfId="13120"/>
    <cellStyle name="RowTitles1-Detail 4 6 6 2 2" xfId="13121"/>
    <cellStyle name="RowTitles1-Detail 4 6 6 2 2 2" xfId="13122"/>
    <cellStyle name="RowTitles1-Detail 4 6 6 2 2_Tertiary Salaries Survey" xfId="13123"/>
    <cellStyle name="RowTitles1-Detail 4 6 6 2 3" xfId="13124"/>
    <cellStyle name="RowTitles1-Detail 4 6 6 2_Tertiary Salaries Survey" xfId="13125"/>
    <cellStyle name="RowTitles1-Detail 4 6 6 3" xfId="13126"/>
    <cellStyle name="RowTitles1-Detail 4 6 6 3 2" xfId="13127"/>
    <cellStyle name="RowTitles1-Detail 4 6 6 3 2 2" xfId="13128"/>
    <cellStyle name="RowTitles1-Detail 4 6 6 3 2_Tertiary Salaries Survey" xfId="13129"/>
    <cellStyle name="RowTitles1-Detail 4 6 6 3 3" xfId="13130"/>
    <cellStyle name="RowTitles1-Detail 4 6 6 3_Tertiary Salaries Survey" xfId="13131"/>
    <cellStyle name="RowTitles1-Detail 4 6 6 4" xfId="13132"/>
    <cellStyle name="RowTitles1-Detail 4 6 6 4 2" xfId="13133"/>
    <cellStyle name="RowTitles1-Detail 4 6 6 4_Tertiary Salaries Survey" xfId="13134"/>
    <cellStyle name="RowTitles1-Detail 4 6 6 5" xfId="13135"/>
    <cellStyle name="RowTitles1-Detail 4 6 6_Tertiary Salaries Survey" xfId="13136"/>
    <cellStyle name="RowTitles1-Detail 4 6 7" xfId="13137"/>
    <cellStyle name="RowTitles1-Detail 4 6 7 2" xfId="13138"/>
    <cellStyle name="RowTitles1-Detail 4 6 7 2 2" xfId="13139"/>
    <cellStyle name="RowTitles1-Detail 4 6 7 2_Tertiary Salaries Survey" xfId="13140"/>
    <cellStyle name="RowTitles1-Detail 4 6 7 3" xfId="13141"/>
    <cellStyle name="RowTitles1-Detail 4 6 7_Tertiary Salaries Survey" xfId="13142"/>
    <cellStyle name="RowTitles1-Detail 4 6 8" xfId="13143"/>
    <cellStyle name="RowTitles1-Detail 4 6 9" xfId="13144"/>
    <cellStyle name="RowTitles1-Detail 4 6_STUD aligned by INSTIT" xfId="13145"/>
    <cellStyle name="RowTitles1-Detail 4 7" xfId="13146"/>
    <cellStyle name="RowTitles1-Detail 4 7 2" xfId="13147"/>
    <cellStyle name="RowTitles1-Detail 4 7 2 2" xfId="13148"/>
    <cellStyle name="RowTitles1-Detail 4 7 2 2 2" xfId="13149"/>
    <cellStyle name="RowTitles1-Detail 4 7 2 2_Tertiary Salaries Survey" xfId="13150"/>
    <cellStyle name="RowTitles1-Detail 4 7 2 3" xfId="13151"/>
    <cellStyle name="RowTitles1-Detail 4 7 2_Tertiary Salaries Survey" xfId="13152"/>
    <cellStyle name="RowTitles1-Detail 4 7 3" xfId="13153"/>
    <cellStyle name="RowTitles1-Detail 4 7 3 2" xfId="13154"/>
    <cellStyle name="RowTitles1-Detail 4 7 3 2 2" xfId="13155"/>
    <cellStyle name="RowTitles1-Detail 4 7 3 2_Tertiary Salaries Survey" xfId="13156"/>
    <cellStyle name="RowTitles1-Detail 4 7 3 3" xfId="13157"/>
    <cellStyle name="RowTitles1-Detail 4 7 3_Tertiary Salaries Survey" xfId="13158"/>
    <cellStyle name="RowTitles1-Detail 4 7 4" xfId="13159"/>
    <cellStyle name="RowTitles1-Detail 4 7 5" xfId="13160"/>
    <cellStyle name="RowTitles1-Detail 4 7 5 2" xfId="13161"/>
    <cellStyle name="RowTitles1-Detail 4 7 5_Tertiary Salaries Survey" xfId="13162"/>
    <cellStyle name="RowTitles1-Detail 4 7 6" xfId="13163"/>
    <cellStyle name="RowTitles1-Detail 4 7_Tertiary Salaries Survey" xfId="13164"/>
    <cellStyle name="RowTitles1-Detail 4 8" xfId="13165"/>
    <cellStyle name="RowTitles1-Detail 4 8 2" xfId="13166"/>
    <cellStyle name="RowTitles1-Detail 4 8 2 2" xfId="13167"/>
    <cellStyle name="RowTitles1-Detail 4 8 2 2 2" xfId="13168"/>
    <cellStyle name="RowTitles1-Detail 4 8 2 2_Tertiary Salaries Survey" xfId="13169"/>
    <cellStyle name="RowTitles1-Detail 4 8 2 3" xfId="13170"/>
    <cellStyle name="RowTitles1-Detail 4 8 2_Tertiary Salaries Survey" xfId="13171"/>
    <cellStyle name="RowTitles1-Detail 4 8 3" xfId="13172"/>
    <cellStyle name="RowTitles1-Detail 4 8 3 2" xfId="13173"/>
    <cellStyle name="RowTitles1-Detail 4 8 3 2 2" xfId="13174"/>
    <cellStyle name="RowTitles1-Detail 4 8 3 2_Tertiary Salaries Survey" xfId="13175"/>
    <cellStyle name="RowTitles1-Detail 4 8 3 3" xfId="13176"/>
    <cellStyle name="RowTitles1-Detail 4 8 3_Tertiary Salaries Survey" xfId="13177"/>
    <cellStyle name="RowTitles1-Detail 4 8 4" xfId="13178"/>
    <cellStyle name="RowTitles1-Detail 4 8 5" xfId="13179"/>
    <cellStyle name="RowTitles1-Detail 4 8_Tertiary Salaries Survey" xfId="13180"/>
    <cellStyle name="RowTitles1-Detail 4 9" xfId="13181"/>
    <cellStyle name="RowTitles1-Detail 4 9 2" xfId="13182"/>
    <cellStyle name="RowTitles1-Detail 4 9 2 2" xfId="13183"/>
    <cellStyle name="RowTitles1-Detail 4 9 2 2 2" xfId="13184"/>
    <cellStyle name="RowTitles1-Detail 4 9 2 2_Tertiary Salaries Survey" xfId="13185"/>
    <cellStyle name="RowTitles1-Detail 4 9 2 3" xfId="13186"/>
    <cellStyle name="RowTitles1-Detail 4 9 2_Tertiary Salaries Survey" xfId="13187"/>
    <cellStyle name="RowTitles1-Detail 4 9 3" xfId="13188"/>
    <cellStyle name="RowTitles1-Detail 4 9 3 2" xfId="13189"/>
    <cellStyle name="RowTitles1-Detail 4 9 3 2 2" xfId="13190"/>
    <cellStyle name="RowTitles1-Detail 4 9 3 2_Tertiary Salaries Survey" xfId="13191"/>
    <cellStyle name="RowTitles1-Detail 4 9 3 3" xfId="13192"/>
    <cellStyle name="RowTitles1-Detail 4 9 3_Tertiary Salaries Survey" xfId="13193"/>
    <cellStyle name="RowTitles1-Detail 4 9 4" xfId="13194"/>
    <cellStyle name="RowTitles1-Detail 4 9 5" xfId="13195"/>
    <cellStyle name="RowTitles1-Detail 4 9 5 2" xfId="13196"/>
    <cellStyle name="RowTitles1-Detail 4 9 5_Tertiary Salaries Survey" xfId="13197"/>
    <cellStyle name="RowTitles1-Detail 4 9 6" xfId="13198"/>
    <cellStyle name="RowTitles1-Detail 4 9_Tertiary Salaries Survey" xfId="13199"/>
    <cellStyle name="RowTitles1-Detail 4_STUD aligned by INSTIT" xfId="13200"/>
    <cellStyle name="RowTitles1-Detail 40" xfId="29697"/>
    <cellStyle name="RowTitles1-Detail 41" xfId="29698"/>
    <cellStyle name="RowTitles1-Detail 42" xfId="29699"/>
    <cellStyle name="RowTitles1-Detail 43" xfId="29700"/>
    <cellStyle name="RowTitles1-Detail 44" xfId="29701"/>
    <cellStyle name="RowTitles1-Detail 45" xfId="29702"/>
    <cellStyle name="RowTitles1-Detail 46" xfId="29703"/>
    <cellStyle name="RowTitles1-Detail 47" xfId="29704"/>
    <cellStyle name="RowTitles1-Detail 48" xfId="29705"/>
    <cellStyle name="RowTitles1-Detail 49" xfId="29706"/>
    <cellStyle name="RowTitles1-Detail 5" xfId="13201"/>
    <cellStyle name="RowTitles1-Detail 5 2" xfId="13202"/>
    <cellStyle name="RowTitles1-Detail 5 2 2" xfId="13203"/>
    <cellStyle name="RowTitles1-Detail 5 2 2 2" xfId="13204"/>
    <cellStyle name="RowTitles1-Detail 5 2 2 2 2" xfId="13205"/>
    <cellStyle name="RowTitles1-Detail 5 2 2 2_Tertiary Salaries Survey" xfId="13206"/>
    <cellStyle name="RowTitles1-Detail 5 2 2 3" xfId="13207"/>
    <cellStyle name="RowTitles1-Detail 5 2 2_Tertiary Salaries Survey" xfId="13208"/>
    <cellStyle name="RowTitles1-Detail 5 2 3" xfId="13209"/>
    <cellStyle name="RowTitles1-Detail 5 2 3 2" xfId="13210"/>
    <cellStyle name="RowTitles1-Detail 5 2 3 2 2" xfId="13211"/>
    <cellStyle name="RowTitles1-Detail 5 2 3 2_Tertiary Salaries Survey" xfId="13212"/>
    <cellStyle name="RowTitles1-Detail 5 2 3 3" xfId="13213"/>
    <cellStyle name="RowTitles1-Detail 5 2 3_Tertiary Salaries Survey" xfId="13214"/>
    <cellStyle name="RowTitles1-Detail 5 2 4" xfId="13215"/>
    <cellStyle name="RowTitles1-Detail 5 2 5" xfId="13216"/>
    <cellStyle name="RowTitles1-Detail 5 2_Tertiary Salaries Survey" xfId="13217"/>
    <cellStyle name="RowTitles1-Detail 5 3" xfId="13218"/>
    <cellStyle name="RowTitles1-Detail 5 3 2" xfId="13219"/>
    <cellStyle name="RowTitles1-Detail 5 3 2 2" xfId="13220"/>
    <cellStyle name="RowTitles1-Detail 5 3 2 2 2" xfId="13221"/>
    <cellStyle name="RowTitles1-Detail 5 3 2 2_Tertiary Salaries Survey" xfId="13222"/>
    <cellStyle name="RowTitles1-Detail 5 3 2 3" xfId="13223"/>
    <cellStyle name="RowTitles1-Detail 5 3 2_Tertiary Salaries Survey" xfId="13224"/>
    <cellStyle name="RowTitles1-Detail 5 3 3" xfId="13225"/>
    <cellStyle name="RowTitles1-Detail 5 3 3 2" xfId="13226"/>
    <cellStyle name="RowTitles1-Detail 5 3 3 2 2" xfId="13227"/>
    <cellStyle name="RowTitles1-Detail 5 3 3 2_Tertiary Salaries Survey" xfId="13228"/>
    <cellStyle name="RowTitles1-Detail 5 3 3 3" xfId="13229"/>
    <cellStyle name="RowTitles1-Detail 5 3 3_Tertiary Salaries Survey" xfId="13230"/>
    <cellStyle name="RowTitles1-Detail 5 3 4" xfId="13231"/>
    <cellStyle name="RowTitles1-Detail 5 3 5" xfId="13232"/>
    <cellStyle name="RowTitles1-Detail 5 3 5 2" xfId="13233"/>
    <cellStyle name="RowTitles1-Detail 5 3 5_Tertiary Salaries Survey" xfId="13234"/>
    <cellStyle name="RowTitles1-Detail 5 3 6" xfId="13235"/>
    <cellStyle name="RowTitles1-Detail 5 3_Tertiary Salaries Survey" xfId="13236"/>
    <cellStyle name="RowTitles1-Detail 5 4" xfId="13237"/>
    <cellStyle name="RowTitles1-Detail 5 4 2" xfId="13238"/>
    <cellStyle name="RowTitles1-Detail 5 4 2 2" xfId="13239"/>
    <cellStyle name="RowTitles1-Detail 5 4 2 2 2" xfId="13240"/>
    <cellStyle name="RowTitles1-Detail 5 4 2 2_Tertiary Salaries Survey" xfId="13241"/>
    <cellStyle name="RowTitles1-Detail 5 4 2 3" xfId="13242"/>
    <cellStyle name="RowTitles1-Detail 5 4 2_Tertiary Salaries Survey" xfId="13243"/>
    <cellStyle name="RowTitles1-Detail 5 4 3" xfId="13244"/>
    <cellStyle name="RowTitles1-Detail 5 4 3 2" xfId="13245"/>
    <cellStyle name="RowTitles1-Detail 5 4 3 2 2" xfId="13246"/>
    <cellStyle name="RowTitles1-Detail 5 4 3 2_Tertiary Salaries Survey" xfId="13247"/>
    <cellStyle name="RowTitles1-Detail 5 4 3 3" xfId="13248"/>
    <cellStyle name="RowTitles1-Detail 5 4 3_Tertiary Salaries Survey" xfId="13249"/>
    <cellStyle name="RowTitles1-Detail 5 4 4" xfId="13250"/>
    <cellStyle name="RowTitles1-Detail 5 4 4 2" xfId="13251"/>
    <cellStyle name="RowTitles1-Detail 5 4 4_Tertiary Salaries Survey" xfId="13252"/>
    <cellStyle name="RowTitles1-Detail 5 4 5" xfId="13253"/>
    <cellStyle name="RowTitles1-Detail 5 4_Tertiary Salaries Survey" xfId="13254"/>
    <cellStyle name="RowTitles1-Detail 5 5" xfId="13255"/>
    <cellStyle name="RowTitles1-Detail 5 5 2" xfId="13256"/>
    <cellStyle name="RowTitles1-Detail 5 5 2 2" xfId="13257"/>
    <cellStyle name="RowTitles1-Detail 5 5 2 2 2" xfId="13258"/>
    <cellStyle name="RowTitles1-Detail 5 5 2 2_Tertiary Salaries Survey" xfId="13259"/>
    <cellStyle name="RowTitles1-Detail 5 5 2 3" xfId="13260"/>
    <cellStyle name="RowTitles1-Detail 5 5 2_Tertiary Salaries Survey" xfId="13261"/>
    <cellStyle name="RowTitles1-Detail 5 5 3" xfId="13262"/>
    <cellStyle name="RowTitles1-Detail 5 5 3 2" xfId="13263"/>
    <cellStyle name="RowTitles1-Detail 5 5 3 2 2" xfId="13264"/>
    <cellStyle name="RowTitles1-Detail 5 5 3 2_Tertiary Salaries Survey" xfId="13265"/>
    <cellStyle name="RowTitles1-Detail 5 5 3 3" xfId="13266"/>
    <cellStyle name="RowTitles1-Detail 5 5 3_Tertiary Salaries Survey" xfId="13267"/>
    <cellStyle name="RowTitles1-Detail 5 5 4" xfId="13268"/>
    <cellStyle name="RowTitles1-Detail 5 5 4 2" xfId="13269"/>
    <cellStyle name="RowTitles1-Detail 5 5 4_Tertiary Salaries Survey" xfId="13270"/>
    <cellStyle name="RowTitles1-Detail 5 5 5" xfId="13271"/>
    <cellStyle name="RowTitles1-Detail 5 5_Tertiary Salaries Survey" xfId="13272"/>
    <cellStyle name="RowTitles1-Detail 5 6" xfId="13273"/>
    <cellStyle name="RowTitles1-Detail 5 6 2" xfId="13274"/>
    <cellStyle name="RowTitles1-Detail 5 6 2 2" xfId="13275"/>
    <cellStyle name="RowTitles1-Detail 5 6 2 2 2" xfId="13276"/>
    <cellStyle name="RowTitles1-Detail 5 6 2 2_Tertiary Salaries Survey" xfId="13277"/>
    <cellStyle name="RowTitles1-Detail 5 6 2 3" xfId="13278"/>
    <cellStyle name="RowTitles1-Detail 5 6 2_Tertiary Salaries Survey" xfId="13279"/>
    <cellStyle name="RowTitles1-Detail 5 6 3" xfId="13280"/>
    <cellStyle name="RowTitles1-Detail 5 6 3 2" xfId="13281"/>
    <cellStyle name="RowTitles1-Detail 5 6 3 2 2" xfId="13282"/>
    <cellStyle name="RowTitles1-Detail 5 6 3 2_Tertiary Salaries Survey" xfId="13283"/>
    <cellStyle name="RowTitles1-Detail 5 6 3 3" xfId="13284"/>
    <cellStyle name="RowTitles1-Detail 5 6 3_Tertiary Salaries Survey" xfId="13285"/>
    <cellStyle name="RowTitles1-Detail 5 6 4" xfId="13286"/>
    <cellStyle name="RowTitles1-Detail 5 6 4 2" xfId="13287"/>
    <cellStyle name="RowTitles1-Detail 5 6 4_Tertiary Salaries Survey" xfId="13288"/>
    <cellStyle name="RowTitles1-Detail 5 6 5" xfId="13289"/>
    <cellStyle name="RowTitles1-Detail 5 6_Tertiary Salaries Survey" xfId="13290"/>
    <cellStyle name="RowTitles1-Detail 5 7" xfId="13291"/>
    <cellStyle name="RowTitles1-Detail 5 7 2" xfId="13292"/>
    <cellStyle name="RowTitles1-Detail 5 7 2 2" xfId="13293"/>
    <cellStyle name="RowTitles1-Detail 5 7 2_Tertiary Salaries Survey" xfId="13294"/>
    <cellStyle name="RowTitles1-Detail 5 7 3" xfId="13295"/>
    <cellStyle name="RowTitles1-Detail 5 7_Tertiary Salaries Survey" xfId="13296"/>
    <cellStyle name="RowTitles1-Detail 5 8" xfId="13297"/>
    <cellStyle name="RowTitles1-Detail 5 9" xfId="13298"/>
    <cellStyle name="RowTitles1-Detail 5_STUD aligned by INSTIT" xfId="13299"/>
    <cellStyle name="RowTitles1-Detail 50" xfId="29707"/>
    <cellStyle name="RowTitles1-Detail 51" xfId="29708"/>
    <cellStyle name="RowTitles1-Detail 52" xfId="29709"/>
    <cellStyle name="RowTitles1-Detail 53" xfId="29710"/>
    <cellStyle name="RowTitles1-Detail 54" xfId="29711"/>
    <cellStyle name="RowTitles1-Detail 55" xfId="29712"/>
    <cellStyle name="RowTitles1-Detail 56" xfId="29713"/>
    <cellStyle name="RowTitles1-Detail 6" xfId="13300"/>
    <cellStyle name="RowTitles1-Detail 6 2" xfId="13301"/>
    <cellStyle name="RowTitles1-Detail 6 2 2" xfId="13302"/>
    <cellStyle name="RowTitles1-Detail 6 2 2 2" xfId="13303"/>
    <cellStyle name="RowTitles1-Detail 6 2 2 2 2" xfId="13304"/>
    <cellStyle name="RowTitles1-Detail 6 2 2 2_Tertiary Salaries Survey" xfId="13305"/>
    <cellStyle name="RowTitles1-Detail 6 2 2 3" xfId="13306"/>
    <cellStyle name="RowTitles1-Detail 6 2 2_Tertiary Salaries Survey" xfId="13307"/>
    <cellStyle name="RowTitles1-Detail 6 2 3" xfId="13308"/>
    <cellStyle name="RowTitles1-Detail 6 2 3 2" xfId="13309"/>
    <cellStyle name="RowTitles1-Detail 6 2 3 2 2" xfId="13310"/>
    <cellStyle name="RowTitles1-Detail 6 2 3 2_Tertiary Salaries Survey" xfId="13311"/>
    <cellStyle name="RowTitles1-Detail 6 2 3 3" xfId="13312"/>
    <cellStyle name="RowTitles1-Detail 6 2 3_Tertiary Salaries Survey" xfId="13313"/>
    <cellStyle name="RowTitles1-Detail 6 2 4" xfId="13314"/>
    <cellStyle name="RowTitles1-Detail 6 2 5" xfId="13315"/>
    <cellStyle name="RowTitles1-Detail 6 2 5 2" xfId="13316"/>
    <cellStyle name="RowTitles1-Detail 6 2 5_Tertiary Salaries Survey" xfId="13317"/>
    <cellStyle name="RowTitles1-Detail 6 2 6" xfId="13318"/>
    <cellStyle name="RowTitles1-Detail 6 2_Tertiary Salaries Survey" xfId="13319"/>
    <cellStyle name="RowTitles1-Detail 6 3" xfId="13320"/>
    <cellStyle name="RowTitles1-Detail 6 3 2" xfId="13321"/>
    <cellStyle name="RowTitles1-Detail 6 3 2 2" xfId="13322"/>
    <cellStyle name="RowTitles1-Detail 6 3 2 2 2" xfId="13323"/>
    <cellStyle name="RowTitles1-Detail 6 3 2 2_Tertiary Salaries Survey" xfId="13324"/>
    <cellStyle name="RowTitles1-Detail 6 3 2 3" xfId="13325"/>
    <cellStyle name="RowTitles1-Detail 6 3 2_Tertiary Salaries Survey" xfId="13326"/>
    <cellStyle name="RowTitles1-Detail 6 3 3" xfId="13327"/>
    <cellStyle name="RowTitles1-Detail 6 3 3 2" xfId="13328"/>
    <cellStyle name="RowTitles1-Detail 6 3 3 2 2" xfId="13329"/>
    <cellStyle name="RowTitles1-Detail 6 3 3 2_Tertiary Salaries Survey" xfId="13330"/>
    <cellStyle name="RowTitles1-Detail 6 3 3 3" xfId="13331"/>
    <cellStyle name="RowTitles1-Detail 6 3 3_Tertiary Salaries Survey" xfId="13332"/>
    <cellStyle name="RowTitles1-Detail 6 3 4" xfId="13333"/>
    <cellStyle name="RowTitles1-Detail 6 3 5" xfId="13334"/>
    <cellStyle name="RowTitles1-Detail 6 3_Tertiary Salaries Survey" xfId="13335"/>
    <cellStyle name="RowTitles1-Detail 6 4" xfId="13336"/>
    <cellStyle name="RowTitles1-Detail 6 4 2" xfId="13337"/>
    <cellStyle name="RowTitles1-Detail 6 4 2 2" xfId="13338"/>
    <cellStyle name="RowTitles1-Detail 6 4 2 2 2" xfId="13339"/>
    <cellStyle name="RowTitles1-Detail 6 4 2 2_Tertiary Salaries Survey" xfId="13340"/>
    <cellStyle name="RowTitles1-Detail 6 4 2 3" xfId="13341"/>
    <cellStyle name="RowTitles1-Detail 6 4 2_Tertiary Salaries Survey" xfId="13342"/>
    <cellStyle name="RowTitles1-Detail 6 4 3" xfId="13343"/>
    <cellStyle name="RowTitles1-Detail 6 4 3 2" xfId="13344"/>
    <cellStyle name="RowTitles1-Detail 6 4 3 2 2" xfId="13345"/>
    <cellStyle name="RowTitles1-Detail 6 4 3 2_Tertiary Salaries Survey" xfId="13346"/>
    <cellStyle name="RowTitles1-Detail 6 4 3 3" xfId="13347"/>
    <cellStyle name="RowTitles1-Detail 6 4 3_Tertiary Salaries Survey" xfId="13348"/>
    <cellStyle name="RowTitles1-Detail 6 4 4" xfId="13349"/>
    <cellStyle name="RowTitles1-Detail 6 4 4 2" xfId="13350"/>
    <cellStyle name="RowTitles1-Detail 6 4 4_Tertiary Salaries Survey" xfId="13351"/>
    <cellStyle name="RowTitles1-Detail 6 4 5" xfId="13352"/>
    <cellStyle name="RowTitles1-Detail 6 4_Tertiary Salaries Survey" xfId="13353"/>
    <cellStyle name="RowTitles1-Detail 6 5" xfId="13354"/>
    <cellStyle name="RowTitles1-Detail 6 5 2" xfId="13355"/>
    <cellStyle name="RowTitles1-Detail 6 5 2 2" xfId="13356"/>
    <cellStyle name="RowTitles1-Detail 6 5 2 2 2" xfId="13357"/>
    <cellStyle name="RowTitles1-Detail 6 5 2 2_Tertiary Salaries Survey" xfId="13358"/>
    <cellStyle name="RowTitles1-Detail 6 5 2 3" xfId="13359"/>
    <cellStyle name="RowTitles1-Detail 6 5 2_Tertiary Salaries Survey" xfId="13360"/>
    <cellStyle name="RowTitles1-Detail 6 5 3" xfId="13361"/>
    <cellStyle name="RowTitles1-Detail 6 5 3 2" xfId="13362"/>
    <cellStyle name="RowTitles1-Detail 6 5 3 2 2" xfId="13363"/>
    <cellStyle name="RowTitles1-Detail 6 5 3 2_Tertiary Salaries Survey" xfId="13364"/>
    <cellStyle name="RowTitles1-Detail 6 5 3 3" xfId="13365"/>
    <cellStyle name="RowTitles1-Detail 6 5 3_Tertiary Salaries Survey" xfId="13366"/>
    <cellStyle name="RowTitles1-Detail 6 5 4" xfId="13367"/>
    <cellStyle name="RowTitles1-Detail 6 5 4 2" xfId="13368"/>
    <cellStyle name="RowTitles1-Detail 6 5 4_Tertiary Salaries Survey" xfId="13369"/>
    <cellStyle name="RowTitles1-Detail 6 5 5" xfId="13370"/>
    <cellStyle name="RowTitles1-Detail 6 5_Tertiary Salaries Survey" xfId="13371"/>
    <cellStyle name="RowTitles1-Detail 6 6" xfId="13372"/>
    <cellStyle name="RowTitles1-Detail 6 6 2" xfId="13373"/>
    <cellStyle name="RowTitles1-Detail 6 6 2 2" xfId="13374"/>
    <cellStyle name="RowTitles1-Detail 6 6 2 2 2" xfId="13375"/>
    <cellStyle name="RowTitles1-Detail 6 6 2 2_Tertiary Salaries Survey" xfId="13376"/>
    <cellStyle name="RowTitles1-Detail 6 6 2 3" xfId="13377"/>
    <cellStyle name="RowTitles1-Detail 6 6 2_Tertiary Salaries Survey" xfId="13378"/>
    <cellStyle name="RowTitles1-Detail 6 6 3" xfId="13379"/>
    <cellStyle name="RowTitles1-Detail 6 6 3 2" xfId="13380"/>
    <cellStyle name="RowTitles1-Detail 6 6 3 2 2" xfId="13381"/>
    <cellStyle name="RowTitles1-Detail 6 6 3 2_Tertiary Salaries Survey" xfId="13382"/>
    <cellStyle name="RowTitles1-Detail 6 6 3 3" xfId="13383"/>
    <cellStyle name="RowTitles1-Detail 6 6 3_Tertiary Salaries Survey" xfId="13384"/>
    <cellStyle name="RowTitles1-Detail 6 6 4" xfId="13385"/>
    <cellStyle name="RowTitles1-Detail 6 6 4 2" xfId="13386"/>
    <cellStyle name="RowTitles1-Detail 6 6 4_Tertiary Salaries Survey" xfId="13387"/>
    <cellStyle name="RowTitles1-Detail 6 6 5" xfId="13388"/>
    <cellStyle name="RowTitles1-Detail 6 6_Tertiary Salaries Survey" xfId="13389"/>
    <cellStyle name="RowTitles1-Detail 6 7" xfId="13390"/>
    <cellStyle name="RowTitles1-Detail 6 7 2" xfId="13391"/>
    <cellStyle name="RowTitles1-Detail 6 7 2 2" xfId="13392"/>
    <cellStyle name="RowTitles1-Detail 6 7 2_Tertiary Salaries Survey" xfId="13393"/>
    <cellStyle name="RowTitles1-Detail 6 7 3" xfId="13394"/>
    <cellStyle name="RowTitles1-Detail 6 7_Tertiary Salaries Survey" xfId="13395"/>
    <cellStyle name="RowTitles1-Detail 6 8" xfId="13396"/>
    <cellStyle name="RowTitles1-Detail 6 8 2" xfId="13397"/>
    <cellStyle name="RowTitles1-Detail 6 8 2 2" xfId="13398"/>
    <cellStyle name="RowTitles1-Detail 6 8 2_Tertiary Salaries Survey" xfId="13399"/>
    <cellStyle name="RowTitles1-Detail 6 8 3" xfId="13400"/>
    <cellStyle name="RowTitles1-Detail 6 8_Tertiary Salaries Survey" xfId="13401"/>
    <cellStyle name="RowTitles1-Detail 6 9" xfId="13402"/>
    <cellStyle name="RowTitles1-Detail 6_STUD aligned by INSTIT" xfId="13403"/>
    <cellStyle name="RowTitles1-Detail 7" xfId="13404"/>
    <cellStyle name="RowTitles1-Detail 7 2" xfId="13405"/>
    <cellStyle name="RowTitles1-Detail 7 2 2" xfId="13406"/>
    <cellStyle name="RowTitles1-Detail 7 2 2 2" xfId="13407"/>
    <cellStyle name="RowTitles1-Detail 7 2 2 2 2" xfId="13408"/>
    <cellStyle name="RowTitles1-Detail 7 2 2 2_Tertiary Salaries Survey" xfId="13409"/>
    <cellStyle name="RowTitles1-Detail 7 2 2 3" xfId="13410"/>
    <cellStyle name="RowTitles1-Detail 7 2 2_Tertiary Salaries Survey" xfId="13411"/>
    <cellStyle name="RowTitles1-Detail 7 2 3" xfId="13412"/>
    <cellStyle name="RowTitles1-Detail 7 2 3 2" xfId="13413"/>
    <cellStyle name="RowTitles1-Detail 7 2 3 2 2" xfId="13414"/>
    <cellStyle name="RowTitles1-Detail 7 2 3 2_Tertiary Salaries Survey" xfId="13415"/>
    <cellStyle name="RowTitles1-Detail 7 2 3 3" xfId="13416"/>
    <cellStyle name="RowTitles1-Detail 7 2 3_Tertiary Salaries Survey" xfId="13417"/>
    <cellStyle name="RowTitles1-Detail 7 2 4" xfId="13418"/>
    <cellStyle name="RowTitles1-Detail 7 2 5" xfId="13419"/>
    <cellStyle name="RowTitles1-Detail 7 2_Tertiary Salaries Survey" xfId="13420"/>
    <cellStyle name="RowTitles1-Detail 7 3" xfId="13421"/>
    <cellStyle name="RowTitles1-Detail 7 3 2" xfId="13422"/>
    <cellStyle name="RowTitles1-Detail 7 3 2 2" xfId="13423"/>
    <cellStyle name="RowTitles1-Detail 7 3 2 2 2" xfId="13424"/>
    <cellStyle name="RowTitles1-Detail 7 3 2 2_Tertiary Salaries Survey" xfId="13425"/>
    <cellStyle name="RowTitles1-Detail 7 3 2 3" xfId="13426"/>
    <cellStyle name="RowTitles1-Detail 7 3 2_Tertiary Salaries Survey" xfId="13427"/>
    <cellStyle name="RowTitles1-Detail 7 3 3" xfId="13428"/>
    <cellStyle name="RowTitles1-Detail 7 3 3 2" xfId="13429"/>
    <cellStyle name="RowTitles1-Detail 7 3 3 2 2" xfId="13430"/>
    <cellStyle name="RowTitles1-Detail 7 3 3 2_Tertiary Salaries Survey" xfId="13431"/>
    <cellStyle name="RowTitles1-Detail 7 3 3 3" xfId="13432"/>
    <cellStyle name="RowTitles1-Detail 7 3 3_Tertiary Salaries Survey" xfId="13433"/>
    <cellStyle name="RowTitles1-Detail 7 3 4" xfId="13434"/>
    <cellStyle name="RowTitles1-Detail 7 3 4 2" xfId="13435"/>
    <cellStyle name="RowTitles1-Detail 7 3 4_Tertiary Salaries Survey" xfId="13436"/>
    <cellStyle name="RowTitles1-Detail 7 3 5" xfId="13437"/>
    <cellStyle name="RowTitles1-Detail 7 3_Tertiary Salaries Survey" xfId="13438"/>
    <cellStyle name="RowTitles1-Detail 7 4" xfId="13439"/>
    <cellStyle name="RowTitles1-Detail 7 4 2" xfId="13440"/>
    <cellStyle name="RowTitles1-Detail 7 4 2 2" xfId="13441"/>
    <cellStyle name="RowTitles1-Detail 7 4 2 2 2" xfId="13442"/>
    <cellStyle name="RowTitles1-Detail 7 4 2 2_Tertiary Salaries Survey" xfId="13443"/>
    <cellStyle name="RowTitles1-Detail 7 4 2 3" xfId="13444"/>
    <cellStyle name="RowTitles1-Detail 7 4 2_Tertiary Salaries Survey" xfId="13445"/>
    <cellStyle name="RowTitles1-Detail 7 4 3" xfId="13446"/>
    <cellStyle name="RowTitles1-Detail 7 4 3 2" xfId="13447"/>
    <cellStyle name="RowTitles1-Detail 7 4 3 2 2" xfId="13448"/>
    <cellStyle name="RowTitles1-Detail 7 4 3 2_Tertiary Salaries Survey" xfId="13449"/>
    <cellStyle name="RowTitles1-Detail 7 4 3 3" xfId="13450"/>
    <cellStyle name="RowTitles1-Detail 7 4 3_Tertiary Salaries Survey" xfId="13451"/>
    <cellStyle name="RowTitles1-Detail 7 4 4" xfId="13452"/>
    <cellStyle name="RowTitles1-Detail 7 4 4 2" xfId="13453"/>
    <cellStyle name="RowTitles1-Detail 7 4 4_Tertiary Salaries Survey" xfId="13454"/>
    <cellStyle name="RowTitles1-Detail 7 4 5" xfId="13455"/>
    <cellStyle name="RowTitles1-Detail 7 4_Tertiary Salaries Survey" xfId="13456"/>
    <cellStyle name="RowTitles1-Detail 7 5" xfId="13457"/>
    <cellStyle name="RowTitles1-Detail 7 5 2" xfId="13458"/>
    <cellStyle name="RowTitles1-Detail 7 5 2 2" xfId="13459"/>
    <cellStyle name="RowTitles1-Detail 7 5 2 2 2" xfId="13460"/>
    <cellStyle name="RowTitles1-Detail 7 5 2 2_Tertiary Salaries Survey" xfId="13461"/>
    <cellStyle name="RowTitles1-Detail 7 5 2 3" xfId="13462"/>
    <cellStyle name="RowTitles1-Detail 7 5 2_Tertiary Salaries Survey" xfId="13463"/>
    <cellStyle name="RowTitles1-Detail 7 5 3" xfId="13464"/>
    <cellStyle name="RowTitles1-Detail 7 5 3 2" xfId="13465"/>
    <cellStyle name="RowTitles1-Detail 7 5 3 2 2" xfId="13466"/>
    <cellStyle name="RowTitles1-Detail 7 5 3 2_Tertiary Salaries Survey" xfId="13467"/>
    <cellStyle name="RowTitles1-Detail 7 5 3 3" xfId="13468"/>
    <cellStyle name="RowTitles1-Detail 7 5 3_Tertiary Salaries Survey" xfId="13469"/>
    <cellStyle name="RowTitles1-Detail 7 5 4" xfId="13470"/>
    <cellStyle name="RowTitles1-Detail 7 5 4 2" xfId="13471"/>
    <cellStyle name="RowTitles1-Detail 7 5 4_Tertiary Salaries Survey" xfId="13472"/>
    <cellStyle name="RowTitles1-Detail 7 5 5" xfId="13473"/>
    <cellStyle name="RowTitles1-Detail 7 5_Tertiary Salaries Survey" xfId="13474"/>
    <cellStyle name="RowTitles1-Detail 7 6" xfId="13475"/>
    <cellStyle name="RowTitles1-Detail 7 6 2" xfId="13476"/>
    <cellStyle name="RowTitles1-Detail 7 6 2 2" xfId="13477"/>
    <cellStyle name="RowTitles1-Detail 7 6 2 2 2" xfId="13478"/>
    <cellStyle name="RowTitles1-Detail 7 6 2 2_Tertiary Salaries Survey" xfId="13479"/>
    <cellStyle name="RowTitles1-Detail 7 6 2 3" xfId="13480"/>
    <cellStyle name="RowTitles1-Detail 7 6 2_Tertiary Salaries Survey" xfId="13481"/>
    <cellStyle name="RowTitles1-Detail 7 6 3" xfId="13482"/>
    <cellStyle name="RowTitles1-Detail 7 6 3 2" xfId="13483"/>
    <cellStyle name="RowTitles1-Detail 7 6 3 2 2" xfId="13484"/>
    <cellStyle name="RowTitles1-Detail 7 6 3 2_Tertiary Salaries Survey" xfId="13485"/>
    <cellStyle name="RowTitles1-Detail 7 6 3 3" xfId="13486"/>
    <cellStyle name="RowTitles1-Detail 7 6 3_Tertiary Salaries Survey" xfId="13487"/>
    <cellStyle name="RowTitles1-Detail 7 6 4" xfId="13488"/>
    <cellStyle name="RowTitles1-Detail 7 6 4 2" xfId="13489"/>
    <cellStyle name="RowTitles1-Detail 7 6 4_Tertiary Salaries Survey" xfId="13490"/>
    <cellStyle name="RowTitles1-Detail 7 6 5" xfId="13491"/>
    <cellStyle name="RowTitles1-Detail 7 6_Tertiary Salaries Survey" xfId="13492"/>
    <cellStyle name="RowTitles1-Detail 7 7" xfId="13493"/>
    <cellStyle name="RowTitles1-Detail 7 7 2" xfId="13494"/>
    <cellStyle name="RowTitles1-Detail 7 7 2 2" xfId="13495"/>
    <cellStyle name="RowTitles1-Detail 7 7 2_Tertiary Salaries Survey" xfId="13496"/>
    <cellStyle name="RowTitles1-Detail 7 7 3" xfId="13497"/>
    <cellStyle name="RowTitles1-Detail 7 7_Tertiary Salaries Survey" xfId="13498"/>
    <cellStyle name="RowTitles1-Detail 7 8" xfId="13499"/>
    <cellStyle name="RowTitles1-Detail 7 8 2" xfId="13500"/>
    <cellStyle name="RowTitles1-Detail 7 8 2 2" xfId="13501"/>
    <cellStyle name="RowTitles1-Detail 7 8 2_Tertiary Salaries Survey" xfId="13502"/>
    <cellStyle name="RowTitles1-Detail 7 8 3" xfId="13503"/>
    <cellStyle name="RowTitles1-Detail 7 8_Tertiary Salaries Survey" xfId="13504"/>
    <cellStyle name="RowTitles1-Detail 7 9" xfId="13505"/>
    <cellStyle name="RowTitles1-Detail 7_STUD aligned by INSTIT" xfId="13506"/>
    <cellStyle name="RowTitles1-Detail 8" xfId="13507"/>
    <cellStyle name="RowTitles1-Detail 8 2" xfId="13508"/>
    <cellStyle name="RowTitles1-Detail 8 2 2" xfId="13509"/>
    <cellStyle name="RowTitles1-Detail 8 2 2 2" xfId="13510"/>
    <cellStyle name="RowTitles1-Detail 8 2 2_Tertiary Salaries Survey" xfId="13511"/>
    <cellStyle name="RowTitles1-Detail 8 2 3" xfId="13512"/>
    <cellStyle name="RowTitles1-Detail 8 2_Tertiary Salaries Survey" xfId="13513"/>
    <cellStyle name="RowTitles1-Detail 8 3" xfId="13514"/>
    <cellStyle name="RowTitles1-Detail 8 3 2" xfId="13515"/>
    <cellStyle name="RowTitles1-Detail 8 3 2 2" xfId="13516"/>
    <cellStyle name="RowTitles1-Detail 8 3 2_Tertiary Salaries Survey" xfId="13517"/>
    <cellStyle name="RowTitles1-Detail 8 3 3" xfId="13518"/>
    <cellStyle name="RowTitles1-Detail 8 3_Tertiary Salaries Survey" xfId="13519"/>
    <cellStyle name="RowTitles1-Detail 8 4" xfId="13520"/>
    <cellStyle name="RowTitles1-Detail 8 5" xfId="13521"/>
    <cellStyle name="RowTitles1-Detail 8_Tertiary Salaries Survey" xfId="13522"/>
    <cellStyle name="RowTitles1-Detail 9" xfId="13523"/>
    <cellStyle name="RowTitles1-Detail 9 2" xfId="13524"/>
    <cellStyle name="RowTitles1-Detail 9 2 2" xfId="13525"/>
    <cellStyle name="RowTitles1-Detail 9 2 2 2" xfId="13526"/>
    <cellStyle name="RowTitles1-Detail 9 2 2_Tertiary Salaries Survey" xfId="13527"/>
    <cellStyle name="RowTitles1-Detail 9 2 3" xfId="13528"/>
    <cellStyle name="RowTitles1-Detail 9 2_Tertiary Salaries Survey" xfId="13529"/>
    <cellStyle name="RowTitles1-Detail 9 3" xfId="13530"/>
    <cellStyle name="RowTitles1-Detail 9 3 2" xfId="13531"/>
    <cellStyle name="RowTitles1-Detail 9 3 2 2" xfId="13532"/>
    <cellStyle name="RowTitles1-Detail 9 3 2_Tertiary Salaries Survey" xfId="13533"/>
    <cellStyle name="RowTitles1-Detail 9 3 3" xfId="13534"/>
    <cellStyle name="RowTitles1-Detail 9 3_Tertiary Salaries Survey" xfId="13535"/>
    <cellStyle name="RowTitles1-Detail 9 4" xfId="13536"/>
    <cellStyle name="RowTitles1-Detail 9 5" xfId="13537"/>
    <cellStyle name="RowTitles1-Detail 9 5 2" xfId="13538"/>
    <cellStyle name="RowTitles1-Detail 9 5_Tertiary Salaries Survey" xfId="13539"/>
    <cellStyle name="RowTitles1-Detail 9 6" xfId="13540"/>
    <cellStyle name="RowTitles1-Detail 9_Tertiary Salaries Survey" xfId="13541"/>
    <cellStyle name="RowTitles1-Detail_STUD aligned by INSTIT" xfId="13542"/>
    <cellStyle name="RowTitles-Col2" xfId="70"/>
    <cellStyle name="RowTitles-Col2 10" xfId="13543"/>
    <cellStyle name="RowTitles-Col2 10 2" xfId="13544"/>
    <cellStyle name="RowTitles-Col2 10 2 2" xfId="13545"/>
    <cellStyle name="RowTitles-Col2 10 2 2 2" xfId="13546"/>
    <cellStyle name="RowTitles-Col2 10 2 2_Tertiary Salaries Survey" xfId="13547"/>
    <cellStyle name="RowTitles-Col2 10 2 3" xfId="13548"/>
    <cellStyle name="RowTitles-Col2 10 2_Tertiary Salaries Survey" xfId="13549"/>
    <cellStyle name="RowTitles-Col2 10 3" xfId="13550"/>
    <cellStyle name="RowTitles-Col2 10 3 2" xfId="13551"/>
    <cellStyle name="RowTitles-Col2 10 3 2 2" xfId="13552"/>
    <cellStyle name="RowTitles-Col2 10 3 2_Tertiary Salaries Survey" xfId="13553"/>
    <cellStyle name="RowTitles-Col2 10 3 3" xfId="13554"/>
    <cellStyle name="RowTitles-Col2 10 3_Tertiary Salaries Survey" xfId="13555"/>
    <cellStyle name="RowTitles-Col2 10 4" xfId="13556"/>
    <cellStyle name="RowTitles-Col2 10 4 2" xfId="13557"/>
    <cellStyle name="RowTitles-Col2 10 4_Tertiary Salaries Survey" xfId="13558"/>
    <cellStyle name="RowTitles-Col2 10 5" xfId="13559"/>
    <cellStyle name="RowTitles-Col2 10_Tertiary Salaries Survey" xfId="13560"/>
    <cellStyle name="RowTitles-Col2 11" xfId="13561"/>
    <cellStyle name="RowTitles-Col2 11 2" xfId="13562"/>
    <cellStyle name="RowTitles-Col2 11 2 2" xfId="13563"/>
    <cellStyle name="RowTitles-Col2 11 2 2 2" xfId="13564"/>
    <cellStyle name="RowTitles-Col2 11 2 2_Tertiary Salaries Survey" xfId="13565"/>
    <cellStyle name="RowTitles-Col2 11 2 3" xfId="13566"/>
    <cellStyle name="RowTitles-Col2 11 2_Tertiary Salaries Survey" xfId="13567"/>
    <cellStyle name="RowTitles-Col2 11 3" xfId="13568"/>
    <cellStyle name="RowTitles-Col2 11 3 2" xfId="13569"/>
    <cellStyle name="RowTitles-Col2 11 3 2 2" xfId="13570"/>
    <cellStyle name="RowTitles-Col2 11 3 2_Tertiary Salaries Survey" xfId="13571"/>
    <cellStyle name="RowTitles-Col2 11 3 3" xfId="13572"/>
    <cellStyle name="RowTitles-Col2 11 3_Tertiary Salaries Survey" xfId="13573"/>
    <cellStyle name="RowTitles-Col2 11 4" xfId="13574"/>
    <cellStyle name="RowTitles-Col2 11 4 2" xfId="13575"/>
    <cellStyle name="RowTitles-Col2 11 4_Tertiary Salaries Survey" xfId="13576"/>
    <cellStyle name="RowTitles-Col2 11 5" xfId="13577"/>
    <cellStyle name="RowTitles-Col2 11_Tertiary Salaries Survey" xfId="13578"/>
    <cellStyle name="RowTitles-Col2 12" xfId="13579"/>
    <cellStyle name="RowTitles-Col2 12 2" xfId="13580"/>
    <cellStyle name="RowTitles-Col2 12 2 2" xfId="13581"/>
    <cellStyle name="RowTitles-Col2 12 2_Tertiary Salaries Survey" xfId="13582"/>
    <cellStyle name="RowTitles-Col2 12 3" xfId="13583"/>
    <cellStyle name="RowTitles-Col2 12_Tertiary Salaries Survey" xfId="13584"/>
    <cellStyle name="RowTitles-Col2 13" xfId="13585"/>
    <cellStyle name="RowTitles-Col2 14" xfId="13586"/>
    <cellStyle name="RowTitles-Col2 15" xfId="13587"/>
    <cellStyle name="RowTitles-Col2 16" xfId="13588"/>
    <cellStyle name="RowTitles-Col2 16 2" xfId="29714"/>
    <cellStyle name="RowTitles-Col2 17" xfId="29715"/>
    <cellStyle name="RowTitles-Col2 17 2" xfId="29716"/>
    <cellStyle name="RowTitles-Col2 17 3" xfId="29717"/>
    <cellStyle name="RowTitles-Col2 18" xfId="29718"/>
    <cellStyle name="RowTitles-Col2 18 2" xfId="29719"/>
    <cellStyle name="RowTitles-Col2 18 3" xfId="29720"/>
    <cellStyle name="RowTitles-Col2 19" xfId="29721"/>
    <cellStyle name="RowTitles-Col2 19 2" xfId="29722"/>
    <cellStyle name="RowTitles-Col2 19 3" xfId="29723"/>
    <cellStyle name="RowTitles-Col2 2" xfId="13589"/>
    <cellStyle name="RowTitles-Col2 2 10" xfId="13590"/>
    <cellStyle name="RowTitles-Col2 2 10 2" xfId="13591"/>
    <cellStyle name="RowTitles-Col2 2 10 2 2" xfId="13592"/>
    <cellStyle name="RowTitles-Col2 2 10 2 2 2" xfId="13593"/>
    <cellStyle name="RowTitles-Col2 2 10 2 2_Tertiary Salaries Survey" xfId="13594"/>
    <cellStyle name="RowTitles-Col2 2 10 2 3" xfId="13595"/>
    <cellStyle name="RowTitles-Col2 2 10 2_Tertiary Salaries Survey" xfId="13596"/>
    <cellStyle name="RowTitles-Col2 2 10 3" xfId="13597"/>
    <cellStyle name="RowTitles-Col2 2 10 3 2" xfId="13598"/>
    <cellStyle name="RowTitles-Col2 2 10 3 2 2" xfId="13599"/>
    <cellStyle name="RowTitles-Col2 2 10 3 2_Tertiary Salaries Survey" xfId="13600"/>
    <cellStyle name="RowTitles-Col2 2 10 3 3" xfId="13601"/>
    <cellStyle name="RowTitles-Col2 2 10 3_Tertiary Salaries Survey" xfId="13602"/>
    <cellStyle name="RowTitles-Col2 2 10 4" xfId="13603"/>
    <cellStyle name="RowTitles-Col2 2 10 4 2" xfId="13604"/>
    <cellStyle name="RowTitles-Col2 2 10 4_Tertiary Salaries Survey" xfId="13605"/>
    <cellStyle name="RowTitles-Col2 2 10 5" xfId="13606"/>
    <cellStyle name="RowTitles-Col2 2 10_Tertiary Salaries Survey" xfId="13607"/>
    <cellStyle name="RowTitles-Col2 2 11" xfId="13608"/>
    <cellStyle name="RowTitles-Col2 2 11 2" xfId="13609"/>
    <cellStyle name="RowTitles-Col2 2 11 2 2" xfId="13610"/>
    <cellStyle name="RowTitles-Col2 2 11 2 2 2" xfId="13611"/>
    <cellStyle name="RowTitles-Col2 2 11 2 2_Tertiary Salaries Survey" xfId="13612"/>
    <cellStyle name="RowTitles-Col2 2 11 2 3" xfId="13613"/>
    <cellStyle name="RowTitles-Col2 2 11 2_Tertiary Salaries Survey" xfId="13614"/>
    <cellStyle name="RowTitles-Col2 2 11 3" xfId="13615"/>
    <cellStyle name="RowTitles-Col2 2 11 3 2" xfId="13616"/>
    <cellStyle name="RowTitles-Col2 2 11 3 2 2" xfId="13617"/>
    <cellStyle name="RowTitles-Col2 2 11 3 2_Tertiary Salaries Survey" xfId="13618"/>
    <cellStyle name="RowTitles-Col2 2 11 3 3" xfId="13619"/>
    <cellStyle name="RowTitles-Col2 2 11 3_Tertiary Salaries Survey" xfId="13620"/>
    <cellStyle name="RowTitles-Col2 2 11 4" xfId="13621"/>
    <cellStyle name="RowTitles-Col2 2 11 4 2" xfId="13622"/>
    <cellStyle name="RowTitles-Col2 2 11 4_Tertiary Salaries Survey" xfId="13623"/>
    <cellStyle name="RowTitles-Col2 2 11 5" xfId="13624"/>
    <cellStyle name="RowTitles-Col2 2 11_Tertiary Salaries Survey" xfId="13625"/>
    <cellStyle name="RowTitles-Col2 2 12" xfId="13626"/>
    <cellStyle name="RowTitles-Col2 2 12 2" xfId="13627"/>
    <cellStyle name="RowTitles-Col2 2 12 2 2" xfId="13628"/>
    <cellStyle name="RowTitles-Col2 2 12 2_Tertiary Salaries Survey" xfId="13629"/>
    <cellStyle name="RowTitles-Col2 2 12 3" xfId="13630"/>
    <cellStyle name="RowTitles-Col2 2 12_Tertiary Salaries Survey" xfId="13631"/>
    <cellStyle name="RowTitles-Col2 2 13" xfId="13632"/>
    <cellStyle name="RowTitles-Col2 2 14" xfId="13633"/>
    <cellStyle name="RowTitles-Col2 2 2" xfId="13634"/>
    <cellStyle name="RowTitles-Col2 2 2 10" xfId="13635"/>
    <cellStyle name="RowTitles-Col2 2 2 10 2" xfId="13636"/>
    <cellStyle name="RowTitles-Col2 2 2 10 2 2" xfId="13637"/>
    <cellStyle name="RowTitles-Col2 2 2 10 2 2 2" xfId="13638"/>
    <cellStyle name="RowTitles-Col2 2 2 10 2 2_Tertiary Salaries Survey" xfId="13639"/>
    <cellStyle name="RowTitles-Col2 2 2 10 2 3" xfId="13640"/>
    <cellStyle name="RowTitles-Col2 2 2 10 2_Tertiary Salaries Survey" xfId="13641"/>
    <cellStyle name="RowTitles-Col2 2 2 10 3" xfId="13642"/>
    <cellStyle name="RowTitles-Col2 2 2 10 3 2" xfId="13643"/>
    <cellStyle name="RowTitles-Col2 2 2 10 3 2 2" xfId="13644"/>
    <cellStyle name="RowTitles-Col2 2 2 10 3 2_Tertiary Salaries Survey" xfId="13645"/>
    <cellStyle name="RowTitles-Col2 2 2 10 3 3" xfId="13646"/>
    <cellStyle name="RowTitles-Col2 2 2 10 3_Tertiary Salaries Survey" xfId="13647"/>
    <cellStyle name="RowTitles-Col2 2 2 10 4" xfId="13648"/>
    <cellStyle name="RowTitles-Col2 2 2 10 4 2" xfId="13649"/>
    <cellStyle name="RowTitles-Col2 2 2 10 4_Tertiary Salaries Survey" xfId="13650"/>
    <cellStyle name="RowTitles-Col2 2 2 10 5" xfId="13651"/>
    <cellStyle name="RowTitles-Col2 2 2 10_Tertiary Salaries Survey" xfId="13652"/>
    <cellStyle name="RowTitles-Col2 2 2 11" xfId="13653"/>
    <cellStyle name="RowTitles-Col2 2 2 11 2" xfId="13654"/>
    <cellStyle name="RowTitles-Col2 2 2 11 2 2" xfId="13655"/>
    <cellStyle name="RowTitles-Col2 2 2 11 2_Tertiary Salaries Survey" xfId="13656"/>
    <cellStyle name="RowTitles-Col2 2 2 11 3" xfId="13657"/>
    <cellStyle name="RowTitles-Col2 2 2 11_Tertiary Salaries Survey" xfId="13658"/>
    <cellStyle name="RowTitles-Col2 2 2 12" xfId="13659"/>
    <cellStyle name="RowTitles-Col2 2 2 2" xfId="13660"/>
    <cellStyle name="RowTitles-Col2 2 2 2 10" xfId="13661"/>
    <cellStyle name="RowTitles-Col2 2 2 2 10 2" xfId="13662"/>
    <cellStyle name="RowTitles-Col2 2 2 2 10 2 2" xfId="13663"/>
    <cellStyle name="RowTitles-Col2 2 2 2 10 2_Tertiary Salaries Survey" xfId="13664"/>
    <cellStyle name="RowTitles-Col2 2 2 2 10 3" xfId="13665"/>
    <cellStyle name="RowTitles-Col2 2 2 2 10_Tertiary Salaries Survey" xfId="13666"/>
    <cellStyle name="RowTitles-Col2 2 2 2 11" xfId="13667"/>
    <cellStyle name="RowTitles-Col2 2 2 2 2" xfId="13668"/>
    <cellStyle name="RowTitles-Col2 2 2 2 2 2" xfId="13669"/>
    <cellStyle name="RowTitles-Col2 2 2 2 2 2 2" xfId="13670"/>
    <cellStyle name="RowTitles-Col2 2 2 2 2 2 2 2" xfId="13671"/>
    <cellStyle name="RowTitles-Col2 2 2 2 2 2 2 2 2" xfId="13672"/>
    <cellStyle name="RowTitles-Col2 2 2 2 2 2 2 2_Tertiary Salaries Survey" xfId="13673"/>
    <cellStyle name="RowTitles-Col2 2 2 2 2 2 2 3" xfId="13674"/>
    <cellStyle name="RowTitles-Col2 2 2 2 2 2 2_Tertiary Salaries Survey" xfId="13675"/>
    <cellStyle name="RowTitles-Col2 2 2 2 2 2 3" xfId="13676"/>
    <cellStyle name="RowTitles-Col2 2 2 2 2 2 3 2" xfId="13677"/>
    <cellStyle name="RowTitles-Col2 2 2 2 2 2 3 2 2" xfId="13678"/>
    <cellStyle name="RowTitles-Col2 2 2 2 2 2 3 2_Tertiary Salaries Survey" xfId="13679"/>
    <cellStyle name="RowTitles-Col2 2 2 2 2 2 3 3" xfId="13680"/>
    <cellStyle name="RowTitles-Col2 2 2 2 2 2 3_Tertiary Salaries Survey" xfId="13681"/>
    <cellStyle name="RowTitles-Col2 2 2 2 2 2 4" xfId="13682"/>
    <cellStyle name="RowTitles-Col2 2 2 2 2 2_Tertiary Salaries Survey" xfId="13683"/>
    <cellStyle name="RowTitles-Col2 2 2 2 2 3" xfId="13684"/>
    <cellStyle name="RowTitles-Col2 2 2 2 2 3 2" xfId="13685"/>
    <cellStyle name="RowTitles-Col2 2 2 2 2 3 2 2" xfId="13686"/>
    <cellStyle name="RowTitles-Col2 2 2 2 2 3 2 2 2" xfId="13687"/>
    <cellStyle name="RowTitles-Col2 2 2 2 2 3 2 2_Tertiary Salaries Survey" xfId="13688"/>
    <cellStyle name="RowTitles-Col2 2 2 2 2 3 2 3" xfId="13689"/>
    <cellStyle name="RowTitles-Col2 2 2 2 2 3 2_Tertiary Salaries Survey" xfId="13690"/>
    <cellStyle name="RowTitles-Col2 2 2 2 2 3 3" xfId="13691"/>
    <cellStyle name="RowTitles-Col2 2 2 2 2 3 3 2" xfId="13692"/>
    <cellStyle name="RowTitles-Col2 2 2 2 2 3 3 2 2" xfId="13693"/>
    <cellStyle name="RowTitles-Col2 2 2 2 2 3 3 2_Tertiary Salaries Survey" xfId="13694"/>
    <cellStyle name="RowTitles-Col2 2 2 2 2 3 3 3" xfId="13695"/>
    <cellStyle name="RowTitles-Col2 2 2 2 2 3 3_Tertiary Salaries Survey" xfId="13696"/>
    <cellStyle name="RowTitles-Col2 2 2 2 2 3 4" xfId="13697"/>
    <cellStyle name="RowTitles-Col2 2 2 2 2 3 5" xfId="13698"/>
    <cellStyle name="RowTitles-Col2 2 2 2 2 3 5 2" xfId="13699"/>
    <cellStyle name="RowTitles-Col2 2 2 2 2 3 5_Tertiary Salaries Survey" xfId="13700"/>
    <cellStyle name="RowTitles-Col2 2 2 2 2 3 6" xfId="13701"/>
    <cellStyle name="RowTitles-Col2 2 2 2 2 3_Tertiary Salaries Survey" xfId="13702"/>
    <cellStyle name="RowTitles-Col2 2 2 2 2 4" xfId="13703"/>
    <cellStyle name="RowTitles-Col2 2 2 2 2 4 2" xfId="13704"/>
    <cellStyle name="RowTitles-Col2 2 2 2 2 4 2 2" xfId="13705"/>
    <cellStyle name="RowTitles-Col2 2 2 2 2 4 2 2 2" xfId="13706"/>
    <cellStyle name="RowTitles-Col2 2 2 2 2 4 2 2_Tertiary Salaries Survey" xfId="13707"/>
    <cellStyle name="RowTitles-Col2 2 2 2 2 4 2 3" xfId="13708"/>
    <cellStyle name="RowTitles-Col2 2 2 2 2 4 2_Tertiary Salaries Survey" xfId="13709"/>
    <cellStyle name="RowTitles-Col2 2 2 2 2 4 3" xfId="13710"/>
    <cellStyle name="RowTitles-Col2 2 2 2 2 4 3 2" xfId="13711"/>
    <cellStyle name="RowTitles-Col2 2 2 2 2 4 3 2 2" xfId="13712"/>
    <cellStyle name="RowTitles-Col2 2 2 2 2 4 3 2_Tertiary Salaries Survey" xfId="13713"/>
    <cellStyle name="RowTitles-Col2 2 2 2 2 4 3 3" xfId="13714"/>
    <cellStyle name="RowTitles-Col2 2 2 2 2 4 3_Tertiary Salaries Survey" xfId="13715"/>
    <cellStyle name="RowTitles-Col2 2 2 2 2 4 4" xfId="13716"/>
    <cellStyle name="RowTitles-Col2 2 2 2 2 4 4 2" xfId="13717"/>
    <cellStyle name="RowTitles-Col2 2 2 2 2 4 4_Tertiary Salaries Survey" xfId="13718"/>
    <cellStyle name="RowTitles-Col2 2 2 2 2 4 5" xfId="13719"/>
    <cellStyle name="RowTitles-Col2 2 2 2 2 4_Tertiary Salaries Survey" xfId="13720"/>
    <cellStyle name="RowTitles-Col2 2 2 2 2 5" xfId="13721"/>
    <cellStyle name="RowTitles-Col2 2 2 2 2 5 2" xfId="13722"/>
    <cellStyle name="RowTitles-Col2 2 2 2 2 5 2 2" xfId="13723"/>
    <cellStyle name="RowTitles-Col2 2 2 2 2 5 2 2 2" xfId="13724"/>
    <cellStyle name="RowTitles-Col2 2 2 2 2 5 2 2_Tertiary Salaries Survey" xfId="13725"/>
    <cellStyle name="RowTitles-Col2 2 2 2 2 5 2 3" xfId="13726"/>
    <cellStyle name="RowTitles-Col2 2 2 2 2 5 2_Tertiary Salaries Survey" xfId="13727"/>
    <cellStyle name="RowTitles-Col2 2 2 2 2 5 3" xfId="13728"/>
    <cellStyle name="RowTitles-Col2 2 2 2 2 5 3 2" xfId="13729"/>
    <cellStyle name="RowTitles-Col2 2 2 2 2 5 3 2 2" xfId="13730"/>
    <cellStyle name="RowTitles-Col2 2 2 2 2 5 3 2_Tertiary Salaries Survey" xfId="13731"/>
    <cellStyle name="RowTitles-Col2 2 2 2 2 5 3 3" xfId="13732"/>
    <cellStyle name="RowTitles-Col2 2 2 2 2 5 3_Tertiary Salaries Survey" xfId="13733"/>
    <cellStyle name="RowTitles-Col2 2 2 2 2 5 4" xfId="13734"/>
    <cellStyle name="RowTitles-Col2 2 2 2 2 5 4 2" xfId="13735"/>
    <cellStyle name="RowTitles-Col2 2 2 2 2 5 4_Tertiary Salaries Survey" xfId="13736"/>
    <cellStyle name="RowTitles-Col2 2 2 2 2 5 5" xfId="13737"/>
    <cellStyle name="RowTitles-Col2 2 2 2 2 5_Tertiary Salaries Survey" xfId="13738"/>
    <cellStyle name="RowTitles-Col2 2 2 2 2 6" xfId="13739"/>
    <cellStyle name="RowTitles-Col2 2 2 2 2 6 2" xfId="13740"/>
    <cellStyle name="RowTitles-Col2 2 2 2 2 6 2 2" xfId="13741"/>
    <cellStyle name="RowTitles-Col2 2 2 2 2 6 2 2 2" xfId="13742"/>
    <cellStyle name="RowTitles-Col2 2 2 2 2 6 2 2_Tertiary Salaries Survey" xfId="13743"/>
    <cellStyle name="RowTitles-Col2 2 2 2 2 6 2 3" xfId="13744"/>
    <cellStyle name="RowTitles-Col2 2 2 2 2 6 2_Tertiary Salaries Survey" xfId="13745"/>
    <cellStyle name="RowTitles-Col2 2 2 2 2 6 3" xfId="13746"/>
    <cellStyle name="RowTitles-Col2 2 2 2 2 6 3 2" xfId="13747"/>
    <cellStyle name="RowTitles-Col2 2 2 2 2 6 3 2 2" xfId="13748"/>
    <cellStyle name="RowTitles-Col2 2 2 2 2 6 3 2_Tertiary Salaries Survey" xfId="13749"/>
    <cellStyle name="RowTitles-Col2 2 2 2 2 6 3 3" xfId="13750"/>
    <cellStyle name="RowTitles-Col2 2 2 2 2 6 3_Tertiary Salaries Survey" xfId="13751"/>
    <cellStyle name="RowTitles-Col2 2 2 2 2 6 4" xfId="13752"/>
    <cellStyle name="RowTitles-Col2 2 2 2 2 6 4 2" xfId="13753"/>
    <cellStyle name="RowTitles-Col2 2 2 2 2 6 4_Tertiary Salaries Survey" xfId="13754"/>
    <cellStyle name="RowTitles-Col2 2 2 2 2 6 5" xfId="13755"/>
    <cellStyle name="RowTitles-Col2 2 2 2 2 6_Tertiary Salaries Survey" xfId="13756"/>
    <cellStyle name="RowTitles-Col2 2 2 2 2 7" xfId="13757"/>
    <cellStyle name="RowTitles-Col2 2 2 2 2 7 2" xfId="13758"/>
    <cellStyle name="RowTitles-Col2 2 2 2 2 7 2 2" xfId="13759"/>
    <cellStyle name="RowTitles-Col2 2 2 2 2 7 2_Tertiary Salaries Survey" xfId="13760"/>
    <cellStyle name="RowTitles-Col2 2 2 2 2 7 3" xfId="13761"/>
    <cellStyle name="RowTitles-Col2 2 2 2 2 7_Tertiary Salaries Survey" xfId="13762"/>
    <cellStyle name="RowTitles-Col2 2 2 2 2 8" xfId="13763"/>
    <cellStyle name="RowTitles-Col2 2 2 2 2_STUD aligned by INSTIT" xfId="13764"/>
    <cellStyle name="RowTitles-Col2 2 2 2 3" xfId="13765"/>
    <cellStyle name="RowTitles-Col2 2 2 2 3 2" xfId="13766"/>
    <cellStyle name="RowTitles-Col2 2 2 2 3 2 2" xfId="13767"/>
    <cellStyle name="RowTitles-Col2 2 2 2 3 2 2 2" xfId="13768"/>
    <cellStyle name="RowTitles-Col2 2 2 2 3 2 2 2 2" xfId="13769"/>
    <cellStyle name="RowTitles-Col2 2 2 2 3 2 2 2_Tertiary Salaries Survey" xfId="13770"/>
    <cellStyle name="RowTitles-Col2 2 2 2 3 2 2 3" xfId="13771"/>
    <cellStyle name="RowTitles-Col2 2 2 2 3 2 2_Tertiary Salaries Survey" xfId="13772"/>
    <cellStyle name="RowTitles-Col2 2 2 2 3 2 3" xfId="13773"/>
    <cellStyle name="RowTitles-Col2 2 2 2 3 2 3 2" xfId="13774"/>
    <cellStyle name="RowTitles-Col2 2 2 2 3 2 3 2 2" xfId="13775"/>
    <cellStyle name="RowTitles-Col2 2 2 2 3 2 3 2_Tertiary Salaries Survey" xfId="13776"/>
    <cellStyle name="RowTitles-Col2 2 2 2 3 2 3 3" xfId="13777"/>
    <cellStyle name="RowTitles-Col2 2 2 2 3 2 3_Tertiary Salaries Survey" xfId="13778"/>
    <cellStyle name="RowTitles-Col2 2 2 2 3 2 4" xfId="13779"/>
    <cellStyle name="RowTitles-Col2 2 2 2 3 2 5" xfId="13780"/>
    <cellStyle name="RowTitles-Col2 2 2 2 3 2 5 2" xfId="13781"/>
    <cellStyle name="RowTitles-Col2 2 2 2 3 2 5_Tertiary Salaries Survey" xfId="13782"/>
    <cellStyle name="RowTitles-Col2 2 2 2 3 2 6" xfId="13783"/>
    <cellStyle name="RowTitles-Col2 2 2 2 3 2_Tertiary Salaries Survey" xfId="13784"/>
    <cellStyle name="RowTitles-Col2 2 2 2 3 3" xfId="13785"/>
    <cellStyle name="RowTitles-Col2 2 2 2 3 3 2" xfId="13786"/>
    <cellStyle name="RowTitles-Col2 2 2 2 3 3 2 2" xfId="13787"/>
    <cellStyle name="RowTitles-Col2 2 2 2 3 3 2 2 2" xfId="13788"/>
    <cellStyle name="RowTitles-Col2 2 2 2 3 3 2 2_Tertiary Salaries Survey" xfId="13789"/>
    <cellStyle name="RowTitles-Col2 2 2 2 3 3 2 3" xfId="13790"/>
    <cellStyle name="RowTitles-Col2 2 2 2 3 3 2_Tertiary Salaries Survey" xfId="13791"/>
    <cellStyle name="RowTitles-Col2 2 2 2 3 3 3" xfId="13792"/>
    <cellStyle name="RowTitles-Col2 2 2 2 3 3 3 2" xfId="13793"/>
    <cellStyle name="RowTitles-Col2 2 2 2 3 3 3 2 2" xfId="13794"/>
    <cellStyle name="RowTitles-Col2 2 2 2 3 3 3 2_Tertiary Salaries Survey" xfId="13795"/>
    <cellStyle name="RowTitles-Col2 2 2 2 3 3 3 3" xfId="13796"/>
    <cellStyle name="RowTitles-Col2 2 2 2 3 3 3_Tertiary Salaries Survey" xfId="13797"/>
    <cellStyle name="RowTitles-Col2 2 2 2 3 3 4" xfId="13798"/>
    <cellStyle name="RowTitles-Col2 2 2 2 3 3_Tertiary Salaries Survey" xfId="13799"/>
    <cellStyle name="RowTitles-Col2 2 2 2 3 4" xfId="13800"/>
    <cellStyle name="RowTitles-Col2 2 2 2 3 4 2" xfId="13801"/>
    <cellStyle name="RowTitles-Col2 2 2 2 3 4 2 2" xfId="13802"/>
    <cellStyle name="RowTitles-Col2 2 2 2 3 4 2 2 2" xfId="13803"/>
    <cellStyle name="RowTitles-Col2 2 2 2 3 4 2 2_Tertiary Salaries Survey" xfId="13804"/>
    <cellStyle name="RowTitles-Col2 2 2 2 3 4 2 3" xfId="13805"/>
    <cellStyle name="RowTitles-Col2 2 2 2 3 4 2_Tertiary Salaries Survey" xfId="13806"/>
    <cellStyle name="RowTitles-Col2 2 2 2 3 4 3" xfId="13807"/>
    <cellStyle name="RowTitles-Col2 2 2 2 3 4 3 2" xfId="13808"/>
    <cellStyle name="RowTitles-Col2 2 2 2 3 4 3 2 2" xfId="13809"/>
    <cellStyle name="RowTitles-Col2 2 2 2 3 4 3 2_Tertiary Salaries Survey" xfId="13810"/>
    <cellStyle name="RowTitles-Col2 2 2 2 3 4 3 3" xfId="13811"/>
    <cellStyle name="RowTitles-Col2 2 2 2 3 4 3_Tertiary Salaries Survey" xfId="13812"/>
    <cellStyle name="RowTitles-Col2 2 2 2 3 4 4" xfId="13813"/>
    <cellStyle name="RowTitles-Col2 2 2 2 3 4 4 2" xfId="13814"/>
    <cellStyle name="RowTitles-Col2 2 2 2 3 4 4_Tertiary Salaries Survey" xfId="13815"/>
    <cellStyle name="RowTitles-Col2 2 2 2 3 4 5" xfId="13816"/>
    <cellStyle name="RowTitles-Col2 2 2 2 3 4_Tertiary Salaries Survey" xfId="13817"/>
    <cellStyle name="RowTitles-Col2 2 2 2 3 5" xfId="13818"/>
    <cellStyle name="RowTitles-Col2 2 2 2 3 5 2" xfId="13819"/>
    <cellStyle name="RowTitles-Col2 2 2 2 3 5 2 2" xfId="13820"/>
    <cellStyle name="RowTitles-Col2 2 2 2 3 5 2 2 2" xfId="13821"/>
    <cellStyle name="RowTitles-Col2 2 2 2 3 5 2 2_Tertiary Salaries Survey" xfId="13822"/>
    <cellStyle name="RowTitles-Col2 2 2 2 3 5 2 3" xfId="13823"/>
    <cellStyle name="RowTitles-Col2 2 2 2 3 5 2_Tertiary Salaries Survey" xfId="13824"/>
    <cellStyle name="RowTitles-Col2 2 2 2 3 5 3" xfId="13825"/>
    <cellStyle name="RowTitles-Col2 2 2 2 3 5 3 2" xfId="13826"/>
    <cellStyle name="RowTitles-Col2 2 2 2 3 5 3 2 2" xfId="13827"/>
    <cellStyle name="RowTitles-Col2 2 2 2 3 5 3 2_Tertiary Salaries Survey" xfId="13828"/>
    <cellStyle name="RowTitles-Col2 2 2 2 3 5 3 3" xfId="13829"/>
    <cellStyle name="RowTitles-Col2 2 2 2 3 5 3_Tertiary Salaries Survey" xfId="13830"/>
    <cellStyle name="RowTitles-Col2 2 2 2 3 5 4" xfId="13831"/>
    <cellStyle name="RowTitles-Col2 2 2 2 3 5 4 2" xfId="13832"/>
    <cellStyle name="RowTitles-Col2 2 2 2 3 5 4_Tertiary Salaries Survey" xfId="13833"/>
    <cellStyle name="RowTitles-Col2 2 2 2 3 5 5" xfId="13834"/>
    <cellStyle name="RowTitles-Col2 2 2 2 3 5_Tertiary Salaries Survey" xfId="13835"/>
    <cellStyle name="RowTitles-Col2 2 2 2 3 6" xfId="13836"/>
    <cellStyle name="RowTitles-Col2 2 2 2 3 6 2" xfId="13837"/>
    <cellStyle name="RowTitles-Col2 2 2 2 3 6 2 2" xfId="13838"/>
    <cellStyle name="RowTitles-Col2 2 2 2 3 6 2 2 2" xfId="13839"/>
    <cellStyle name="RowTitles-Col2 2 2 2 3 6 2 2_Tertiary Salaries Survey" xfId="13840"/>
    <cellStyle name="RowTitles-Col2 2 2 2 3 6 2 3" xfId="13841"/>
    <cellStyle name="RowTitles-Col2 2 2 2 3 6 2_Tertiary Salaries Survey" xfId="13842"/>
    <cellStyle name="RowTitles-Col2 2 2 2 3 6 3" xfId="13843"/>
    <cellStyle name="RowTitles-Col2 2 2 2 3 6 3 2" xfId="13844"/>
    <cellStyle name="RowTitles-Col2 2 2 2 3 6 3 2 2" xfId="13845"/>
    <cellStyle name="RowTitles-Col2 2 2 2 3 6 3 2_Tertiary Salaries Survey" xfId="13846"/>
    <cellStyle name="RowTitles-Col2 2 2 2 3 6 3 3" xfId="13847"/>
    <cellStyle name="RowTitles-Col2 2 2 2 3 6 3_Tertiary Salaries Survey" xfId="13848"/>
    <cellStyle name="RowTitles-Col2 2 2 2 3 6 4" xfId="13849"/>
    <cellStyle name="RowTitles-Col2 2 2 2 3 6 4 2" xfId="13850"/>
    <cellStyle name="RowTitles-Col2 2 2 2 3 6 4_Tertiary Salaries Survey" xfId="13851"/>
    <cellStyle name="RowTitles-Col2 2 2 2 3 6 5" xfId="13852"/>
    <cellStyle name="RowTitles-Col2 2 2 2 3 6_Tertiary Salaries Survey" xfId="13853"/>
    <cellStyle name="RowTitles-Col2 2 2 2 3 7" xfId="13854"/>
    <cellStyle name="RowTitles-Col2 2 2 2 3 7 2" xfId="13855"/>
    <cellStyle name="RowTitles-Col2 2 2 2 3 7 2 2" xfId="13856"/>
    <cellStyle name="RowTitles-Col2 2 2 2 3 7 2_Tertiary Salaries Survey" xfId="13857"/>
    <cellStyle name="RowTitles-Col2 2 2 2 3 7 3" xfId="13858"/>
    <cellStyle name="RowTitles-Col2 2 2 2 3 7_Tertiary Salaries Survey" xfId="13859"/>
    <cellStyle name="RowTitles-Col2 2 2 2 3 8" xfId="13860"/>
    <cellStyle name="RowTitles-Col2 2 2 2 3 8 2" xfId="13861"/>
    <cellStyle name="RowTitles-Col2 2 2 2 3 8 2 2" xfId="13862"/>
    <cellStyle name="RowTitles-Col2 2 2 2 3 8 2_Tertiary Salaries Survey" xfId="13863"/>
    <cellStyle name="RowTitles-Col2 2 2 2 3 8 3" xfId="13864"/>
    <cellStyle name="RowTitles-Col2 2 2 2 3 8_Tertiary Salaries Survey" xfId="13865"/>
    <cellStyle name="RowTitles-Col2 2 2 2 3_STUD aligned by INSTIT" xfId="13866"/>
    <cellStyle name="RowTitles-Col2 2 2 2 4" xfId="13867"/>
    <cellStyle name="RowTitles-Col2 2 2 2 4 2" xfId="13868"/>
    <cellStyle name="RowTitles-Col2 2 2 2 4 2 2" xfId="13869"/>
    <cellStyle name="RowTitles-Col2 2 2 2 4 2 2 2" xfId="13870"/>
    <cellStyle name="RowTitles-Col2 2 2 2 4 2 2 2 2" xfId="13871"/>
    <cellStyle name="RowTitles-Col2 2 2 2 4 2 2 2_Tertiary Salaries Survey" xfId="13872"/>
    <cellStyle name="RowTitles-Col2 2 2 2 4 2 2 3" xfId="13873"/>
    <cellStyle name="RowTitles-Col2 2 2 2 4 2 2_Tertiary Salaries Survey" xfId="13874"/>
    <cellStyle name="RowTitles-Col2 2 2 2 4 2 3" xfId="13875"/>
    <cellStyle name="RowTitles-Col2 2 2 2 4 2 3 2" xfId="13876"/>
    <cellStyle name="RowTitles-Col2 2 2 2 4 2 3 2 2" xfId="13877"/>
    <cellStyle name="RowTitles-Col2 2 2 2 4 2 3 2_Tertiary Salaries Survey" xfId="13878"/>
    <cellStyle name="RowTitles-Col2 2 2 2 4 2 3 3" xfId="13879"/>
    <cellStyle name="RowTitles-Col2 2 2 2 4 2 3_Tertiary Salaries Survey" xfId="13880"/>
    <cellStyle name="RowTitles-Col2 2 2 2 4 2 4" xfId="13881"/>
    <cellStyle name="RowTitles-Col2 2 2 2 4 2 5" xfId="13882"/>
    <cellStyle name="RowTitles-Col2 2 2 2 4 2 5 2" xfId="13883"/>
    <cellStyle name="RowTitles-Col2 2 2 2 4 2 5_Tertiary Salaries Survey" xfId="13884"/>
    <cellStyle name="RowTitles-Col2 2 2 2 4 2_Tertiary Salaries Survey" xfId="13885"/>
    <cellStyle name="RowTitles-Col2 2 2 2 4 3" xfId="13886"/>
    <cellStyle name="RowTitles-Col2 2 2 2 4 3 2" xfId="13887"/>
    <cellStyle name="RowTitles-Col2 2 2 2 4 3 2 2" xfId="13888"/>
    <cellStyle name="RowTitles-Col2 2 2 2 4 3 2 2 2" xfId="13889"/>
    <cellStyle name="RowTitles-Col2 2 2 2 4 3 2 2_Tertiary Salaries Survey" xfId="13890"/>
    <cellStyle name="RowTitles-Col2 2 2 2 4 3 2 3" xfId="13891"/>
    <cellStyle name="RowTitles-Col2 2 2 2 4 3 2_Tertiary Salaries Survey" xfId="13892"/>
    <cellStyle name="RowTitles-Col2 2 2 2 4 3 3" xfId="13893"/>
    <cellStyle name="RowTitles-Col2 2 2 2 4 3 3 2" xfId="13894"/>
    <cellStyle name="RowTitles-Col2 2 2 2 4 3 3 2 2" xfId="13895"/>
    <cellStyle name="RowTitles-Col2 2 2 2 4 3 3 2_Tertiary Salaries Survey" xfId="13896"/>
    <cellStyle name="RowTitles-Col2 2 2 2 4 3 3 3" xfId="13897"/>
    <cellStyle name="RowTitles-Col2 2 2 2 4 3 3_Tertiary Salaries Survey" xfId="13898"/>
    <cellStyle name="RowTitles-Col2 2 2 2 4 3 4" xfId="13899"/>
    <cellStyle name="RowTitles-Col2 2 2 2 4 3 5" xfId="13900"/>
    <cellStyle name="RowTitles-Col2 2 2 2 4 3_Tertiary Salaries Survey" xfId="13901"/>
    <cellStyle name="RowTitles-Col2 2 2 2 4 4" xfId="13902"/>
    <cellStyle name="RowTitles-Col2 2 2 2 4 4 2" xfId="13903"/>
    <cellStyle name="RowTitles-Col2 2 2 2 4 4 2 2" xfId="13904"/>
    <cellStyle name="RowTitles-Col2 2 2 2 4 4 2 2 2" xfId="13905"/>
    <cellStyle name="RowTitles-Col2 2 2 2 4 4 2 2_Tertiary Salaries Survey" xfId="13906"/>
    <cellStyle name="RowTitles-Col2 2 2 2 4 4 2 3" xfId="13907"/>
    <cellStyle name="RowTitles-Col2 2 2 2 4 4 2_Tertiary Salaries Survey" xfId="13908"/>
    <cellStyle name="RowTitles-Col2 2 2 2 4 4 3" xfId="13909"/>
    <cellStyle name="RowTitles-Col2 2 2 2 4 4 3 2" xfId="13910"/>
    <cellStyle name="RowTitles-Col2 2 2 2 4 4 3 2 2" xfId="13911"/>
    <cellStyle name="RowTitles-Col2 2 2 2 4 4 3 2_Tertiary Salaries Survey" xfId="13912"/>
    <cellStyle name="RowTitles-Col2 2 2 2 4 4 3 3" xfId="13913"/>
    <cellStyle name="RowTitles-Col2 2 2 2 4 4 3_Tertiary Salaries Survey" xfId="13914"/>
    <cellStyle name="RowTitles-Col2 2 2 2 4 4 4" xfId="13915"/>
    <cellStyle name="RowTitles-Col2 2 2 2 4 4 5" xfId="13916"/>
    <cellStyle name="RowTitles-Col2 2 2 2 4 4 5 2" xfId="13917"/>
    <cellStyle name="RowTitles-Col2 2 2 2 4 4 5_Tertiary Salaries Survey" xfId="13918"/>
    <cellStyle name="RowTitles-Col2 2 2 2 4 4 6" xfId="13919"/>
    <cellStyle name="RowTitles-Col2 2 2 2 4 4_Tertiary Salaries Survey" xfId="13920"/>
    <cellStyle name="RowTitles-Col2 2 2 2 4 5" xfId="13921"/>
    <cellStyle name="RowTitles-Col2 2 2 2 4 5 2" xfId="13922"/>
    <cellStyle name="RowTitles-Col2 2 2 2 4 5 2 2" xfId="13923"/>
    <cellStyle name="RowTitles-Col2 2 2 2 4 5 2 2 2" xfId="13924"/>
    <cellStyle name="RowTitles-Col2 2 2 2 4 5 2 2_Tertiary Salaries Survey" xfId="13925"/>
    <cellStyle name="RowTitles-Col2 2 2 2 4 5 2 3" xfId="13926"/>
    <cellStyle name="RowTitles-Col2 2 2 2 4 5 2_Tertiary Salaries Survey" xfId="13927"/>
    <cellStyle name="RowTitles-Col2 2 2 2 4 5 3" xfId="13928"/>
    <cellStyle name="RowTitles-Col2 2 2 2 4 5 3 2" xfId="13929"/>
    <cellStyle name="RowTitles-Col2 2 2 2 4 5 3 2 2" xfId="13930"/>
    <cellStyle name="RowTitles-Col2 2 2 2 4 5 3 2_Tertiary Salaries Survey" xfId="13931"/>
    <cellStyle name="RowTitles-Col2 2 2 2 4 5 3 3" xfId="13932"/>
    <cellStyle name="RowTitles-Col2 2 2 2 4 5 3_Tertiary Salaries Survey" xfId="13933"/>
    <cellStyle name="RowTitles-Col2 2 2 2 4 5 4" xfId="13934"/>
    <cellStyle name="RowTitles-Col2 2 2 2 4 5 4 2" xfId="13935"/>
    <cellStyle name="RowTitles-Col2 2 2 2 4 5 4_Tertiary Salaries Survey" xfId="13936"/>
    <cellStyle name="RowTitles-Col2 2 2 2 4 5 5" xfId="13937"/>
    <cellStyle name="RowTitles-Col2 2 2 2 4 5_Tertiary Salaries Survey" xfId="13938"/>
    <cellStyle name="RowTitles-Col2 2 2 2 4 6" xfId="13939"/>
    <cellStyle name="RowTitles-Col2 2 2 2 4 6 2" xfId="13940"/>
    <cellStyle name="RowTitles-Col2 2 2 2 4 6 2 2" xfId="13941"/>
    <cellStyle name="RowTitles-Col2 2 2 2 4 6 2 2 2" xfId="13942"/>
    <cellStyle name="RowTitles-Col2 2 2 2 4 6 2 2_Tertiary Salaries Survey" xfId="13943"/>
    <cellStyle name="RowTitles-Col2 2 2 2 4 6 2 3" xfId="13944"/>
    <cellStyle name="RowTitles-Col2 2 2 2 4 6 2_Tertiary Salaries Survey" xfId="13945"/>
    <cellStyle name="RowTitles-Col2 2 2 2 4 6 3" xfId="13946"/>
    <cellStyle name="RowTitles-Col2 2 2 2 4 6 3 2" xfId="13947"/>
    <cellStyle name="RowTitles-Col2 2 2 2 4 6 3 2 2" xfId="13948"/>
    <cellStyle name="RowTitles-Col2 2 2 2 4 6 3 2_Tertiary Salaries Survey" xfId="13949"/>
    <cellStyle name="RowTitles-Col2 2 2 2 4 6 3 3" xfId="13950"/>
    <cellStyle name="RowTitles-Col2 2 2 2 4 6 3_Tertiary Salaries Survey" xfId="13951"/>
    <cellStyle name="RowTitles-Col2 2 2 2 4 6 4" xfId="13952"/>
    <cellStyle name="RowTitles-Col2 2 2 2 4 6 4 2" xfId="13953"/>
    <cellStyle name="RowTitles-Col2 2 2 2 4 6 4_Tertiary Salaries Survey" xfId="13954"/>
    <cellStyle name="RowTitles-Col2 2 2 2 4 6 5" xfId="13955"/>
    <cellStyle name="RowTitles-Col2 2 2 2 4 6_Tertiary Salaries Survey" xfId="13956"/>
    <cellStyle name="RowTitles-Col2 2 2 2 4 7" xfId="13957"/>
    <cellStyle name="RowTitles-Col2 2 2 2 4 7 2" xfId="13958"/>
    <cellStyle name="RowTitles-Col2 2 2 2 4 7 2 2" xfId="13959"/>
    <cellStyle name="RowTitles-Col2 2 2 2 4 7 2_Tertiary Salaries Survey" xfId="13960"/>
    <cellStyle name="RowTitles-Col2 2 2 2 4 7 3" xfId="13961"/>
    <cellStyle name="RowTitles-Col2 2 2 2 4 7_Tertiary Salaries Survey" xfId="13962"/>
    <cellStyle name="RowTitles-Col2 2 2 2 4 8" xfId="13963"/>
    <cellStyle name="RowTitles-Col2 2 2 2 4_STUD aligned by INSTIT" xfId="13964"/>
    <cellStyle name="RowTitles-Col2 2 2 2 5" xfId="13965"/>
    <cellStyle name="RowTitles-Col2 2 2 2 5 2" xfId="13966"/>
    <cellStyle name="RowTitles-Col2 2 2 2 5 2 2" xfId="13967"/>
    <cellStyle name="RowTitles-Col2 2 2 2 5 2 2 2" xfId="13968"/>
    <cellStyle name="RowTitles-Col2 2 2 2 5 2 2_Tertiary Salaries Survey" xfId="13969"/>
    <cellStyle name="RowTitles-Col2 2 2 2 5 2 3" xfId="13970"/>
    <cellStyle name="RowTitles-Col2 2 2 2 5 2_Tertiary Salaries Survey" xfId="13971"/>
    <cellStyle name="RowTitles-Col2 2 2 2 5 3" xfId="13972"/>
    <cellStyle name="RowTitles-Col2 2 2 2 5 3 2" xfId="13973"/>
    <cellStyle name="RowTitles-Col2 2 2 2 5 3 2 2" xfId="13974"/>
    <cellStyle name="RowTitles-Col2 2 2 2 5 3 2_Tertiary Salaries Survey" xfId="13975"/>
    <cellStyle name="RowTitles-Col2 2 2 2 5 3 3" xfId="13976"/>
    <cellStyle name="RowTitles-Col2 2 2 2 5 3_Tertiary Salaries Survey" xfId="13977"/>
    <cellStyle name="RowTitles-Col2 2 2 2 5 4" xfId="13978"/>
    <cellStyle name="RowTitles-Col2 2 2 2 5 5" xfId="13979"/>
    <cellStyle name="RowTitles-Col2 2 2 2 5 5 2" xfId="13980"/>
    <cellStyle name="RowTitles-Col2 2 2 2 5 5_Tertiary Salaries Survey" xfId="13981"/>
    <cellStyle name="RowTitles-Col2 2 2 2 5_Tertiary Salaries Survey" xfId="13982"/>
    <cellStyle name="RowTitles-Col2 2 2 2 6" xfId="13983"/>
    <cellStyle name="RowTitles-Col2 2 2 2 6 2" xfId="13984"/>
    <cellStyle name="RowTitles-Col2 2 2 2 6 2 2" xfId="13985"/>
    <cellStyle name="RowTitles-Col2 2 2 2 6 2 2 2" xfId="13986"/>
    <cellStyle name="RowTitles-Col2 2 2 2 6 2 2_Tertiary Salaries Survey" xfId="13987"/>
    <cellStyle name="RowTitles-Col2 2 2 2 6 2 3" xfId="13988"/>
    <cellStyle name="RowTitles-Col2 2 2 2 6 2_Tertiary Salaries Survey" xfId="13989"/>
    <cellStyle name="RowTitles-Col2 2 2 2 6 3" xfId="13990"/>
    <cellStyle name="RowTitles-Col2 2 2 2 6 3 2" xfId="13991"/>
    <cellStyle name="RowTitles-Col2 2 2 2 6 3 2 2" xfId="13992"/>
    <cellStyle name="RowTitles-Col2 2 2 2 6 3 2_Tertiary Salaries Survey" xfId="13993"/>
    <cellStyle name="RowTitles-Col2 2 2 2 6 3 3" xfId="13994"/>
    <cellStyle name="RowTitles-Col2 2 2 2 6 3_Tertiary Salaries Survey" xfId="13995"/>
    <cellStyle name="RowTitles-Col2 2 2 2 6 4" xfId="13996"/>
    <cellStyle name="RowTitles-Col2 2 2 2 6 5" xfId="13997"/>
    <cellStyle name="RowTitles-Col2 2 2 2 6_Tertiary Salaries Survey" xfId="13998"/>
    <cellStyle name="RowTitles-Col2 2 2 2 7" xfId="13999"/>
    <cellStyle name="RowTitles-Col2 2 2 2 7 2" xfId="14000"/>
    <cellStyle name="RowTitles-Col2 2 2 2 7 2 2" xfId="14001"/>
    <cellStyle name="RowTitles-Col2 2 2 2 7 2 2 2" xfId="14002"/>
    <cellStyle name="RowTitles-Col2 2 2 2 7 2 2_Tertiary Salaries Survey" xfId="14003"/>
    <cellStyle name="RowTitles-Col2 2 2 2 7 2 3" xfId="14004"/>
    <cellStyle name="RowTitles-Col2 2 2 2 7 2_Tertiary Salaries Survey" xfId="14005"/>
    <cellStyle name="RowTitles-Col2 2 2 2 7 3" xfId="14006"/>
    <cellStyle name="RowTitles-Col2 2 2 2 7 3 2" xfId="14007"/>
    <cellStyle name="RowTitles-Col2 2 2 2 7 3 2 2" xfId="14008"/>
    <cellStyle name="RowTitles-Col2 2 2 2 7 3 2_Tertiary Salaries Survey" xfId="14009"/>
    <cellStyle name="RowTitles-Col2 2 2 2 7 3 3" xfId="14010"/>
    <cellStyle name="RowTitles-Col2 2 2 2 7 3_Tertiary Salaries Survey" xfId="14011"/>
    <cellStyle name="RowTitles-Col2 2 2 2 7 4" xfId="14012"/>
    <cellStyle name="RowTitles-Col2 2 2 2 7 5" xfId="14013"/>
    <cellStyle name="RowTitles-Col2 2 2 2 7 5 2" xfId="14014"/>
    <cellStyle name="RowTitles-Col2 2 2 2 7 5_Tertiary Salaries Survey" xfId="14015"/>
    <cellStyle name="RowTitles-Col2 2 2 2 7 6" xfId="14016"/>
    <cellStyle name="RowTitles-Col2 2 2 2 7_Tertiary Salaries Survey" xfId="14017"/>
    <cellStyle name="RowTitles-Col2 2 2 2 8" xfId="14018"/>
    <cellStyle name="RowTitles-Col2 2 2 2 8 2" xfId="14019"/>
    <cellStyle name="RowTitles-Col2 2 2 2 8 2 2" xfId="14020"/>
    <cellStyle name="RowTitles-Col2 2 2 2 8 2 2 2" xfId="14021"/>
    <cellStyle name="RowTitles-Col2 2 2 2 8 2 2_Tertiary Salaries Survey" xfId="14022"/>
    <cellStyle name="RowTitles-Col2 2 2 2 8 2 3" xfId="14023"/>
    <cellStyle name="RowTitles-Col2 2 2 2 8 2_Tertiary Salaries Survey" xfId="14024"/>
    <cellStyle name="RowTitles-Col2 2 2 2 8 3" xfId="14025"/>
    <cellStyle name="RowTitles-Col2 2 2 2 8 3 2" xfId="14026"/>
    <cellStyle name="RowTitles-Col2 2 2 2 8 3 2 2" xfId="14027"/>
    <cellStyle name="RowTitles-Col2 2 2 2 8 3 2_Tertiary Salaries Survey" xfId="14028"/>
    <cellStyle name="RowTitles-Col2 2 2 2 8 3 3" xfId="14029"/>
    <cellStyle name="RowTitles-Col2 2 2 2 8 3_Tertiary Salaries Survey" xfId="14030"/>
    <cellStyle name="RowTitles-Col2 2 2 2 8 4" xfId="14031"/>
    <cellStyle name="RowTitles-Col2 2 2 2 8 4 2" xfId="14032"/>
    <cellStyle name="RowTitles-Col2 2 2 2 8 4_Tertiary Salaries Survey" xfId="14033"/>
    <cellStyle name="RowTitles-Col2 2 2 2 8 5" xfId="14034"/>
    <cellStyle name="RowTitles-Col2 2 2 2 8_Tertiary Salaries Survey" xfId="14035"/>
    <cellStyle name="RowTitles-Col2 2 2 2 9" xfId="14036"/>
    <cellStyle name="RowTitles-Col2 2 2 2 9 2" xfId="14037"/>
    <cellStyle name="RowTitles-Col2 2 2 2 9 2 2" xfId="14038"/>
    <cellStyle name="RowTitles-Col2 2 2 2 9 2 2 2" xfId="14039"/>
    <cellStyle name="RowTitles-Col2 2 2 2 9 2 2_Tertiary Salaries Survey" xfId="14040"/>
    <cellStyle name="RowTitles-Col2 2 2 2 9 2 3" xfId="14041"/>
    <cellStyle name="RowTitles-Col2 2 2 2 9 2_Tertiary Salaries Survey" xfId="14042"/>
    <cellStyle name="RowTitles-Col2 2 2 2 9 3" xfId="14043"/>
    <cellStyle name="RowTitles-Col2 2 2 2 9 3 2" xfId="14044"/>
    <cellStyle name="RowTitles-Col2 2 2 2 9 3 2 2" xfId="14045"/>
    <cellStyle name="RowTitles-Col2 2 2 2 9 3 2_Tertiary Salaries Survey" xfId="14046"/>
    <cellStyle name="RowTitles-Col2 2 2 2 9 3 3" xfId="14047"/>
    <cellStyle name="RowTitles-Col2 2 2 2 9 3_Tertiary Salaries Survey" xfId="14048"/>
    <cellStyle name="RowTitles-Col2 2 2 2 9 4" xfId="14049"/>
    <cellStyle name="RowTitles-Col2 2 2 2 9 4 2" xfId="14050"/>
    <cellStyle name="RowTitles-Col2 2 2 2 9 4_Tertiary Salaries Survey" xfId="14051"/>
    <cellStyle name="RowTitles-Col2 2 2 2 9 5" xfId="14052"/>
    <cellStyle name="RowTitles-Col2 2 2 2 9_Tertiary Salaries Survey" xfId="14053"/>
    <cellStyle name="RowTitles-Col2 2 2 2_STUD aligned by INSTIT" xfId="14054"/>
    <cellStyle name="RowTitles-Col2 2 2 3" xfId="14055"/>
    <cellStyle name="RowTitles-Col2 2 2 3 2" xfId="14056"/>
    <cellStyle name="RowTitles-Col2 2 2 3 2 2" xfId="14057"/>
    <cellStyle name="RowTitles-Col2 2 2 3 2 2 2" xfId="14058"/>
    <cellStyle name="RowTitles-Col2 2 2 3 2 2 2 2" xfId="14059"/>
    <cellStyle name="RowTitles-Col2 2 2 3 2 2 2_Tertiary Salaries Survey" xfId="14060"/>
    <cellStyle name="RowTitles-Col2 2 2 3 2 2 3" xfId="14061"/>
    <cellStyle name="RowTitles-Col2 2 2 3 2 2_Tertiary Salaries Survey" xfId="14062"/>
    <cellStyle name="RowTitles-Col2 2 2 3 2 3" xfId="14063"/>
    <cellStyle name="RowTitles-Col2 2 2 3 2 3 2" xfId="14064"/>
    <cellStyle name="RowTitles-Col2 2 2 3 2 3 2 2" xfId="14065"/>
    <cellStyle name="RowTitles-Col2 2 2 3 2 3 2_Tertiary Salaries Survey" xfId="14066"/>
    <cellStyle name="RowTitles-Col2 2 2 3 2 3 3" xfId="14067"/>
    <cellStyle name="RowTitles-Col2 2 2 3 2 3_Tertiary Salaries Survey" xfId="14068"/>
    <cellStyle name="RowTitles-Col2 2 2 3 2 4" xfId="14069"/>
    <cellStyle name="RowTitles-Col2 2 2 3 2_Tertiary Salaries Survey" xfId="14070"/>
    <cellStyle name="RowTitles-Col2 2 2 3 3" xfId="14071"/>
    <cellStyle name="RowTitles-Col2 2 2 3 3 2" xfId="14072"/>
    <cellStyle name="RowTitles-Col2 2 2 3 3 2 2" xfId="14073"/>
    <cellStyle name="RowTitles-Col2 2 2 3 3 2 2 2" xfId="14074"/>
    <cellStyle name="RowTitles-Col2 2 2 3 3 2 2_Tertiary Salaries Survey" xfId="14075"/>
    <cellStyle name="RowTitles-Col2 2 2 3 3 2 3" xfId="14076"/>
    <cellStyle name="RowTitles-Col2 2 2 3 3 2_Tertiary Salaries Survey" xfId="14077"/>
    <cellStyle name="RowTitles-Col2 2 2 3 3 3" xfId="14078"/>
    <cellStyle name="RowTitles-Col2 2 2 3 3 3 2" xfId="14079"/>
    <cellStyle name="RowTitles-Col2 2 2 3 3 3 2 2" xfId="14080"/>
    <cellStyle name="RowTitles-Col2 2 2 3 3 3 2_Tertiary Salaries Survey" xfId="14081"/>
    <cellStyle name="RowTitles-Col2 2 2 3 3 3 3" xfId="14082"/>
    <cellStyle name="RowTitles-Col2 2 2 3 3 3_Tertiary Salaries Survey" xfId="14083"/>
    <cellStyle name="RowTitles-Col2 2 2 3 3 4" xfId="14084"/>
    <cellStyle name="RowTitles-Col2 2 2 3 3 5" xfId="14085"/>
    <cellStyle name="RowTitles-Col2 2 2 3 3 5 2" xfId="14086"/>
    <cellStyle name="RowTitles-Col2 2 2 3 3 5_Tertiary Salaries Survey" xfId="14087"/>
    <cellStyle name="RowTitles-Col2 2 2 3 3 6" xfId="14088"/>
    <cellStyle name="RowTitles-Col2 2 2 3 3_Tertiary Salaries Survey" xfId="14089"/>
    <cellStyle name="RowTitles-Col2 2 2 3 4" xfId="14090"/>
    <cellStyle name="RowTitles-Col2 2 2 3 4 2" xfId="14091"/>
    <cellStyle name="RowTitles-Col2 2 2 3 4 2 2" xfId="14092"/>
    <cellStyle name="RowTitles-Col2 2 2 3 4 2 2 2" xfId="14093"/>
    <cellStyle name="RowTitles-Col2 2 2 3 4 2 2_Tertiary Salaries Survey" xfId="14094"/>
    <cellStyle name="RowTitles-Col2 2 2 3 4 2 3" xfId="14095"/>
    <cellStyle name="RowTitles-Col2 2 2 3 4 2_Tertiary Salaries Survey" xfId="14096"/>
    <cellStyle name="RowTitles-Col2 2 2 3 4 3" xfId="14097"/>
    <cellStyle name="RowTitles-Col2 2 2 3 4 3 2" xfId="14098"/>
    <cellStyle name="RowTitles-Col2 2 2 3 4 3 2 2" xfId="14099"/>
    <cellStyle name="RowTitles-Col2 2 2 3 4 3 2_Tertiary Salaries Survey" xfId="14100"/>
    <cellStyle name="RowTitles-Col2 2 2 3 4 3 3" xfId="14101"/>
    <cellStyle name="RowTitles-Col2 2 2 3 4 3_Tertiary Salaries Survey" xfId="14102"/>
    <cellStyle name="RowTitles-Col2 2 2 3 4 4" xfId="14103"/>
    <cellStyle name="RowTitles-Col2 2 2 3 4 4 2" xfId="14104"/>
    <cellStyle name="RowTitles-Col2 2 2 3 4 4_Tertiary Salaries Survey" xfId="14105"/>
    <cellStyle name="RowTitles-Col2 2 2 3 4 5" xfId="14106"/>
    <cellStyle name="RowTitles-Col2 2 2 3 4_Tertiary Salaries Survey" xfId="14107"/>
    <cellStyle name="RowTitles-Col2 2 2 3 5" xfId="14108"/>
    <cellStyle name="RowTitles-Col2 2 2 3 5 2" xfId="14109"/>
    <cellStyle name="RowTitles-Col2 2 2 3 5 2 2" xfId="14110"/>
    <cellStyle name="RowTitles-Col2 2 2 3 5 2 2 2" xfId="14111"/>
    <cellStyle name="RowTitles-Col2 2 2 3 5 2 2_Tertiary Salaries Survey" xfId="14112"/>
    <cellStyle name="RowTitles-Col2 2 2 3 5 2 3" xfId="14113"/>
    <cellStyle name="RowTitles-Col2 2 2 3 5 2_Tertiary Salaries Survey" xfId="14114"/>
    <cellStyle name="RowTitles-Col2 2 2 3 5 3" xfId="14115"/>
    <cellStyle name="RowTitles-Col2 2 2 3 5 3 2" xfId="14116"/>
    <cellStyle name="RowTitles-Col2 2 2 3 5 3 2 2" xfId="14117"/>
    <cellStyle name="RowTitles-Col2 2 2 3 5 3 2_Tertiary Salaries Survey" xfId="14118"/>
    <cellStyle name="RowTitles-Col2 2 2 3 5 3 3" xfId="14119"/>
    <cellStyle name="RowTitles-Col2 2 2 3 5 3_Tertiary Salaries Survey" xfId="14120"/>
    <cellStyle name="RowTitles-Col2 2 2 3 5 4" xfId="14121"/>
    <cellStyle name="RowTitles-Col2 2 2 3 5 4 2" xfId="14122"/>
    <cellStyle name="RowTitles-Col2 2 2 3 5 4_Tertiary Salaries Survey" xfId="14123"/>
    <cellStyle name="RowTitles-Col2 2 2 3 5 5" xfId="14124"/>
    <cellStyle name="RowTitles-Col2 2 2 3 5_Tertiary Salaries Survey" xfId="14125"/>
    <cellStyle name="RowTitles-Col2 2 2 3 6" xfId="14126"/>
    <cellStyle name="RowTitles-Col2 2 2 3 6 2" xfId="14127"/>
    <cellStyle name="RowTitles-Col2 2 2 3 6 2 2" xfId="14128"/>
    <cellStyle name="RowTitles-Col2 2 2 3 6 2 2 2" xfId="14129"/>
    <cellStyle name="RowTitles-Col2 2 2 3 6 2 2_Tertiary Salaries Survey" xfId="14130"/>
    <cellStyle name="RowTitles-Col2 2 2 3 6 2 3" xfId="14131"/>
    <cellStyle name="RowTitles-Col2 2 2 3 6 2_Tertiary Salaries Survey" xfId="14132"/>
    <cellStyle name="RowTitles-Col2 2 2 3 6 3" xfId="14133"/>
    <cellStyle name="RowTitles-Col2 2 2 3 6 3 2" xfId="14134"/>
    <cellStyle name="RowTitles-Col2 2 2 3 6 3 2 2" xfId="14135"/>
    <cellStyle name="RowTitles-Col2 2 2 3 6 3 2_Tertiary Salaries Survey" xfId="14136"/>
    <cellStyle name="RowTitles-Col2 2 2 3 6 3 3" xfId="14137"/>
    <cellStyle name="RowTitles-Col2 2 2 3 6 3_Tertiary Salaries Survey" xfId="14138"/>
    <cellStyle name="RowTitles-Col2 2 2 3 6 4" xfId="14139"/>
    <cellStyle name="RowTitles-Col2 2 2 3 6 4 2" xfId="14140"/>
    <cellStyle name="RowTitles-Col2 2 2 3 6 4_Tertiary Salaries Survey" xfId="14141"/>
    <cellStyle name="RowTitles-Col2 2 2 3 6 5" xfId="14142"/>
    <cellStyle name="RowTitles-Col2 2 2 3 6_Tertiary Salaries Survey" xfId="14143"/>
    <cellStyle name="RowTitles-Col2 2 2 3 7" xfId="14144"/>
    <cellStyle name="RowTitles-Col2 2 2 3 7 2" xfId="14145"/>
    <cellStyle name="RowTitles-Col2 2 2 3 7 2 2" xfId="14146"/>
    <cellStyle name="RowTitles-Col2 2 2 3 7 2_Tertiary Salaries Survey" xfId="14147"/>
    <cellStyle name="RowTitles-Col2 2 2 3 7 3" xfId="14148"/>
    <cellStyle name="RowTitles-Col2 2 2 3 7_Tertiary Salaries Survey" xfId="14149"/>
    <cellStyle name="RowTitles-Col2 2 2 3 8" xfId="14150"/>
    <cellStyle name="RowTitles-Col2 2 2 3_STUD aligned by INSTIT" xfId="14151"/>
    <cellStyle name="RowTitles-Col2 2 2 4" xfId="14152"/>
    <cellStyle name="RowTitles-Col2 2 2 4 2" xfId="14153"/>
    <cellStyle name="RowTitles-Col2 2 2 4 2 2" xfId="14154"/>
    <cellStyle name="RowTitles-Col2 2 2 4 2 2 2" xfId="14155"/>
    <cellStyle name="RowTitles-Col2 2 2 4 2 2 2 2" xfId="14156"/>
    <cellStyle name="RowTitles-Col2 2 2 4 2 2 2_Tertiary Salaries Survey" xfId="14157"/>
    <cellStyle name="RowTitles-Col2 2 2 4 2 2 3" xfId="14158"/>
    <cellStyle name="RowTitles-Col2 2 2 4 2 2_Tertiary Salaries Survey" xfId="14159"/>
    <cellStyle name="RowTitles-Col2 2 2 4 2 3" xfId="14160"/>
    <cellStyle name="RowTitles-Col2 2 2 4 2 3 2" xfId="14161"/>
    <cellStyle name="RowTitles-Col2 2 2 4 2 3 2 2" xfId="14162"/>
    <cellStyle name="RowTitles-Col2 2 2 4 2 3 2_Tertiary Salaries Survey" xfId="14163"/>
    <cellStyle name="RowTitles-Col2 2 2 4 2 3 3" xfId="14164"/>
    <cellStyle name="RowTitles-Col2 2 2 4 2 3_Tertiary Salaries Survey" xfId="14165"/>
    <cellStyle name="RowTitles-Col2 2 2 4 2 4" xfId="14166"/>
    <cellStyle name="RowTitles-Col2 2 2 4 2 5" xfId="14167"/>
    <cellStyle name="RowTitles-Col2 2 2 4 2 5 2" xfId="14168"/>
    <cellStyle name="RowTitles-Col2 2 2 4 2 5_Tertiary Salaries Survey" xfId="14169"/>
    <cellStyle name="RowTitles-Col2 2 2 4 2 6" xfId="14170"/>
    <cellStyle name="RowTitles-Col2 2 2 4 2_Tertiary Salaries Survey" xfId="14171"/>
    <cellStyle name="RowTitles-Col2 2 2 4 3" xfId="14172"/>
    <cellStyle name="RowTitles-Col2 2 2 4 3 2" xfId="14173"/>
    <cellStyle name="RowTitles-Col2 2 2 4 3 2 2" xfId="14174"/>
    <cellStyle name="RowTitles-Col2 2 2 4 3 2 2 2" xfId="14175"/>
    <cellStyle name="RowTitles-Col2 2 2 4 3 2 2_Tertiary Salaries Survey" xfId="14176"/>
    <cellStyle name="RowTitles-Col2 2 2 4 3 2 3" xfId="14177"/>
    <cellStyle name="RowTitles-Col2 2 2 4 3 2_Tertiary Salaries Survey" xfId="14178"/>
    <cellStyle name="RowTitles-Col2 2 2 4 3 3" xfId="14179"/>
    <cellStyle name="RowTitles-Col2 2 2 4 3 3 2" xfId="14180"/>
    <cellStyle name="RowTitles-Col2 2 2 4 3 3 2 2" xfId="14181"/>
    <cellStyle name="RowTitles-Col2 2 2 4 3 3 2_Tertiary Salaries Survey" xfId="14182"/>
    <cellStyle name="RowTitles-Col2 2 2 4 3 3 3" xfId="14183"/>
    <cellStyle name="RowTitles-Col2 2 2 4 3 3_Tertiary Salaries Survey" xfId="14184"/>
    <cellStyle name="RowTitles-Col2 2 2 4 3 4" xfId="14185"/>
    <cellStyle name="RowTitles-Col2 2 2 4 3_Tertiary Salaries Survey" xfId="14186"/>
    <cellStyle name="RowTitles-Col2 2 2 4 4" xfId="14187"/>
    <cellStyle name="RowTitles-Col2 2 2 4 4 2" xfId="14188"/>
    <cellStyle name="RowTitles-Col2 2 2 4 4 2 2" xfId="14189"/>
    <cellStyle name="RowTitles-Col2 2 2 4 4 2 2 2" xfId="14190"/>
    <cellStyle name="RowTitles-Col2 2 2 4 4 2 2_Tertiary Salaries Survey" xfId="14191"/>
    <cellStyle name="RowTitles-Col2 2 2 4 4 2 3" xfId="14192"/>
    <cellStyle name="RowTitles-Col2 2 2 4 4 2_Tertiary Salaries Survey" xfId="14193"/>
    <cellStyle name="RowTitles-Col2 2 2 4 4 3" xfId="14194"/>
    <cellStyle name="RowTitles-Col2 2 2 4 4 3 2" xfId="14195"/>
    <cellStyle name="RowTitles-Col2 2 2 4 4 3 2 2" xfId="14196"/>
    <cellStyle name="RowTitles-Col2 2 2 4 4 3 2_Tertiary Salaries Survey" xfId="14197"/>
    <cellStyle name="RowTitles-Col2 2 2 4 4 3 3" xfId="14198"/>
    <cellStyle name="RowTitles-Col2 2 2 4 4 3_Tertiary Salaries Survey" xfId="14199"/>
    <cellStyle name="RowTitles-Col2 2 2 4 4 4" xfId="14200"/>
    <cellStyle name="RowTitles-Col2 2 2 4 4 4 2" xfId="14201"/>
    <cellStyle name="RowTitles-Col2 2 2 4 4 4_Tertiary Salaries Survey" xfId="14202"/>
    <cellStyle name="RowTitles-Col2 2 2 4 4 5" xfId="14203"/>
    <cellStyle name="RowTitles-Col2 2 2 4 4_Tertiary Salaries Survey" xfId="14204"/>
    <cellStyle name="RowTitles-Col2 2 2 4 5" xfId="14205"/>
    <cellStyle name="RowTitles-Col2 2 2 4 5 2" xfId="14206"/>
    <cellStyle name="RowTitles-Col2 2 2 4 5 2 2" xfId="14207"/>
    <cellStyle name="RowTitles-Col2 2 2 4 5 2 2 2" xfId="14208"/>
    <cellStyle name="RowTitles-Col2 2 2 4 5 2 2_Tertiary Salaries Survey" xfId="14209"/>
    <cellStyle name="RowTitles-Col2 2 2 4 5 2 3" xfId="14210"/>
    <cellStyle name="RowTitles-Col2 2 2 4 5 2_Tertiary Salaries Survey" xfId="14211"/>
    <cellStyle name="RowTitles-Col2 2 2 4 5 3" xfId="14212"/>
    <cellStyle name="RowTitles-Col2 2 2 4 5 3 2" xfId="14213"/>
    <cellStyle name="RowTitles-Col2 2 2 4 5 3 2 2" xfId="14214"/>
    <cellStyle name="RowTitles-Col2 2 2 4 5 3 2_Tertiary Salaries Survey" xfId="14215"/>
    <cellStyle name="RowTitles-Col2 2 2 4 5 3 3" xfId="14216"/>
    <cellStyle name="RowTitles-Col2 2 2 4 5 3_Tertiary Salaries Survey" xfId="14217"/>
    <cellStyle name="RowTitles-Col2 2 2 4 5 4" xfId="14218"/>
    <cellStyle name="RowTitles-Col2 2 2 4 5 4 2" xfId="14219"/>
    <cellStyle name="RowTitles-Col2 2 2 4 5 4_Tertiary Salaries Survey" xfId="14220"/>
    <cellStyle name="RowTitles-Col2 2 2 4 5 5" xfId="14221"/>
    <cellStyle name="RowTitles-Col2 2 2 4 5_Tertiary Salaries Survey" xfId="14222"/>
    <cellStyle name="RowTitles-Col2 2 2 4 6" xfId="14223"/>
    <cellStyle name="RowTitles-Col2 2 2 4 6 2" xfId="14224"/>
    <cellStyle name="RowTitles-Col2 2 2 4 6 2 2" xfId="14225"/>
    <cellStyle name="RowTitles-Col2 2 2 4 6 2 2 2" xfId="14226"/>
    <cellStyle name="RowTitles-Col2 2 2 4 6 2 2_Tertiary Salaries Survey" xfId="14227"/>
    <cellStyle name="RowTitles-Col2 2 2 4 6 2 3" xfId="14228"/>
    <cellStyle name="RowTitles-Col2 2 2 4 6 2_Tertiary Salaries Survey" xfId="14229"/>
    <cellStyle name="RowTitles-Col2 2 2 4 6 3" xfId="14230"/>
    <cellStyle name="RowTitles-Col2 2 2 4 6 3 2" xfId="14231"/>
    <cellStyle name="RowTitles-Col2 2 2 4 6 3 2 2" xfId="14232"/>
    <cellStyle name="RowTitles-Col2 2 2 4 6 3 2_Tertiary Salaries Survey" xfId="14233"/>
    <cellStyle name="RowTitles-Col2 2 2 4 6 3 3" xfId="14234"/>
    <cellStyle name="RowTitles-Col2 2 2 4 6 3_Tertiary Salaries Survey" xfId="14235"/>
    <cellStyle name="RowTitles-Col2 2 2 4 6 4" xfId="14236"/>
    <cellStyle name="RowTitles-Col2 2 2 4 6 4 2" xfId="14237"/>
    <cellStyle name="RowTitles-Col2 2 2 4 6 4_Tertiary Salaries Survey" xfId="14238"/>
    <cellStyle name="RowTitles-Col2 2 2 4 6 5" xfId="14239"/>
    <cellStyle name="RowTitles-Col2 2 2 4 6_Tertiary Salaries Survey" xfId="14240"/>
    <cellStyle name="RowTitles-Col2 2 2 4 7" xfId="14241"/>
    <cellStyle name="RowTitles-Col2 2 2 4 7 2" xfId="14242"/>
    <cellStyle name="RowTitles-Col2 2 2 4 7 2 2" xfId="14243"/>
    <cellStyle name="RowTitles-Col2 2 2 4 7 2_Tertiary Salaries Survey" xfId="14244"/>
    <cellStyle name="RowTitles-Col2 2 2 4 7 3" xfId="14245"/>
    <cellStyle name="RowTitles-Col2 2 2 4 7_Tertiary Salaries Survey" xfId="14246"/>
    <cellStyle name="RowTitles-Col2 2 2 4 8" xfId="14247"/>
    <cellStyle name="RowTitles-Col2 2 2 4 8 2" xfId="14248"/>
    <cellStyle name="RowTitles-Col2 2 2 4 8 2 2" xfId="14249"/>
    <cellStyle name="RowTitles-Col2 2 2 4 8 2_Tertiary Salaries Survey" xfId="14250"/>
    <cellStyle name="RowTitles-Col2 2 2 4 8 3" xfId="14251"/>
    <cellStyle name="RowTitles-Col2 2 2 4 8_Tertiary Salaries Survey" xfId="14252"/>
    <cellStyle name="RowTitles-Col2 2 2 4_STUD aligned by INSTIT" xfId="14253"/>
    <cellStyle name="RowTitles-Col2 2 2 5" xfId="14254"/>
    <cellStyle name="RowTitles-Col2 2 2 5 2" xfId="14255"/>
    <cellStyle name="RowTitles-Col2 2 2 5 2 2" xfId="14256"/>
    <cellStyle name="RowTitles-Col2 2 2 5 2 2 2" xfId="14257"/>
    <cellStyle name="RowTitles-Col2 2 2 5 2 2 2 2" xfId="14258"/>
    <cellStyle name="RowTitles-Col2 2 2 5 2 2 2_Tertiary Salaries Survey" xfId="14259"/>
    <cellStyle name="RowTitles-Col2 2 2 5 2 2 3" xfId="14260"/>
    <cellStyle name="RowTitles-Col2 2 2 5 2 2_Tertiary Salaries Survey" xfId="14261"/>
    <cellStyle name="RowTitles-Col2 2 2 5 2 3" xfId="14262"/>
    <cellStyle name="RowTitles-Col2 2 2 5 2 3 2" xfId="14263"/>
    <cellStyle name="RowTitles-Col2 2 2 5 2 3 2 2" xfId="14264"/>
    <cellStyle name="RowTitles-Col2 2 2 5 2 3 2_Tertiary Salaries Survey" xfId="14265"/>
    <cellStyle name="RowTitles-Col2 2 2 5 2 3 3" xfId="14266"/>
    <cellStyle name="RowTitles-Col2 2 2 5 2 3_Tertiary Salaries Survey" xfId="14267"/>
    <cellStyle name="RowTitles-Col2 2 2 5 2 4" xfId="14268"/>
    <cellStyle name="RowTitles-Col2 2 2 5 2 5" xfId="14269"/>
    <cellStyle name="RowTitles-Col2 2 2 5 2 5 2" xfId="14270"/>
    <cellStyle name="RowTitles-Col2 2 2 5 2 5_Tertiary Salaries Survey" xfId="14271"/>
    <cellStyle name="RowTitles-Col2 2 2 5 2_Tertiary Salaries Survey" xfId="14272"/>
    <cellStyle name="RowTitles-Col2 2 2 5 3" xfId="14273"/>
    <cellStyle name="RowTitles-Col2 2 2 5 3 2" xfId="14274"/>
    <cellStyle name="RowTitles-Col2 2 2 5 3 2 2" xfId="14275"/>
    <cellStyle name="RowTitles-Col2 2 2 5 3 2 2 2" xfId="14276"/>
    <cellStyle name="RowTitles-Col2 2 2 5 3 2 2_Tertiary Salaries Survey" xfId="14277"/>
    <cellStyle name="RowTitles-Col2 2 2 5 3 2 3" xfId="14278"/>
    <cellStyle name="RowTitles-Col2 2 2 5 3 2_Tertiary Salaries Survey" xfId="14279"/>
    <cellStyle name="RowTitles-Col2 2 2 5 3 3" xfId="14280"/>
    <cellStyle name="RowTitles-Col2 2 2 5 3 3 2" xfId="14281"/>
    <cellStyle name="RowTitles-Col2 2 2 5 3 3 2 2" xfId="14282"/>
    <cellStyle name="RowTitles-Col2 2 2 5 3 3 2_Tertiary Salaries Survey" xfId="14283"/>
    <cellStyle name="RowTitles-Col2 2 2 5 3 3 3" xfId="14284"/>
    <cellStyle name="RowTitles-Col2 2 2 5 3 3_Tertiary Salaries Survey" xfId="14285"/>
    <cellStyle name="RowTitles-Col2 2 2 5 3 4" xfId="14286"/>
    <cellStyle name="RowTitles-Col2 2 2 5 3 5" xfId="14287"/>
    <cellStyle name="RowTitles-Col2 2 2 5 3_Tertiary Salaries Survey" xfId="14288"/>
    <cellStyle name="RowTitles-Col2 2 2 5 4" xfId="14289"/>
    <cellStyle name="RowTitles-Col2 2 2 5 4 2" xfId="14290"/>
    <cellStyle name="RowTitles-Col2 2 2 5 4 2 2" xfId="14291"/>
    <cellStyle name="RowTitles-Col2 2 2 5 4 2 2 2" xfId="14292"/>
    <cellStyle name="RowTitles-Col2 2 2 5 4 2 2_Tertiary Salaries Survey" xfId="14293"/>
    <cellStyle name="RowTitles-Col2 2 2 5 4 2 3" xfId="14294"/>
    <cellStyle name="RowTitles-Col2 2 2 5 4 2_Tertiary Salaries Survey" xfId="14295"/>
    <cellStyle name="RowTitles-Col2 2 2 5 4 3" xfId="14296"/>
    <cellStyle name="RowTitles-Col2 2 2 5 4 3 2" xfId="14297"/>
    <cellStyle name="RowTitles-Col2 2 2 5 4 3 2 2" xfId="14298"/>
    <cellStyle name="RowTitles-Col2 2 2 5 4 3 2_Tertiary Salaries Survey" xfId="14299"/>
    <cellStyle name="RowTitles-Col2 2 2 5 4 3 3" xfId="14300"/>
    <cellStyle name="RowTitles-Col2 2 2 5 4 3_Tertiary Salaries Survey" xfId="14301"/>
    <cellStyle name="RowTitles-Col2 2 2 5 4 4" xfId="14302"/>
    <cellStyle name="RowTitles-Col2 2 2 5 4 5" xfId="14303"/>
    <cellStyle name="RowTitles-Col2 2 2 5 4 5 2" xfId="14304"/>
    <cellStyle name="RowTitles-Col2 2 2 5 4 5_Tertiary Salaries Survey" xfId="14305"/>
    <cellStyle name="RowTitles-Col2 2 2 5 4 6" xfId="14306"/>
    <cellStyle name="RowTitles-Col2 2 2 5 4_Tertiary Salaries Survey" xfId="14307"/>
    <cellStyle name="RowTitles-Col2 2 2 5 5" xfId="14308"/>
    <cellStyle name="RowTitles-Col2 2 2 5 5 2" xfId="14309"/>
    <cellStyle name="RowTitles-Col2 2 2 5 5 2 2" xfId="14310"/>
    <cellStyle name="RowTitles-Col2 2 2 5 5 2 2 2" xfId="14311"/>
    <cellStyle name="RowTitles-Col2 2 2 5 5 2 2_Tertiary Salaries Survey" xfId="14312"/>
    <cellStyle name="RowTitles-Col2 2 2 5 5 2 3" xfId="14313"/>
    <cellStyle name="RowTitles-Col2 2 2 5 5 2_Tertiary Salaries Survey" xfId="14314"/>
    <cellStyle name="RowTitles-Col2 2 2 5 5 3" xfId="14315"/>
    <cellStyle name="RowTitles-Col2 2 2 5 5 3 2" xfId="14316"/>
    <cellStyle name="RowTitles-Col2 2 2 5 5 3 2 2" xfId="14317"/>
    <cellStyle name="RowTitles-Col2 2 2 5 5 3 2_Tertiary Salaries Survey" xfId="14318"/>
    <cellStyle name="RowTitles-Col2 2 2 5 5 3 3" xfId="14319"/>
    <cellStyle name="RowTitles-Col2 2 2 5 5 3_Tertiary Salaries Survey" xfId="14320"/>
    <cellStyle name="RowTitles-Col2 2 2 5 5 4" xfId="14321"/>
    <cellStyle name="RowTitles-Col2 2 2 5 5 4 2" xfId="14322"/>
    <cellStyle name="RowTitles-Col2 2 2 5 5 4_Tertiary Salaries Survey" xfId="14323"/>
    <cellStyle name="RowTitles-Col2 2 2 5 5 5" xfId="14324"/>
    <cellStyle name="RowTitles-Col2 2 2 5 5_Tertiary Salaries Survey" xfId="14325"/>
    <cellStyle name="RowTitles-Col2 2 2 5 6" xfId="14326"/>
    <cellStyle name="RowTitles-Col2 2 2 5 6 2" xfId="14327"/>
    <cellStyle name="RowTitles-Col2 2 2 5 6 2 2" xfId="14328"/>
    <cellStyle name="RowTitles-Col2 2 2 5 6 2 2 2" xfId="14329"/>
    <cellStyle name="RowTitles-Col2 2 2 5 6 2 2_Tertiary Salaries Survey" xfId="14330"/>
    <cellStyle name="RowTitles-Col2 2 2 5 6 2 3" xfId="14331"/>
    <cellStyle name="RowTitles-Col2 2 2 5 6 2_Tertiary Salaries Survey" xfId="14332"/>
    <cellStyle name="RowTitles-Col2 2 2 5 6 3" xfId="14333"/>
    <cellStyle name="RowTitles-Col2 2 2 5 6 3 2" xfId="14334"/>
    <cellStyle name="RowTitles-Col2 2 2 5 6 3 2 2" xfId="14335"/>
    <cellStyle name="RowTitles-Col2 2 2 5 6 3 2_Tertiary Salaries Survey" xfId="14336"/>
    <cellStyle name="RowTitles-Col2 2 2 5 6 3 3" xfId="14337"/>
    <cellStyle name="RowTitles-Col2 2 2 5 6 3_Tertiary Salaries Survey" xfId="14338"/>
    <cellStyle name="RowTitles-Col2 2 2 5 6 4" xfId="14339"/>
    <cellStyle name="RowTitles-Col2 2 2 5 6 4 2" xfId="14340"/>
    <cellStyle name="RowTitles-Col2 2 2 5 6 4_Tertiary Salaries Survey" xfId="14341"/>
    <cellStyle name="RowTitles-Col2 2 2 5 6 5" xfId="14342"/>
    <cellStyle name="RowTitles-Col2 2 2 5 6_Tertiary Salaries Survey" xfId="14343"/>
    <cellStyle name="RowTitles-Col2 2 2 5 7" xfId="14344"/>
    <cellStyle name="RowTitles-Col2 2 2 5 7 2" xfId="14345"/>
    <cellStyle name="RowTitles-Col2 2 2 5 7 2 2" xfId="14346"/>
    <cellStyle name="RowTitles-Col2 2 2 5 7 2_Tertiary Salaries Survey" xfId="14347"/>
    <cellStyle name="RowTitles-Col2 2 2 5 7 3" xfId="14348"/>
    <cellStyle name="RowTitles-Col2 2 2 5 7_Tertiary Salaries Survey" xfId="14349"/>
    <cellStyle name="RowTitles-Col2 2 2 5 8" xfId="14350"/>
    <cellStyle name="RowTitles-Col2 2 2 5_STUD aligned by INSTIT" xfId="14351"/>
    <cellStyle name="RowTitles-Col2 2 2 6" xfId="14352"/>
    <cellStyle name="RowTitles-Col2 2 2 6 2" xfId="14353"/>
    <cellStyle name="RowTitles-Col2 2 2 6 2 2" xfId="14354"/>
    <cellStyle name="RowTitles-Col2 2 2 6 2 2 2" xfId="14355"/>
    <cellStyle name="RowTitles-Col2 2 2 6 2 2_Tertiary Salaries Survey" xfId="14356"/>
    <cellStyle name="RowTitles-Col2 2 2 6 2 3" xfId="14357"/>
    <cellStyle name="RowTitles-Col2 2 2 6 2_Tertiary Salaries Survey" xfId="14358"/>
    <cellStyle name="RowTitles-Col2 2 2 6 3" xfId="14359"/>
    <cellStyle name="RowTitles-Col2 2 2 6 3 2" xfId="14360"/>
    <cellStyle name="RowTitles-Col2 2 2 6 3 2 2" xfId="14361"/>
    <cellStyle name="RowTitles-Col2 2 2 6 3 2_Tertiary Salaries Survey" xfId="14362"/>
    <cellStyle name="RowTitles-Col2 2 2 6 3 3" xfId="14363"/>
    <cellStyle name="RowTitles-Col2 2 2 6 3_Tertiary Salaries Survey" xfId="14364"/>
    <cellStyle name="RowTitles-Col2 2 2 6 4" xfId="14365"/>
    <cellStyle name="RowTitles-Col2 2 2 6 5" xfId="14366"/>
    <cellStyle name="RowTitles-Col2 2 2 6 5 2" xfId="14367"/>
    <cellStyle name="RowTitles-Col2 2 2 6 5_Tertiary Salaries Survey" xfId="14368"/>
    <cellStyle name="RowTitles-Col2 2 2 6_Tertiary Salaries Survey" xfId="14369"/>
    <cellStyle name="RowTitles-Col2 2 2 7" xfId="14370"/>
    <cellStyle name="RowTitles-Col2 2 2 7 2" xfId="14371"/>
    <cellStyle name="RowTitles-Col2 2 2 7 2 2" xfId="14372"/>
    <cellStyle name="RowTitles-Col2 2 2 7 2 2 2" xfId="14373"/>
    <cellStyle name="RowTitles-Col2 2 2 7 2 2_Tertiary Salaries Survey" xfId="14374"/>
    <cellStyle name="RowTitles-Col2 2 2 7 2 3" xfId="14375"/>
    <cellStyle name="RowTitles-Col2 2 2 7 2_Tertiary Salaries Survey" xfId="14376"/>
    <cellStyle name="RowTitles-Col2 2 2 7 3" xfId="14377"/>
    <cellStyle name="RowTitles-Col2 2 2 7 3 2" xfId="14378"/>
    <cellStyle name="RowTitles-Col2 2 2 7 3 2 2" xfId="14379"/>
    <cellStyle name="RowTitles-Col2 2 2 7 3 2_Tertiary Salaries Survey" xfId="14380"/>
    <cellStyle name="RowTitles-Col2 2 2 7 3 3" xfId="14381"/>
    <cellStyle name="RowTitles-Col2 2 2 7 3_Tertiary Salaries Survey" xfId="14382"/>
    <cellStyle name="RowTitles-Col2 2 2 7 4" xfId="14383"/>
    <cellStyle name="RowTitles-Col2 2 2 7 5" xfId="14384"/>
    <cellStyle name="RowTitles-Col2 2 2 7_Tertiary Salaries Survey" xfId="14385"/>
    <cellStyle name="RowTitles-Col2 2 2 8" xfId="14386"/>
    <cellStyle name="RowTitles-Col2 2 2 8 2" xfId="14387"/>
    <cellStyle name="RowTitles-Col2 2 2 8 2 2" xfId="14388"/>
    <cellStyle name="RowTitles-Col2 2 2 8 2 2 2" xfId="14389"/>
    <cellStyle name="RowTitles-Col2 2 2 8 2 2_Tertiary Salaries Survey" xfId="14390"/>
    <cellStyle name="RowTitles-Col2 2 2 8 2 3" xfId="14391"/>
    <cellStyle name="RowTitles-Col2 2 2 8 2_Tertiary Salaries Survey" xfId="14392"/>
    <cellStyle name="RowTitles-Col2 2 2 8 3" xfId="14393"/>
    <cellStyle name="RowTitles-Col2 2 2 8 3 2" xfId="14394"/>
    <cellStyle name="RowTitles-Col2 2 2 8 3 2 2" xfId="14395"/>
    <cellStyle name="RowTitles-Col2 2 2 8 3 2_Tertiary Salaries Survey" xfId="14396"/>
    <cellStyle name="RowTitles-Col2 2 2 8 3 3" xfId="14397"/>
    <cellStyle name="RowTitles-Col2 2 2 8 3_Tertiary Salaries Survey" xfId="14398"/>
    <cellStyle name="RowTitles-Col2 2 2 8 4" xfId="14399"/>
    <cellStyle name="RowTitles-Col2 2 2 8 5" xfId="14400"/>
    <cellStyle name="RowTitles-Col2 2 2 8 5 2" xfId="14401"/>
    <cellStyle name="RowTitles-Col2 2 2 8 5_Tertiary Salaries Survey" xfId="14402"/>
    <cellStyle name="RowTitles-Col2 2 2 8 6" xfId="14403"/>
    <cellStyle name="RowTitles-Col2 2 2 8_Tertiary Salaries Survey" xfId="14404"/>
    <cellStyle name="RowTitles-Col2 2 2 9" xfId="14405"/>
    <cellStyle name="RowTitles-Col2 2 2 9 2" xfId="14406"/>
    <cellStyle name="RowTitles-Col2 2 2 9 2 2" xfId="14407"/>
    <cellStyle name="RowTitles-Col2 2 2 9 2 2 2" xfId="14408"/>
    <cellStyle name="RowTitles-Col2 2 2 9 2 2_Tertiary Salaries Survey" xfId="14409"/>
    <cellStyle name="RowTitles-Col2 2 2 9 2 3" xfId="14410"/>
    <cellStyle name="RowTitles-Col2 2 2 9 2_Tertiary Salaries Survey" xfId="14411"/>
    <cellStyle name="RowTitles-Col2 2 2 9 3" xfId="14412"/>
    <cellStyle name="RowTitles-Col2 2 2 9 3 2" xfId="14413"/>
    <cellStyle name="RowTitles-Col2 2 2 9 3 2 2" xfId="14414"/>
    <cellStyle name="RowTitles-Col2 2 2 9 3 2_Tertiary Salaries Survey" xfId="14415"/>
    <cellStyle name="RowTitles-Col2 2 2 9 3 3" xfId="14416"/>
    <cellStyle name="RowTitles-Col2 2 2 9 3_Tertiary Salaries Survey" xfId="14417"/>
    <cellStyle name="RowTitles-Col2 2 2 9 4" xfId="14418"/>
    <cellStyle name="RowTitles-Col2 2 2 9 4 2" xfId="14419"/>
    <cellStyle name="RowTitles-Col2 2 2 9 4_Tertiary Salaries Survey" xfId="14420"/>
    <cellStyle name="RowTitles-Col2 2 2 9 5" xfId="14421"/>
    <cellStyle name="RowTitles-Col2 2 2 9_Tertiary Salaries Survey" xfId="14422"/>
    <cellStyle name="RowTitles-Col2 2 2_STUD aligned by INSTIT" xfId="14423"/>
    <cellStyle name="RowTitles-Col2 2 3" xfId="14424"/>
    <cellStyle name="RowTitles-Col2 2 3 10" xfId="14425"/>
    <cellStyle name="RowTitles-Col2 2 3 10 2" xfId="14426"/>
    <cellStyle name="RowTitles-Col2 2 3 10 2 2" xfId="14427"/>
    <cellStyle name="RowTitles-Col2 2 3 10 2_Tertiary Salaries Survey" xfId="14428"/>
    <cellStyle name="RowTitles-Col2 2 3 10 3" xfId="14429"/>
    <cellStyle name="RowTitles-Col2 2 3 10_Tertiary Salaries Survey" xfId="14430"/>
    <cellStyle name="RowTitles-Col2 2 3 11" xfId="14431"/>
    <cellStyle name="RowTitles-Col2 2 3 2" xfId="14432"/>
    <cellStyle name="RowTitles-Col2 2 3 2 2" xfId="14433"/>
    <cellStyle name="RowTitles-Col2 2 3 2 2 2" xfId="14434"/>
    <cellStyle name="RowTitles-Col2 2 3 2 2 2 2" xfId="14435"/>
    <cellStyle name="RowTitles-Col2 2 3 2 2 2 2 2" xfId="14436"/>
    <cellStyle name="RowTitles-Col2 2 3 2 2 2 2_Tertiary Salaries Survey" xfId="14437"/>
    <cellStyle name="RowTitles-Col2 2 3 2 2 2 3" xfId="14438"/>
    <cellStyle name="RowTitles-Col2 2 3 2 2 2_Tertiary Salaries Survey" xfId="14439"/>
    <cellStyle name="RowTitles-Col2 2 3 2 2 3" xfId="14440"/>
    <cellStyle name="RowTitles-Col2 2 3 2 2 3 2" xfId="14441"/>
    <cellStyle name="RowTitles-Col2 2 3 2 2 3 2 2" xfId="14442"/>
    <cellStyle name="RowTitles-Col2 2 3 2 2 3 2_Tertiary Salaries Survey" xfId="14443"/>
    <cellStyle name="RowTitles-Col2 2 3 2 2 3 3" xfId="14444"/>
    <cellStyle name="RowTitles-Col2 2 3 2 2 3_Tertiary Salaries Survey" xfId="14445"/>
    <cellStyle name="RowTitles-Col2 2 3 2 2 4" xfId="14446"/>
    <cellStyle name="RowTitles-Col2 2 3 2 2_Tertiary Salaries Survey" xfId="14447"/>
    <cellStyle name="RowTitles-Col2 2 3 2 3" xfId="14448"/>
    <cellStyle name="RowTitles-Col2 2 3 2 3 2" xfId="14449"/>
    <cellStyle name="RowTitles-Col2 2 3 2 3 2 2" xfId="14450"/>
    <cellStyle name="RowTitles-Col2 2 3 2 3 2 2 2" xfId="14451"/>
    <cellStyle name="RowTitles-Col2 2 3 2 3 2 2_Tertiary Salaries Survey" xfId="14452"/>
    <cellStyle name="RowTitles-Col2 2 3 2 3 2 3" xfId="14453"/>
    <cellStyle name="RowTitles-Col2 2 3 2 3 2_Tertiary Salaries Survey" xfId="14454"/>
    <cellStyle name="RowTitles-Col2 2 3 2 3 3" xfId="14455"/>
    <cellStyle name="RowTitles-Col2 2 3 2 3 3 2" xfId="14456"/>
    <cellStyle name="RowTitles-Col2 2 3 2 3 3 2 2" xfId="14457"/>
    <cellStyle name="RowTitles-Col2 2 3 2 3 3 2_Tertiary Salaries Survey" xfId="14458"/>
    <cellStyle name="RowTitles-Col2 2 3 2 3 3 3" xfId="14459"/>
    <cellStyle name="RowTitles-Col2 2 3 2 3 3_Tertiary Salaries Survey" xfId="14460"/>
    <cellStyle name="RowTitles-Col2 2 3 2 3 4" xfId="14461"/>
    <cellStyle name="RowTitles-Col2 2 3 2 3 5" xfId="14462"/>
    <cellStyle name="RowTitles-Col2 2 3 2 3 5 2" xfId="14463"/>
    <cellStyle name="RowTitles-Col2 2 3 2 3 5_Tertiary Salaries Survey" xfId="14464"/>
    <cellStyle name="RowTitles-Col2 2 3 2 3 6" xfId="14465"/>
    <cellStyle name="RowTitles-Col2 2 3 2 3_Tertiary Salaries Survey" xfId="14466"/>
    <cellStyle name="RowTitles-Col2 2 3 2 4" xfId="14467"/>
    <cellStyle name="RowTitles-Col2 2 3 2 4 2" xfId="14468"/>
    <cellStyle name="RowTitles-Col2 2 3 2 4 2 2" xfId="14469"/>
    <cellStyle name="RowTitles-Col2 2 3 2 4 2 2 2" xfId="14470"/>
    <cellStyle name="RowTitles-Col2 2 3 2 4 2 2_Tertiary Salaries Survey" xfId="14471"/>
    <cellStyle name="RowTitles-Col2 2 3 2 4 2 3" xfId="14472"/>
    <cellStyle name="RowTitles-Col2 2 3 2 4 2_Tertiary Salaries Survey" xfId="14473"/>
    <cellStyle name="RowTitles-Col2 2 3 2 4 3" xfId="14474"/>
    <cellStyle name="RowTitles-Col2 2 3 2 4 3 2" xfId="14475"/>
    <cellStyle name="RowTitles-Col2 2 3 2 4 3 2 2" xfId="14476"/>
    <cellStyle name="RowTitles-Col2 2 3 2 4 3 2_Tertiary Salaries Survey" xfId="14477"/>
    <cellStyle name="RowTitles-Col2 2 3 2 4 3 3" xfId="14478"/>
    <cellStyle name="RowTitles-Col2 2 3 2 4 3_Tertiary Salaries Survey" xfId="14479"/>
    <cellStyle name="RowTitles-Col2 2 3 2 4 4" xfId="14480"/>
    <cellStyle name="RowTitles-Col2 2 3 2 4 4 2" xfId="14481"/>
    <cellStyle name="RowTitles-Col2 2 3 2 4 4_Tertiary Salaries Survey" xfId="14482"/>
    <cellStyle name="RowTitles-Col2 2 3 2 4 5" xfId="14483"/>
    <cellStyle name="RowTitles-Col2 2 3 2 4_Tertiary Salaries Survey" xfId="14484"/>
    <cellStyle name="RowTitles-Col2 2 3 2 5" xfId="14485"/>
    <cellStyle name="RowTitles-Col2 2 3 2 5 2" xfId="14486"/>
    <cellStyle name="RowTitles-Col2 2 3 2 5 2 2" xfId="14487"/>
    <cellStyle name="RowTitles-Col2 2 3 2 5 2 2 2" xfId="14488"/>
    <cellStyle name="RowTitles-Col2 2 3 2 5 2 2_Tertiary Salaries Survey" xfId="14489"/>
    <cellStyle name="RowTitles-Col2 2 3 2 5 2 3" xfId="14490"/>
    <cellStyle name="RowTitles-Col2 2 3 2 5 2_Tertiary Salaries Survey" xfId="14491"/>
    <cellStyle name="RowTitles-Col2 2 3 2 5 3" xfId="14492"/>
    <cellStyle name="RowTitles-Col2 2 3 2 5 3 2" xfId="14493"/>
    <cellStyle name="RowTitles-Col2 2 3 2 5 3 2 2" xfId="14494"/>
    <cellStyle name="RowTitles-Col2 2 3 2 5 3 2_Tertiary Salaries Survey" xfId="14495"/>
    <cellStyle name="RowTitles-Col2 2 3 2 5 3 3" xfId="14496"/>
    <cellStyle name="RowTitles-Col2 2 3 2 5 3_Tertiary Salaries Survey" xfId="14497"/>
    <cellStyle name="RowTitles-Col2 2 3 2 5 4" xfId="14498"/>
    <cellStyle name="RowTitles-Col2 2 3 2 5 4 2" xfId="14499"/>
    <cellStyle name="RowTitles-Col2 2 3 2 5 4_Tertiary Salaries Survey" xfId="14500"/>
    <cellStyle name="RowTitles-Col2 2 3 2 5 5" xfId="14501"/>
    <cellStyle name="RowTitles-Col2 2 3 2 5_Tertiary Salaries Survey" xfId="14502"/>
    <cellStyle name="RowTitles-Col2 2 3 2 6" xfId="14503"/>
    <cellStyle name="RowTitles-Col2 2 3 2 6 2" xfId="14504"/>
    <cellStyle name="RowTitles-Col2 2 3 2 6 2 2" xfId="14505"/>
    <cellStyle name="RowTitles-Col2 2 3 2 6 2 2 2" xfId="14506"/>
    <cellStyle name="RowTitles-Col2 2 3 2 6 2 2_Tertiary Salaries Survey" xfId="14507"/>
    <cellStyle name="RowTitles-Col2 2 3 2 6 2 3" xfId="14508"/>
    <cellStyle name="RowTitles-Col2 2 3 2 6 2_Tertiary Salaries Survey" xfId="14509"/>
    <cellStyle name="RowTitles-Col2 2 3 2 6 3" xfId="14510"/>
    <cellStyle name="RowTitles-Col2 2 3 2 6 3 2" xfId="14511"/>
    <cellStyle name="RowTitles-Col2 2 3 2 6 3 2 2" xfId="14512"/>
    <cellStyle name="RowTitles-Col2 2 3 2 6 3 2_Tertiary Salaries Survey" xfId="14513"/>
    <cellStyle name="RowTitles-Col2 2 3 2 6 3 3" xfId="14514"/>
    <cellStyle name="RowTitles-Col2 2 3 2 6 3_Tertiary Salaries Survey" xfId="14515"/>
    <cellStyle name="RowTitles-Col2 2 3 2 6 4" xfId="14516"/>
    <cellStyle name="RowTitles-Col2 2 3 2 6 4 2" xfId="14517"/>
    <cellStyle name="RowTitles-Col2 2 3 2 6 4_Tertiary Salaries Survey" xfId="14518"/>
    <cellStyle name="RowTitles-Col2 2 3 2 6 5" xfId="14519"/>
    <cellStyle name="RowTitles-Col2 2 3 2 6_Tertiary Salaries Survey" xfId="14520"/>
    <cellStyle name="RowTitles-Col2 2 3 2 7" xfId="14521"/>
    <cellStyle name="RowTitles-Col2 2 3 2 7 2" xfId="14522"/>
    <cellStyle name="RowTitles-Col2 2 3 2 7 2 2" xfId="14523"/>
    <cellStyle name="RowTitles-Col2 2 3 2 7 2_Tertiary Salaries Survey" xfId="14524"/>
    <cellStyle name="RowTitles-Col2 2 3 2 7 3" xfId="14525"/>
    <cellStyle name="RowTitles-Col2 2 3 2 7_Tertiary Salaries Survey" xfId="14526"/>
    <cellStyle name="RowTitles-Col2 2 3 2 8" xfId="14527"/>
    <cellStyle name="RowTitles-Col2 2 3 2_STUD aligned by INSTIT" xfId="14528"/>
    <cellStyle name="RowTitles-Col2 2 3 3" xfId="14529"/>
    <cellStyle name="RowTitles-Col2 2 3 3 2" xfId="14530"/>
    <cellStyle name="RowTitles-Col2 2 3 3 2 2" xfId="14531"/>
    <cellStyle name="RowTitles-Col2 2 3 3 2 2 2" xfId="14532"/>
    <cellStyle name="RowTitles-Col2 2 3 3 2 2 2 2" xfId="14533"/>
    <cellStyle name="RowTitles-Col2 2 3 3 2 2 2_Tertiary Salaries Survey" xfId="14534"/>
    <cellStyle name="RowTitles-Col2 2 3 3 2 2 3" xfId="14535"/>
    <cellStyle name="RowTitles-Col2 2 3 3 2 2_Tertiary Salaries Survey" xfId="14536"/>
    <cellStyle name="RowTitles-Col2 2 3 3 2 3" xfId="14537"/>
    <cellStyle name="RowTitles-Col2 2 3 3 2 3 2" xfId="14538"/>
    <cellStyle name="RowTitles-Col2 2 3 3 2 3 2 2" xfId="14539"/>
    <cellStyle name="RowTitles-Col2 2 3 3 2 3 2_Tertiary Salaries Survey" xfId="14540"/>
    <cellStyle name="RowTitles-Col2 2 3 3 2 3 3" xfId="14541"/>
    <cellStyle name="RowTitles-Col2 2 3 3 2 3_Tertiary Salaries Survey" xfId="14542"/>
    <cellStyle name="RowTitles-Col2 2 3 3 2 4" xfId="14543"/>
    <cellStyle name="RowTitles-Col2 2 3 3 2 5" xfId="14544"/>
    <cellStyle name="RowTitles-Col2 2 3 3 2 5 2" xfId="14545"/>
    <cellStyle name="RowTitles-Col2 2 3 3 2 5_Tertiary Salaries Survey" xfId="14546"/>
    <cellStyle name="RowTitles-Col2 2 3 3 2 6" xfId="14547"/>
    <cellStyle name="RowTitles-Col2 2 3 3 2_Tertiary Salaries Survey" xfId="14548"/>
    <cellStyle name="RowTitles-Col2 2 3 3 3" xfId="14549"/>
    <cellStyle name="RowTitles-Col2 2 3 3 3 2" xfId="14550"/>
    <cellStyle name="RowTitles-Col2 2 3 3 3 2 2" xfId="14551"/>
    <cellStyle name="RowTitles-Col2 2 3 3 3 2 2 2" xfId="14552"/>
    <cellStyle name="RowTitles-Col2 2 3 3 3 2 2_Tertiary Salaries Survey" xfId="14553"/>
    <cellStyle name="RowTitles-Col2 2 3 3 3 2 3" xfId="14554"/>
    <cellStyle name="RowTitles-Col2 2 3 3 3 2_Tertiary Salaries Survey" xfId="14555"/>
    <cellStyle name="RowTitles-Col2 2 3 3 3 3" xfId="14556"/>
    <cellStyle name="RowTitles-Col2 2 3 3 3 3 2" xfId="14557"/>
    <cellStyle name="RowTitles-Col2 2 3 3 3 3 2 2" xfId="14558"/>
    <cellStyle name="RowTitles-Col2 2 3 3 3 3 2_Tertiary Salaries Survey" xfId="14559"/>
    <cellStyle name="RowTitles-Col2 2 3 3 3 3 3" xfId="14560"/>
    <cellStyle name="RowTitles-Col2 2 3 3 3 3_Tertiary Salaries Survey" xfId="14561"/>
    <cellStyle name="RowTitles-Col2 2 3 3 3 4" xfId="14562"/>
    <cellStyle name="RowTitles-Col2 2 3 3 3_Tertiary Salaries Survey" xfId="14563"/>
    <cellStyle name="RowTitles-Col2 2 3 3 4" xfId="14564"/>
    <cellStyle name="RowTitles-Col2 2 3 3 4 2" xfId="14565"/>
    <cellStyle name="RowTitles-Col2 2 3 3 4 2 2" xfId="14566"/>
    <cellStyle name="RowTitles-Col2 2 3 3 4 2 2 2" xfId="14567"/>
    <cellStyle name="RowTitles-Col2 2 3 3 4 2 2_Tertiary Salaries Survey" xfId="14568"/>
    <cellStyle name="RowTitles-Col2 2 3 3 4 2 3" xfId="14569"/>
    <cellStyle name="RowTitles-Col2 2 3 3 4 2_Tertiary Salaries Survey" xfId="14570"/>
    <cellStyle name="RowTitles-Col2 2 3 3 4 3" xfId="14571"/>
    <cellStyle name="RowTitles-Col2 2 3 3 4 3 2" xfId="14572"/>
    <cellStyle name="RowTitles-Col2 2 3 3 4 3 2 2" xfId="14573"/>
    <cellStyle name="RowTitles-Col2 2 3 3 4 3 2_Tertiary Salaries Survey" xfId="14574"/>
    <cellStyle name="RowTitles-Col2 2 3 3 4 3 3" xfId="14575"/>
    <cellStyle name="RowTitles-Col2 2 3 3 4 3_Tertiary Salaries Survey" xfId="14576"/>
    <cellStyle name="RowTitles-Col2 2 3 3 4 4" xfId="14577"/>
    <cellStyle name="RowTitles-Col2 2 3 3 4 4 2" xfId="14578"/>
    <cellStyle name="RowTitles-Col2 2 3 3 4 4_Tertiary Salaries Survey" xfId="14579"/>
    <cellStyle name="RowTitles-Col2 2 3 3 4 5" xfId="14580"/>
    <cellStyle name="RowTitles-Col2 2 3 3 4_Tertiary Salaries Survey" xfId="14581"/>
    <cellStyle name="RowTitles-Col2 2 3 3 5" xfId="14582"/>
    <cellStyle name="RowTitles-Col2 2 3 3 5 2" xfId="14583"/>
    <cellStyle name="RowTitles-Col2 2 3 3 5 2 2" xfId="14584"/>
    <cellStyle name="RowTitles-Col2 2 3 3 5 2 2 2" xfId="14585"/>
    <cellStyle name="RowTitles-Col2 2 3 3 5 2 2_Tertiary Salaries Survey" xfId="14586"/>
    <cellStyle name="RowTitles-Col2 2 3 3 5 2 3" xfId="14587"/>
    <cellStyle name="RowTitles-Col2 2 3 3 5 2_Tertiary Salaries Survey" xfId="14588"/>
    <cellStyle name="RowTitles-Col2 2 3 3 5 3" xfId="14589"/>
    <cellStyle name="RowTitles-Col2 2 3 3 5 3 2" xfId="14590"/>
    <cellStyle name="RowTitles-Col2 2 3 3 5 3 2 2" xfId="14591"/>
    <cellStyle name="RowTitles-Col2 2 3 3 5 3 2_Tertiary Salaries Survey" xfId="14592"/>
    <cellStyle name="RowTitles-Col2 2 3 3 5 3 3" xfId="14593"/>
    <cellStyle name="RowTitles-Col2 2 3 3 5 3_Tertiary Salaries Survey" xfId="14594"/>
    <cellStyle name="RowTitles-Col2 2 3 3 5 4" xfId="14595"/>
    <cellStyle name="RowTitles-Col2 2 3 3 5 4 2" xfId="14596"/>
    <cellStyle name="RowTitles-Col2 2 3 3 5 4_Tertiary Salaries Survey" xfId="14597"/>
    <cellStyle name="RowTitles-Col2 2 3 3 5 5" xfId="14598"/>
    <cellStyle name="RowTitles-Col2 2 3 3 5_Tertiary Salaries Survey" xfId="14599"/>
    <cellStyle name="RowTitles-Col2 2 3 3 6" xfId="14600"/>
    <cellStyle name="RowTitles-Col2 2 3 3 6 2" xfId="14601"/>
    <cellStyle name="RowTitles-Col2 2 3 3 6 2 2" xfId="14602"/>
    <cellStyle name="RowTitles-Col2 2 3 3 6 2 2 2" xfId="14603"/>
    <cellStyle name="RowTitles-Col2 2 3 3 6 2 2_Tertiary Salaries Survey" xfId="14604"/>
    <cellStyle name="RowTitles-Col2 2 3 3 6 2 3" xfId="14605"/>
    <cellStyle name="RowTitles-Col2 2 3 3 6 2_Tertiary Salaries Survey" xfId="14606"/>
    <cellStyle name="RowTitles-Col2 2 3 3 6 3" xfId="14607"/>
    <cellStyle name="RowTitles-Col2 2 3 3 6 3 2" xfId="14608"/>
    <cellStyle name="RowTitles-Col2 2 3 3 6 3 2 2" xfId="14609"/>
    <cellStyle name="RowTitles-Col2 2 3 3 6 3 2_Tertiary Salaries Survey" xfId="14610"/>
    <cellStyle name="RowTitles-Col2 2 3 3 6 3 3" xfId="14611"/>
    <cellStyle name="RowTitles-Col2 2 3 3 6 3_Tertiary Salaries Survey" xfId="14612"/>
    <cellStyle name="RowTitles-Col2 2 3 3 6 4" xfId="14613"/>
    <cellStyle name="RowTitles-Col2 2 3 3 6 4 2" xfId="14614"/>
    <cellStyle name="RowTitles-Col2 2 3 3 6 4_Tertiary Salaries Survey" xfId="14615"/>
    <cellStyle name="RowTitles-Col2 2 3 3 6 5" xfId="14616"/>
    <cellStyle name="RowTitles-Col2 2 3 3 6_Tertiary Salaries Survey" xfId="14617"/>
    <cellStyle name="RowTitles-Col2 2 3 3 7" xfId="14618"/>
    <cellStyle name="RowTitles-Col2 2 3 3 7 2" xfId="14619"/>
    <cellStyle name="RowTitles-Col2 2 3 3 7 2 2" xfId="14620"/>
    <cellStyle name="RowTitles-Col2 2 3 3 7 2_Tertiary Salaries Survey" xfId="14621"/>
    <cellStyle name="RowTitles-Col2 2 3 3 7 3" xfId="14622"/>
    <cellStyle name="RowTitles-Col2 2 3 3 7_Tertiary Salaries Survey" xfId="14623"/>
    <cellStyle name="RowTitles-Col2 2 3 3 8" xfId="14624"/>
    <cellStyle name="RowTitles-Col2 2 3 3 8 2" xfId="14625"/>
    <cellStyle name="RowTitles-Col2 2 3 3 8 2 2" xfId="14626"/>
    <cellStyle name="RowTitles-Col2 2 3 3 8 2_Tertiary Salaries Survey" xfId="14627"/>
    <cellStyle name="RowTitles-Col2 2 3 3 8 3" xfId="14628"/>
    <cellStyle name="RowTitles-Col2 2 3 3 8_Tertiary Salaries Survey" xfId="14629"/>
    <cellStyle name="RowTitles-Col2 2 3 3_STUD aligned by INSTIT" xfId="14630"/>
    <cellStyle name="RowTitles-Col2 2 3 4" xfId="14631"/>
    <cellStyle name="RowTitles-Col2 2 3 4 2" xfId="14632"/>
    <cellStyle name="RowTitles-Col2 2 3 4 2 2" xfId="14633"/>
    <cellStyle name="RowTitles-Col2 2 3 4 2 2 2" xfId="14634"/>
    <cellStyle name="RowTitles-Col2 2 3 4 2 2 2 2" xfId="14635"/>
    <cellStyle name="RowTitles-Col2 2 3 4 2 2 2_Tertiary Salaries Survey" xfId="14636"/>
    <cellStyle name="RowTitles-Col2 2 3 4 2 2 3" xfId="14637"/>
    <cellStyle name="RowTitles-Col2 2 3 4 2 2_Tertiary Salaries Survey" xfId="14638"/>
    <cellStyle name="RowTitles-Col2 2 3 4 2 3" xfId="14639"/>
    <cellStyle name="RowTitles-Col2 2 3 4 2 3 2" xfId="14640"/>
    <cellStyle name="RowTitles-Col2 2 3 4 2 3 2 2" xfId="14641"/>
    <cellStyle name="RowTitles-Col2 2 3 4 2 3 2_Tertiary Salaries Survey" xfId="14642"/>
    <cellStyle name="RowTitles-Col2 2 3 4 2 3 3" xfId="14643"/>
    <cellStyle name="RowTitles-Col2 2 3 4 2 3_Tertiary Salaries Survey" xfId="14644"/>
    <cellStyle name="RowTitles-Col2 2 3 4 2 4" xfId="14645"/>
    <cellStyle name="RowTitles-Col2 2 3 4 2 5" xfId="14646"/>
    <cellStyle name="RowTitles-Col2 2 3 4 2 5 2" xfId="14647"/>
    <cellStyle name="RowTitles-Col2 2 3 4 2 5_Tertiary Salaries Survey" xfId="14648"/>
    <cellStyle name="RowTitles-Col2 2 3 4 2_Tertiary Salaries Survey" xfId="14649"/>
    <cellStyle name="RowTitles-Col2 2 3 4 3" xfId="14650"/>
    <cellStyle name="RowTitles-Col2 2 3 4 3 2" xfId="14651"/>
    <cellStyle name="RowTitles-Col2 2 3 4 3 2 2" xfId="14652"/>
    <cellStyle name="RowTitles-Col2 2 3 4 3 2 2 2" xfId="14653"/>
    <cellStyle name="RowTitles-Col2 2 3 4 3 2 2_Tertiary Salaries Survey" xfId="14654"/>
    <cellStyle name="RowTitles-Col2 2 3 4 3 2 3" xfId="14655"/>
    <cellStyle name="RowTitles-Col2 2 3 4 3 2_Tertiary Salaries Survey" xfId="14656"/>
    <cellStyle name="RowTitles-Col2 2 3 4 3 3" xfId="14657"/>
    <cellStyle name="RowTitles-Col2 2 3 4 3 3 2" xfId="14658"/>
    <cellStyle name="RowTitles-Col2 2 3 4 3 3 2 2" xfId="14659"/>
    <cellStyle name="RowTitles-Col2 2 3 4 3 3 2_Tertiary Salaries Survey" xfId="14660"/>
    <cellStyle name="RowTitles-Col2 2 3 4 3 3 3" xfId="14661"/>
    <cellStyle name="RowTitles-Col2 2 3 4 3 3_Tertiary Salaries Survey" xfId="14662"/>
    <cellStyle name="RowTitles-Col2 2 3 4 3 4" xfId="14663"/>
    <cellStyle name="RowTitles-Col2 2 3 4 3 5" xfId="14664"/>
    <cellStyle name="RowTitles-Col2 2 3 4 3_Tertiary Salaries Survey" xfId="14665"/>
    <cellStyle name="RowTitles-Col2 2 3 4 4" xfId="14666"/>
    <cellStyle name="RowTitles-Col2 2 3 4 4 2" xfId="14667"/>
    <cellStyle name="RowTitles-Col2 2 3 4 4 2 2" xfId="14668"/>
    <cellStyle name="RowTitles-Col2 2 3 4 4 2 2 2" xfId="14669"/>
    <cellStyle name="RowTitles-Col2 2 3 4 4 2 2_Tertiary Salaries Survey" xfId="14670"/>
    <cellStyle name="RowTitles-Col2 2 3 4 4 2 3" xfId="14671"/>
    <cellStyle name="RowTitles-Col2 2 3 4 4 2_Tertiary Salaries Survey" xfId="14672"/>
    <cellStyle name="RowTitles-Col2 2 3 4 4 3" xfId="14673"/>
    <cellStyle name="RowTitles-Col2 2 3 4 4 3 2" xfId="14674"/>
    <cellStyle name="RowTitles-Col2 2 3 4 4 3 2 2" xfId="14675"/>
    <cellStyle name="RowTitles-Col2 2 3 4 4 3 2_Tertiary Salaries Survey" xfId="14676"/>
    <cellStyle name="RowTitles-Col2 2 3 4 4 3 3" xfId="14677"/>
    <cellStyle name="RowTitles-Col2 2 3 4 4 3_Tertiary Salaries Survey" xfId="14678"/>
    <cellStyle name="RowTitles-Col2 2 3 4 4 4" xfId="14679"/>
    <cellStyle name="RowTitles-Col2 2 3 4 4 5" xfId="14680"/>
    <cellStyle name="RowTitles-Col2 2 3 4 4 5 2" xfId="14681"/>
    <cellStyle name="RowTitles-Col2 2 3 4 4 5_Tertiary Salaries Survey" xfId="14682"/>
    <cellStyle name="RowTitles-Col2 2 3 4 4 6" xfId="14683"/>
    <cellStyle name="RowTitles-Col2 2 3 4 4_Tertiary Salaries Survey" xfId="14684"/>
    <cellStyle name="RowTitles-Col2 2 3 4 5" xfId="14685"/>
    <cellStyle name="RowTitles-Col2 2 3 4 5 2" xfId="14686"/>
    <cellStyle name="RowTitles-Col2 2 3 4 5 2 2" xfId="14687"/>
    <cellStyle name="RowTitles-Col2 2 3 4 5 2 2 2" xfId="14688"/>
    <cellStyle name="RowTitles-Col2 2 3 4 5 2 2_Tertiary Salaries Survey" xfId="14689"/>
    <cellStyle name="RowTitles-Col2 2 3 4 5 2 3" xfId="14690"/>
    <cellStyle name="RowTitles-Col2 2 3 4 5 2_Tertiary Salaries Survey" xfId="14691"/>
    <cellStyle name="RowTitles-Col2 2 3 4 5 3" xfId="14692"/>
    <cellStyle name="RowTitles-Col2 2 3 4 5 3 2" xfId="14693"/>
    <cellStyle name="RowTitles-Col2 2 3 4 5 3 2 2" xfId="14694"/>
    <cellStyle name="RowTitles-Col2 2 3 4 5 3 2_Tertiary Salaries Survey" xfId="14695"/>
    <cellStyle name="RowTitles-Col2 2 3 4 5 3 3" xfId="14696"/>
    <cellStyle name="RowTitles-Col2 2 3 4 5 3_Tertiary Salaries Survey" xfId="14697"/>
    <cellStyle name="RowTitles-Col2 2 3 4 5 4" xfId="14698"/>
    <cellStyle name="RowTitles-Col2 2 3 4 5 4 2" xfId="14699"/>
    <cellStyle name="RowTitles-Col2 2 3 4 5 4_Tertiary Salaries Survey" xfId="14700"/>
    <cellStyle name="RowTitles-Col2 2 3 4 5 5" xfId="14701"/>
    <cellStyle name="RowTitles-Col2 2 3 4 5_Tertiary Salaries Survey" xfId="14702"/>
    <cellStyle name="RowTitles-Col2 2 3 4 6" xfId="14703"/>
    <cellStyle name="RowTitles-Col2 2 3 4 6 2" xfId="14704"/>
    <cellStyle name="RowTitles-Col2 2 3 4 6 2 2" xfId="14705"/>
    <cellStyle name="RowTitles-Col2 2 3 4 6 2 2 2" xfId="14706"/>
    <cellStyle name="RowTitles-Col2 2 3 4 6 2 2_Tertiary Salaries Survey" xfId="14707"/>
    <cellStyle name="RowTitles-Col2 2 3 4 6 2 3" xfId="14708"/>
    <cellStyle name="RowTitles-Col2 2 3 4 6 2_Tertiary Salaries Survey" xfId="14709"/>
    <cellStyle name="RowTitles-Col2 2 3 4 6 3" xfId="14710"/>
    <cellStyle name="RowTitles-Col2 2 3 4 6 3 2" xfId="14711"/>
    <cellStyle name="RowTitles-Col2 2 3 4 6 3 2 2" xfId="14712"/>
    <cellStyle name="RowTitles-Col2 2 3 4 6 3 2_Tertiary Salaries Survey" xfId="14713"/>
    <cellStyle name="RowTitles-Col2 2 3 4 6 3 3" xfId="14714"/>
    <cellStyle name="RowTitles-Col2 2 3 4 6 3_Tertiary Salaries Survey" xfId="14715"/>
    <cellStyle name="RowTitles-Col2 2 3 4 6 4" xfId="14716"/>
    <cellStyle name="RowTitles-Col2 2 3 4 6 4 2" xfId="14717"/>
    <cellStyle name="RowTitles-Col2 2 3 4 6 4_Tertiary Salaries Survey" xfId="14718"/>
    <cellStyle name="RowTitles-Col2 2 3 4 6 5" xfId="14719"/>
    <cellStyle name="RowTitles-Col2 2 3 4 6_Tertiary Salaries Survey" xfId="14720"/>
    <cellStyle name="RowTitles-Col2 2 3 4 7" xfId="14721"/>
    <cellStyle name="RowTitles-Col2 2 3 4 7 2" xfId="14722"/>
    <cellStyle name="RowTitles-Col2 2 3 4 7 2 2" xfId="14723"/>
    <cellStyle name="RowTitles-Col2 2 3 4 7 2_Tertiary Salaries Survey" xfId="14724"/>
    <cellStyle name="RowTitles-Col2 2 3 4 7 3" xfId="14725"/>
    <cellStyle name="RowTitles-Col2 2 3 4 7_Tertiary Salaries Survey" xfId="14726"/>
    <cellStyle name="RowTitles-Col2 2 3 4 8" xfId="14727"/>
    <cellStyle name="RowTitles-Col2 2 3 4_STUD aligned by INSTIT" xfId="14728"/>
    <cellStyle name="RowTitles-Col2 2 3 5" xfId="14729"/>
    <cellStyle name="RowTitles-Col2 2 3 5 2" xfId="14730"/>
    <cellStyle name="RowTitles-Col2 2 3 5 2 2" xfId="14731"/>
    <cellStyle name="RowTitles-Col2 2 3 5 2 2 2" xfId="14732"/>
    <cellStyle name="RowTitles-Col2 2 3 5 2 2_Tertiary Salaries Survey" xfId="14733"/>
    <cellStyle name="RowTitles-Col2 2 3 5 2 3" xfId="14734"/>
    <cellStyle name="RowTitles-Col2 2 3 5 2_Tertiary Salaries Survey" xfId="14735"/>
    <cellStyle name="RowTitles-Col2 2 3 5 3" xfId="14736"/>
    <cellStyle name="RowTitles-Col2 2 3 5 3 2" xfId="14737"/>
    <cellStyle name="RowTitles-Col2 2 3 5 3 2 2" xfId="14738"/>
    <cellStyle name="RowTitles-Col2 2 3 5 3 2_Tertiary Salaries Survey" xfId="14739"/>
    <cellStyle name="RowTitles-Col2 2 3 5 3 3" xfId="14740"/>
    <cellStyle name="RowTitles-Col2 2 3 5 3_Tertiary Salaries Survey" xfId="14741"/>
    <cellStyle name="RowTitles-Col2 2 3 5 4" xfId="14742"/>
    <cellStyle name="RowTitles-Col2 2 3 5 5" xfId="14743"/>
    <cellStyle name="RowTitles-Col2 2 3 5 5 2" xfId="14744"/>
    <cellStyle name="RowTitles-Col2 2 3 5 5_Tertiary Salaries Survey" xfId="14745"/>
    <cellStyle name="RowTitles-Col2 2 3 5_Tertiary Salaries Survey" xfId="14746"/>
    <cellStyle name="RowTitles-Col2 2 3 6" xfId="14747"/>
    <cellStyle name="RowTitles-Col2 2 3 6 2" xfId="14748"/>
    <cellStyle name="RowTitles-Col2 2 3 6 2 2" xfId="14749"/>
    <cellStyle name="RowTitles-Col2 2 3 6 2 2 2" xfId="14750"/>
    <cellStyle name="RowTitles-Col2 2 3 6 2 2_Tertiary Salaries Survey" xfId="14751"/>
    <cellStyle name="RowTitles-Col2 2 3 6 2 3" xfId="14752"/>
    <cellStyle name="RowTitles-Col2 2 3 6 2_Tertiary Salaries Survey" xfId="14753"/>
    <cellStyle name="RowTitles-Col2 2 3 6 3" xfId="14754"/>
    <cellStyle name="RowTitles-Col2 2 3 6 3 2" xfId="14755"/>
    <cellStyle name="RowTitles-Col2 2 3 6 3 2 2" xfId="14756"/>
    <cellStyle name="RowTitles-Col2 2 3 6 3 2_Tertiary Salaries Survey" xfId="14757"/>
    <cellStyle name="RowTitles-Col2 2 3 6 3 3" xfId="14758"/>
    <cellStyle name="RowTitles-Col2 2 3 6 3_Tertiary Salaries Survey" xfId="14759"/>
    <cellStyle name="RowTitles-Col2 2 3 6 4" xfId="14760"/>
    <cellStyle name="RowTitles-Col2 2 3 6 5" xfId="14761"/>
    <cellStyle name="RowTitles-Col2 2 3 6_Tertiary Salaries Survey" xfId="14762"/>
    <cellStyle name="RowTitles-Col2 2 3 7" xfId="14763"/>
    <cellStyle name="RowTitles-Col2 2 3 7 2" xfId="14764"/>
    <cellStyle name="RowTitles-Col2 2 3 7 2 2" xfId="14765"/>
    <cellStyle name="RowTitles-Col2 2 3 7 2 2 2" xfId="14766"/>
    <cellStyle name="RowTitles-Col2 2 3 7 2 2_Tertiary Salaries Survey" xfId="14767"/>
    <cellStyle name="RowTitles-Col2 2 3 7 2 3" xfId="14768"/>
    <cellStyle name="RowTitles-Col2 2 3 7 2_Tertiary Salaries Survey" xfId="14769"/>
    <cellStyle name="RowTitles-Col2 2 3 7 3" xfId="14770"/>
    <cellStyle name="RowTitles-Col2 2 3 7 3 2" xfId="14771"/>
    <cellStyle name="RowTitles-Col2 2 3 7 3 2 2" xfId="14772"/>
    <cellStyle name="RowTitles-Col2 2 3 7 3 2_Tertiary Salaries Survey" xfId="14773"/>
    <cellStyle name="RowTitles-Col2 2 3 7 3 3" xfId="14774"/>
    <cellStyle name="RowTitles-Col2 2 3 7 3_Tertiary Salaries Survey" xfId="14775"/>
    <cellStyle name="RowTitles-Col2 2 3 7 4" xfId="14776"/>
    <cellStyle name="RowTitles-Col2 2 3 7 5" xfId="14777"/>
    <cellStyle name="RowTitles-Col2 2 3 7 5 2" xfId="14778"/>
    <cellStyle name="RowTitles-Col2 2 3 7 5_Tertiary Salaries Survey" xfId="14779"/>
    <cellStyle name="RowTitles-Col2 2 3 7 6" xfId="14780"/>
    <cellStyle name="RowTitles-Col2 2 3 7_Tertiary Salaries Survey" xfId="14781"/>
    <cellStyle name="RowTitles-Col2 2 3 8" xfId="14782"/>
    <cellStyle name="RowTitles-Col2 2 3 8 2" xfId="14783"/>
    <cellStyle name="RowTitles-Col2 2 3 8 2 2" xfId="14784"/>
    <cellStyle name="RowTitles-Col2 2 3 8 2 2 2" xfId="14785"/>
    <cellStyle name="RowTitles-Col2 2 3 8 2 2_Tertiary Salaries Survey" xfId="14786"/>
    <cellStyle name="RowTitles-Col2 2 3 8 2 3" xfId="14787"/>
    <cellStyle name="RowTitles-Col2 2 3 8 2_Tertiary Salaries Survey" xfId="14788"/>
    <cellStyle name="RowTitles-Col2 2 3 8 3" xfId="14789"/>
    <cellStyle name="RowTitles-Col2 2 3 8 3 2" xfId="14790"/>
    <cellStyle name="RowTitles-Col2 2 3 8 3 2 2" xfId="14791"/>
    <cellStyle name="RowTitles-Col2 2 3 8 3 2_Tertiary Salaries Survey" xfId="14792"/>
    <cellStyle name="RowTitles-Col2 2 3 8 3 3" xfId="14793"/>
    <cellStyle name="RowTitles-Col2 2 3 8 3_Tertiary Salaries Survey" xfId="14794"/>
    <cellStyle name="RowTitles-Col2 2 3 8 4" xfId="14795"/>
    <cellStyle name="RowTitles-Col2 2 3 8 4 2" xfId="14796"/>
    <cellStyle name="RowTitles-Col2 2 3 8 4_Tertiary Salaries Survey" xfId="14797"/>
    <cellStyle name="RowTitles-Col2 2 3 8 5" xfId="14798"/>
    <cellStyle name="RowTitles-Col2 2 3 8_Tertiary Salaries Survey" xfId="14799"/>
    <cellStyle name="RowTitles-Col2 2 3 9" xfId="14800"/>
    <cellStyle name="RowTitles-Col2 2 3 9 2" xfId="14801"/>
    <cellStyle name="RowTitles-Col2 2 3 9 2 2" xfId="14802"/>
    <cellStyle name="RowTitles-Col2 2 3 9 2 2 2" xfId="14803"/>
    <cellStyle name="RowTitles-Col2 2 3 9 2 2_Tertiary Salaries Survey" xfId="14804"/>
    <cellStyle name="RowTitles-Col2 2 3 9 2 3" xfId="14805"/>
    <cellStyle name="RowTitles-Col2 2 3 9 2_Tertiary Salaries Survey" xfId="14806"/>
    <cellStyle name="RowTitles-Col2 2 3 9 3" xfId="14807"/>
    <cellStyle name="RowTitles-Col2 2 3 9 3 2" xfId="14808"/>
    <cellStyle name="RowTitles-Col2 2 3 9 3 2 2" xfId="14809"/>
    <cellStyle name="RowTitles-Col2 2 3 9 3 2_Tertiary Salaries Survey" xfId="14810"/>
    <cellStyle name="RowTitles-Col2 2 3 9 3 3" xfId="14811"/>
    <cellStyle name="RowTitles-Col2 2 3 9 3_Tertiary Salaries Survey" xfId="14812"/>
    <cellStyle name="RowTitles-Col2 2 3 9 4" xfId="14813"/>
    <cellStyle name="RowTitles-Col2 2 3 9 4 2" xfId="14814"/>
    <cellStyle name="RowTitles-Col2 2 3 9 4_Tertiary Salaries Survey" xfId="14815"/>
    <cellStyle name="RowTitles-Col2 2 3 9 5" xfId="14816"/>
    <cellStyle name="RowTitles-Col2 2 3 9_Tertiary Salaries Survey" xfId="14817"/>
    <cellStyle name="RowTitles-Col2 2 3_STUD aligned by INSTIT" xfId="14818"/>
    <cellStyle name="RowTitles-Col2 2 4" xfId="14819"/>
    <cellStyle name="RowTitles-Col2 2 4 2" xfId="14820"/>
    <cellStyle name="RowTitles-Col2 2 4 2 2" xfId="14821"/>
    <cellStyle name="RowTitles-Col2 2 4 2 2 2" xfId="14822"/>
    <cellStyle name="RowTitles-Col2 2 4 2 2 2 2" xfId="14823"/>
    <cellStyle name="RowTitles-Col2 2 4 2 2 2_Tertiary Salaries Survey" xfId="14824"/>
    <cellStyle name="RowTitles-Col2 2 4 2 2 3" xfId="14825"/>
    <cellStyle name="RowTitles-Col2 2 4 2 2_Tertiary Salaries Survey" xfId="14826"/>
    <cellStyle name="RowTitles-Col2 2 4 2 3" xfId="14827"/>
    <cellStyle name="RowTitles-Col2 2 4 2 3 2" xfId="14828"/>
    <cellStyle name="RowTitles-Col2 2 4 2 3 2 2" xfId="14829"/>
    <cellStyle name="RowTitles-Col2 2 4 2 3 2_Tertiary Salaries Survey" xfId="14830"/>
    <cellStyle name="RowTitles-Col2 2 4 2 3 3" xfId="14831"/>
    <cellStyle name="RowTitles-Col2 2 4 2 3_Tertiary Salaries Survey" xfId="14832"/>
    <cellStyle name="RowTitles-Col2 2 4 2 4" xfId="14833"/>
    <cellStyle name="RowTitles-Col2 2 4 2_Tertiary Salaries Survey" xfId="14834"/>
    <cellStyle name="RowTitles-Col2 2 4 3" xfId="14835"/>
    <cellStyle name="RowTitles-Col2 2 4 3 2" xfId="14836"/>
    <cellStyle name="RowTitles-Col2 2 4 3 2 2" xfId="14837"/>
    <cellStyle name="RowTitles-Col2 2 4 3 2 2 2" xfId="14838"/>
    <cellStyle name="RowTitles-Col2 2 4 3 2 2_Tertiary Salaries Survey" xfId="14839"/>
    <cellStyle name="RowTitles-Col2 2 4 3 2 3" xfId="14840"/>
    <cellStyle name="RowTitles-Col2 2 4 3 2_Tertiary Salaries Survey" xfId="14841"/>
    <cellStyle name="RowTitles-Col2 2 4 3 3" xfId="14842"/>
    <cellStyle name="RowTitles-Col2 2 4 3 3 2" xfId="14843"/>
    <cellStyle name="RowTitles-Col2 2 4 3 3 2 2" xfId="14844"/>
    <cellStyle name="RowTitles-Col2 2 4 3 3 2_Tertiary Salaries Survey" xfId="14845"/>
    <cellStyle name="RowTitles-Col2 2 4 3 3 3" xfId="14846"/>
    <cellStyle name="RowTitles-Col2 2 4 3 3_Tertiary Salaries Survey" xfId="14847"/>
    <cellStyle name="RowTitles-Col2 2 4 3 4" xfId="14848"/>
    <cellStyle name="RowTitles-Col2 2 4 3 5" xfId="14849"/>
    <cellStyle name="RowTitles-Col2 2 4 3 5 2" xfId="14850"/>
    <cellStyle name="RowTitles-Col2 2 4 3 5_Tertiary Salaries Survey" xfId="14851"/>
    <cellStyle name="RowTitles-Col2 2 4 3 6" xfId="14852"/>
    <cellStyle name="RowTitles-Col2 2 4 3_Tertiary Salaries Survey" xfId="14853"/>
    <cellStyle name="RowTitles-Col2 2 4 4" xfId="14854"/>
    <cellStyle name="RowTitles-Col2 2 4 4 2" xfId="14855"/>
    <cellStyle name="RowTitles-Col2 2 4 4 2 2" xfId="14856"/>
    <cellStyle name="RowTitles-Col2 2 4 4 2 2 2" xfId="14857"/>
    <cellStyle name="RowTitles-Col2 2 4 4 2 2_Tertiary Salaries Survey" xfId="14858"/>
    <cellStyle name="RowTitles-Col2 2 4 4 2 3" xfId="14859"/>
    <cellStyle name="RowTitles-Col2 2 4 4 2_Tertiary Salaries Survey" xfId="14860"/>
    <cellStyle name="RowTitles-Col2 2 4 4 3" xfId="14861"/>
    <cellStyle name="RowTitles-Col2 2 4 4 3 2" xfId="14862"/>
    <cellStyle name="RowTitles-Col2 2 4 4 3 2 2" xfId="14863"/>
    <cellStyle name="RowTitles-Col2 2 4 4 3 2_Tertiary Salaries Survey" xfId="14864"/>
    <cellStyle name="RowTitles-Col2 2 4 4 3 3" xfId="14865"/>
    <cellStyle name="RowTitles-Col2 2 4 4 3_Tertiary Salaries Survey" xfId="14866"/>
    <cellStyle name="RowTitles-Col2 2 4 4 4" xfId="14867"/>
    <cellStyle name="RowTitles-Col2 2 4 4 4 2" xfId="14868"/>
    <cellStyle name="RowTitles-Col2 2 4 4 4_Tertiary Salaries Survey" xfId="14869"/>
    <cellStyle name="RowTitles-Col2 2 4 4 5" xfId="14870"/>
    <cellStyle name="RowTitles-Col2 2 4 4_Tertiary Salaries Survey" xfId="14871"/>
    <cellStyle name="RowTitles-Col2 2 4 5" xfId="14872"/>
    <cellStyle name="RowTitles-Col2 2 4 5 2" xfId="14873"/>
    <cellStyle name="RowTitles-Col2 2 4 5 2 2" xfId="14874"/>
    <cellStyle name="RowTitles-Col2 2 4 5 2 2 2" xfId="14875"/>
    <cellStyle name="RowTitles-Col2 2 4 5 2 2_Tertiary Salaries Survey" xfId="14876"/>
    <cellStyle name="RowTitles-Col2 2 4 5 2 3" xfId="14877"/>
    <cellStyle name="RowTitles-Col2 2 4 5 2_Tertiary Salaries Survey" xfId="14878"/>
    <cellStyle name="RowTitles-Col2 2 4 5 3" xfId="14879"/>
    <cellStyle name="RowTitles-Col2 2 4 5 3 2" xfId="14880"/>
    <cellStyle name="RowTitles-Col2 2 4 5 3 2 2" xfId="14881"/>
    <cellStyle name="RowTitles-Col2 2 4 5 3 2_Tertiary Salaries Survey" xfId="14882"/>
    <cellStyle name="RowTitles-Col2 2 4 5 3 3" xfId="14883"/>
    <cellStyle name="RowTitles-Col2 2 4 5 3_Tertiary Salaries Survey" xfId="14884"/>
    <cellStyle name="RowTitles-Col2 2 4 5 4" xfId="14885"/>
    <cellStyle name="RowTitles-Col2 2 4 5 4 2" xfId="14886"/>
    <cellStyle name="RowTitles-Col2 2 4 5 4_Tertiary Salaries Survey" xfId="14887"/>
    <cellStyle name="RowTitles-Col2 2 4 5 5" xfId="14888"/>
    <cellStyle name="RowTitles-Col2 2 4 5_Tertiary Salaries Survey" xfId="14889"/>
    <cellStyle name="RowTitles-Col2 2 4 6" xfId="14890"/>
    <cellStyle name="RowTitles-Col2 2 4 6 2" xfId="14891"/>
    <cellStyle name="RowTitles-Col2 2 4 6 2 2" xfId="14892"/>
    <cellStyle name="RowTitles-Col2 2 4 6 2 2 2" xfId="14893"/>
    <cellStyle name="RowTitles-Col2 2 4 6 2 2_Tertiary Salaries Survey" xfId="14894"/>
    <cellStyle name="RowTitles-Col2 2 4 6 2 3" xfId="14895"/>
    <cellStyle name="RowTitles-Col2 2 4 6 2_Tertiary Salaries Survey" xfId="14896"/>
    <cellStyle name="RowTitles-Col2 2 4 6 3" xfId="14897"/>
    <cellStyle name="RowTitles-Col2 2 4 6 3 2" xfId="14898"/>
    <cellStyle name="RowTitles-Col2 2 4 6 3 2 2" xfId="14899"/>
    <cellStyle name="RowTitles-Col2 2 4 6 3 2_Tertiary Salaries Survey" xfId="14900"/>
    <cellStyle name="RowTitles-Col2 2 4 6 3 3" xfId="14901"/>
    <cellStyle name="RowTitles-Col2 2 4 6 3_Tertiary Salaries Survey" xfId="14902"/>
    <cellStyle name="RowTitles-Col2 2 4 6 4" xfId="14903"/>
    <cellStyle name="RowTitles-Col2 2 4 6 4 2" xfId="14904"/>
    <cellStyle name="RowTitles-Col2 2 4 6 4_Tertiary Salaries Survey" xfId="14905"/>
    <cellStyle name="RowTitles-Col2 2 4 6 5" xfId="14906"/>
    <cellStyle name="RowTitles-Col2 2 4 6_Tertiary Salaries Survey" xfId="14907"/>
    <cellStyle name="RowTitles-Col2 2 4 7" xfId="14908"/>
    <cellStyle name="RowTitles-Col2 2 4 7 2" xfId="14909"/>
    <cellStyle name="RowTitles-Col2 2 4 7 2 2" xfId="14910"/>
    <cellStyle name="RowTitles-Col2 2 4 7 2_Tertiary Salaries Survey" xfId="14911"/>
    <cellStyle name="RowTitles-Col2 2 4 7 3" xfId="14912"/>
    <cellStyle name="RowTitles-Col2 2 4 7_Tertiary Salaries Survey" xfId="14913"/>
    <cellStyle name="RowTitles-Col2 2 4 8" xfId="14914"/>
    <cellStyle name="RowTitles-Col2 2 4_STUD aligned by INSTIT" xfId="14915"/>
    <cellStyle name="RowTitles-Col2 2 5" xfId="14916"/>
    <cellStyle name="RowTitles-Col2 2 5 2" xfId="14917"/>
    <cellStyle name="RowTitles-Col2 2 5 2 2" xfId="14918"/>
    <cellStyle name="RowTitles-Col2 2 5 2 2 2" xfId="14919"/>
    <cellStyle name="RowTitles-Col2 2 5 2 2 2 2" xfId="14920"/>
    <cellStyle name="RowTitles-Col2 2 5 2 2 2_Tertiary Salaries Survey" xfId="14921"/>
    <cellStyle name="RowTitles-Col2 2 5 2 2 3" xfId="14922"/>
    <cellStyle name="RowTitles-Col2 2 5 2 2_Tertiary Salaries Survey" xfId="14923"/>
    <cellStyle name="RowTitles-Col2 2 5 2 3" xfId="14924"/>
    <cellStyle name="RowTitles-Col2 2 5 2 3 2" xfId="14925"/>
    <cellStyle name="RowTitles-Col2 2 5 2 3 2 2" xfId="14926"/>
    <cellStyle name="RowTitles-Col2 2 5 2 3 2_Tertiary Salaries Survey" xfId="14927"/>
    <cellStyle name="RowTitles-Col2 2 5 2 3 3" xfId="14928"/>
    <cellStyle name="RowTitles-Col2 2 5 2 3_Tertiary Salaries Survey" xfId="14929"/>
    <cellStyle name="RowTitles-Col2 2 5 2 4" xfId="14930"/>
    <cellStyle name="RowTitles-Col2 2 5 2 5" xfId="14931"/>
    <cellStyle name="RowTitles-Col2 2 5 2 5 2" xfId="14932"/>
    <cellStyle name="RowTitles-Col2 2 5 2 5_Tertiary Salaries Survey" xfId="14933"/>
    <cellStyle name="RowTitles-Col2 2 5 2 6" xfId="14934"/>
    <cellStyle name="RowTitles-Col2 2 5 2_Tertiary Salaries Survey" xfId="14935"/>
    <cellStyle name="RowTitles-Col2 2 5 3" xfId="14936"/>
    <cellStyle name="RowTitles-Col2 2 5 3 2" xfId="14937"/>
    <cellStyle name="RowTitles-Col2 2 5 3 2 2" xfId="14938"/>
    <cellStyle name="RowTitles-Col2 2 5 3 2 2 2" xfId="14939"/>
    <cellStyle name="RowTitles-Col2 2 5 3 2 2_Tertiary Salaries Survey" xfId="14940"/>
    <cellStyle name="RowTitles-Col2 2 5 3 2 3" xfId="14941"/>
    <cellStyle name="RowTitles-Col2 2 5 3 2_Tertiary Salaries Survey" xfId="14942"/>
    <cellStyle name="RowTitles-Col2 2 5 3 3" xfId="14943"/>
    <cellStyle name="RowTitles-Col2 2 5 3 3 2" xfId="14944"/>
    <cellStyle name="RowTitles-Col2 2 5 3 3 2 2" xfId="14945"/>
    <cellStyle name="RowTitles-Col2 2 5 3 3 2_Tertiary Salaries Survey" xfId="14946"/>
    <cellStyle name="RowTitles-Col2 2 5 3 3 3" xfId="14947"/>
    <cellStyle name="RowTitles-Col2 2 5 3 3_Tertiary Salaries Survey" xfId="14948"/>
    <cellStyle name="RowTitles-Col2 2 5 3 4" xfId="14949"/>
    <cellStyle name="RowTitles-Col2 2 5 3_Tertiary Salaries Survey" xfId="14950"/>
    <cellStyle name="RowTitles-Col2 2 5 4" xfId="14951"/>
    <cellStyle name="RowTitles-Col2 2 5 4 2" xfId="14952"/>
    <cellStyle name="RowTitles-Col2 2 5 4 2 2" xfId="14953"/>
    <cellStyle name="RowTitles-Col2 2 5 4 2 2 2" xfId="14954"/>
    <cellStyle name="RowTitles-Col2 2 5 4 2 2_Tertiary Salaries Survey" xfId="14955"/>
    <cellStyle name="RowTitles-Col2 2 5 4 2 3" xfId="14956"/>
    <cellStyle name="RowTitles-Col2 2 5 4 2_Tertiary Salaries Survey" xfId="14957"/>
    <cellStyle name="RowTitles-Col2 2 5 4 3" xfId="14958"/>
    <cellStyle name="RowTitles-Col2 2 5 4 3 2" xfId="14959"/>
    <cellStyle name="RowTitles-Col2 2 5 4 3 2 2" xfId="14960"/>
    <cellStyle name="RowTitles-Col2 2 5 4 3 2_Tertiary Salaries Survey" xfId="14961"/>
    <cellStyle name="RowTitles-Col2 2 5 4 3 3" xfId="14962"/>
    <cellStyle name="RowTitles-Col2 2 5 4 3_Tertiary Salaries Survey" xfId="14963"/>
    <cellStyle name="RowTitles-Col2 2 5 4 4" xfId="14964"/>
    <cellStyle name="RowTitles-Col2 2 5 4 4 2" xfId="14965"/>
    <cellStyle name="RowTitles-Col2 2 5 4 4_Tertiary Salaries Survey" xfId="14966"/>
    <cellStyle name="RowTitles-Col2 2 5 4 5" xfId="14967"/>
    <cellStyle name="RowTitles-Col2 2 5 4_Tertiary Salaries Survey" xfId="14968"/>
    <cellStyle name="RowTitles-Col2 2 5 5" xfId="14969"/>
    <cellStyle name="RowTitles-Col2 2 5 5 2" xfId="14970"/>
    <cellStyle name="RowTitles-Col2 2 5 5 2 2" xfId="14971"/>
    <cellStyle name="RowTitles-Col2 2 5 5 2 2 2" xfId="14972"/>
    <cellStyle name="RowTitles-Col2 2 5 5 2 2_Tertiary Salaries Survey" xfId="14973"/>
    <cellStyle name="RowTitles-Col2 2 5 5 2 3" xfId="14974"/>
    <cellStyle name="RowTitles-Col2 2 5 5 2_Tertiary Salaries Survey" xfId="14975"/>
    <cellStyle name="RowTitles-Col2 2 5 5 3" xfId="14976"/>
    <cellStyle name="RowTitles-Col2 2 5 5 3 2" xfId="14977"/>
    <cellStyle name="RowTitles-Col2 2 5 5 3 2 2" xfId="14978"/>
    <cellStyle name="RowTitles-Col2 2 5 5 3 2_Tertiary Salaries Survey" xfId="14979"/>
    <cellStyle name="RowTitles-Col2 2 5 5 3 3" xfId="14980"/>
    <cellStyle name="RowTitles-Col2 2 5 5 3_Tertiary Salaries Survey" xfId="14981"/>
    <cellStyle name="RowTitles-Col2 2 5 5 4" xfId="14982"/>
    <cellStyle name="RowTitles-Col2 2 5 5 4 2" xfId="14983"/>
    <cellStyle name="RowTitles-Col2 2 5 5 4_Tertiary Salaries Survey" xfId="14984"/>
    <cellStyle name="RowTitles-Col2 2 5 5 5" xfId="14985"/>
    <cellStyle name="RowTitles-Col2 2 5 5_Tertiary Salaries Survey" xfId="14986"/>
    <cellStyle name="RowTitles-Col2 2 5 6" xfId="14987"/>
    <cellStyle name="RowTitles-Col2 2 5 6 2" xfId="14988"/>
    <cellStyle name="RowTitles-Col2 2 5 6 2 2" xfId="14989"/>
    <cellStyle name="RowTitles-Col2 2 5 6 2 2 2" xfId="14990"/>
    <cellStyle name="RowTitles-Col2 2 5 6 2 2_Tertiary Salaries Survey" xfId="14991"/>
    <cellStyle name="RowTitles-Col2 2 5 6 2 3" xfId="14992"/>
    <cellStyle name="RowTitles-Col2 2 5 6 2_Tertiary Salaries Survey" xfId="14993"/>
    <cellStyle name="RowTitles-Col2 2 5 6 3" xfId="14994"/>
    <cellStyle name="RowTitles-Col2 2 5 6 3 2" xfId="14995"/>
    <cellStyle name="RowTitles-Col2 2 5 6 3 2 2" xfId="14996"/>
    <cellStyle name="RowTitles-Col2 2 5 6 3 2_Tertiary Salaries Survey" xfId="14997"/>
    <cellStyle name="RowTitles-Col2 2 5 6 3 3" xfId="14998"/>
    <cellStyle name="RowTitles-Col2 2 5 6 3_Tertiary Salaries Survey" xfId="14999"/>
    <cellStyle name="RowTitles-Col2 2 5 6 4" xfId="15000"/>
    <cellStyle name="RowTitles-Col2 2 5 6 4 2" xfId="15001"/>
    <cellStyle name="RowTitles-Col2 2 5 6 4_Tertiary Salaries Survey" xfId="15002"/>
    <cellStyle name="RowTitles-Col2 2 5 6 5" xfId="15003"/>
    <cellStyle name="RowTitles-Col2 2 5 6_Tertiary Salaries Survey" xfId="15004"/>
    <cellStyle name="RowTitles-Col2 2 5 7" xfId="15005"/>
    <cellStyle name="RowTitles-Col2 2 5 7 2" xfId="15006"/>
    <cellStyle name="RowTitles-Col2 2 5 7 2 2" xfId="15007"/>
    <cellStyle name="RowTitles-Col2 2 5 7 2_Tertiary Salaries Survey" xfId="15008"/>
    <cellStyle name="RowTitles-Col2 2 5 7 3" xfId="15009"/>
    <cellStyle name="RowTitles-Col2 2 5 7_Tertiary Salaries Survey" xfId="15010"/>
    <cellStyle name="RowTitles-Col2 2 5 8" xfId="15011"/>
    <cellStyle name="RowTitles-Col2 2 5 8 2" xfId="15012"/>
    <cellStyle name="RowTitles-Col2 2 5 8 2 2" xfId="15013"/>
    <cellStyle name="RowTitles-Col2 2 5 8 2_Tertiary Salaries Survey" xfId="15014"/>
    <cellStyle name="RowTitles-Col2 2 5 8 3" xfId="15015"/>
    <cellStyle name="RowTitles-Col2 2 5 8_Tertiary Salaries Survey" xfId="15016"/>
    <cellStyle name="RowTitles-Col2 2 5_STUD aligned by INSTIT" xfId="15017"/>
    <cellStyle name="RowTitles-Col2 2 6" xfId="15018"/>
    <cellStyle name="RowTitles-Col2 2 6 2" xfId="15019"/>
    <cellStyle name="RowTitles-Col2 2 6 2 2" xfId="15020"/>
    <cellStyle name="RowTitles-Col2 2 6 2 2 2" xfId="15021"/>
    <cellStyle name="RowTitles-Col2 2 6 2 2 2 2" xfId="15022"/>
    <cellStyle name="RowTitles-Col2 2 6 2 2 2_Tertiary Salaries Survey" xfId="15023"/>
    <cellStyle name="RowTitles-Col2 2 6 2 2 3" xfId="15024"/>
    <cellStyle name="RowTitles-Col2 2 6 2 2_Tertiary Salaries Survey" xfId="15025"/>
    <cellStyle name="RowTitles-Col2 2 6 2 3" xfId="15026"/>
    <cellStyle name="RowTitles-Col2 2 6 2 3 2" xfId="15027"/>
    <cellStyle name="RowTitles-Col2 2 6 2 3 2 2" xfId="15028"/>
    <cellStyle name="RowTitles-Col2 2 6 2 3 2_Tertiary Salaries Survey" xfId="15029"/>
    <cellStyle name="RowTitles-Col2 2 6 2 3 3" xfId="15030"/>
    <cellStyle name="RowTitles-Col2 2 6 2 3_Tertiary Salaries Survey" xfId="15031"/>
    <cellStyle name="RowTitles-Col2 2 6 2 4" xfId="15032"/>
    <cellStyle name="RowTitles-Col2 2 6 2 5" xfId="15033"/>
    <cellStyle name="RowTitles-Col2 2 6 2 5 2" xfId="15034"/>
    <cellStyle name="RowTitles-Col2 2 6 2 5_Tertiary Salaries Survey" xfId="15035"/>
    <cellStyle name="RowTitles-Col2 2 6 2_Tertiary Salaries Survey" xfId="15036"/>
    <cellStyle name="RowTitles-Col2 2 6 3" xfId="15037"/>
    <cellStyle name="RowTitles-Col2 2 6 3 2" xfId="15038"/>
    <cellStyle name="RowTitles-Col2 2 6 3 2 2" xfId="15039"/>
    <cellStyle name="RowTitles-Col2 2 6 3 2 2 2" xfId="15040"/>
    <cellStyle name="RowTitles-Col2 2 6 3 2 2_Tertiary Salaries Survey" xfId="15041"/>
    <cellStyle name="RowTitles-Col2 2 6 3 2 3" xfId="15042"/>
    <cellStyle name="RowTitles-Col2 2 6 3 2_Tertiary Salaries Survey" xfId="15043"/>
    <cellStyle name="RowTitles-Col2 2 6 3 3" xfId="15044"/>
    <cellStyle name="RowTitles-Col2 2 6 3 3 2" xfId="15045"/>
    <cellStyle name="RowTitles-Col2 2 6 3 3 2 2" xfId="15046"/>
    <cellStyle name="RowTitles-Col2 2 6 3 3 2_Tertiary Salaries Survey" xfId="15047"/>
    <cellStyle name="RowTitles-Col2 2 6 3 3 3" xfId="15048"/>
    <cellStyle name="RowTitles-Col2 2 6 3 3_Tertiary Salaries Survey" xfId="15049"/>
    <cellStyle name="RowTitles-Col2 2 6 3 4" xfId="15050"/>
    <cellStyle name="RowTitles-Col2 2 6 3 5" xfId="15051"/>
    <cellStyle name="RowTitles-Col2 2 6 3_Tertiary Salaries Survey" xfId="15052"/>
    <cellStyle name="RowTitles-Col2 2 6 4" xfId="15053"/>
    <cellStyle name="RowTitles-Col2 2 6 4 2" xfId="15054"/>
    <cellStyle name="RowTitles-Col2 2 6 4 2 2" xfId="15055"/>
    <cellStyle name="RowTitles-Col2 2 6 4 2 2 2" xfId="15056"/>
    <cellStyle name="RowTitles-Col2 2 6 4 2 2_Tertiary Salaries Survey" xfId="15057"/>
    <cellStyle name="RowTitles-Col2 2 6 4 2 3" xfId="15058"/>
    <cellStyle name="RowTitles-Col2 2 6 4 2_Tertiary Salaries Survey" xfId="15059"/>
    <cellStyle name="RowTitles-Col2 2 6 4 3" xfId="15060"/>
    <cellStyle name="RowTitles-Col2 2 6 4 3 2" xfId="15061"/>
    <cellStyle name="RowTitles-Col2 2 6 4 3 2 2" xfId="15062"/>
    <cellStyle name="RowTitles-Col2 2 6 4 3 2_Tertiary Salaries Survey" xfId="15063"/>
    <cellStyle name="RowTitles-Col2 2 6 4 3 3" xfId="15064"/>
    <cellStyle name="RowTitles-Col2 2 6 4 3_Tertiary Salaries Survey" xfId="15065"/>
    <cellStyle name="RowTitles-Col2 2 6 4 4" xfId="15066"/>
    <cellStyle name="RowTitles-Col2 2 6 4 5" xfId="15067"/>
    <cellStyle name="RowTitles-Col2 2 6 4 5 2" xfId="15068"/>
    <cellStyle name="RowTitles-Col2 2 6 4 5_Tertiary Salaries Survey" xfId="15069"/>
    <cellStyle name="RowTitles-Col2 2 6 4 6" xfId="15070"/>
    <cellStyle name="RowTitles-Col2 2 6 4_Tertiary Salaries Survey" xfId="15071"/>
    <cellStyle name="RowTitles-Col2 2 6 5" xfId="15072"/>
    <cellStyle name="RowTitles-Col2 2 6 5 2" xfId="15073"/>
    <cellStyle name="RowTitles-Col2 2 6 5 2 2" xfId="15074"/>
    <cellStyle name="RowTitles-Col2 2 6 5 2 2 2" xfId="15075"/>
    <cellStyle name="RowTitles-Col2 2 6 5 2 2_Tertiary Salaries Survey" xfId="15076"/>
    <cellStyle name="RowTitles-Col2 2 6 5 2 3" xfId="15077"/>
    <cellStyle name="RowTitles-Col2 2 6 5 2_Tertiary Salaries Survey" xfId="15078"/>
    <cellStyle name="RowTitles-Col2 2 6 5 3" xfId="15079"/>
    <cellStyle name="RowTitles-Col2 2 6 5 3 2" xfId="15080"/>
    <cellStyle name="RowTitles-Col2 2 6 5 3 2 2" xfId="15081"/>
    <cellStyle name="RowTitles-Col2 2 6 5 3 2_Tertiary Salaries Survey" xfId="15082"/>
    <cellStyle name="RowTitles-Col2 2 6 5 3 3" xfId="15083"/>
    <cellStyle name="RowTitles-Col2 2 6 5 3_Tertiary Salaries Survey" xfId="15084"/>
    <cellStyle name="RowTitles-Col2 2 6 5 4" xfId="15085"/>
    <cellStyle name="RowTitles-Col2 2 6 5 4 2" xfId="15086"/>
    <cellStyle name="RowTitles-Col2 2 6 5 4_Tertiary Salaries Survey" xfId="15087"/>
    <cellStyle name="RowTitles-Col2 2 6 5 5" xfId="15088"/>
    <cellStyle name="RowTitles-Col2 2 6 5_Tertiary Salaries Survey" xfId="15089"/>
    <cellStyle name="RowTitles-Col2 2 6 6" xfId="15090"/>
    <cellStyle name="RowTitles-Col2 2 6 6 2" xfId="15091"/>
    <cellStyle name="RowTitles-Col2 2 6 6 2 2" xfId="15092"/>
    <cellStyle name="RowTitles-Col2 2 6 6 2 2 2" xfId="15093"/>
    <cellStyle name="RowTitles-Col2 2 6 6 2 2_Tertiary Salaries Survey" xfId="15094"/>
    <cellStyle name="RowTitles-Col2 2 6 6 2 3" xfId="15095"/>
    <cellStyle name="RowTitles-Col2 2 6 6 2_Tertiary Salaries Survey" xfId="15096"/>
    <cellStyle name="RowTitles-Col2 2 6 6 3" xfId="15097"/>
    <cellStyle name="RowTitles-Col2 2 6 6 3 2" xfId="15098"/>
    <cellStyle name="RowTitles-Col2 2 6 6 3 2 2" xfId="15099"/>
    <cellStyle name="RowTitles-Col2 2 6 6 3 2_Tertiary Salaries Survey" xfId="15100"/>
    <cellStyle name="RowTitles-Col2 2 6 6 3 3" xfId="15101"/>
    <cellStyle name="RowTitles-Col2 2 6 6 3_Tertiary Salaries Survey" xfId="15102"/>
    <cellStyle name="RowTitles-Col2 2 6 6 4" xfId="15103"/>
    <cellStyle name="RowTitles-Col2 2 6 6 4 2" xfId="15104"/>
    <cellStyle name="RowTitles-Col2 2 6 6 4_Tertiary Salaries Survey" xfId="15105"/>
    <cellStyle name="RowTitles-Col2 2 6 6 5" xfId="15106"/>
    <cellStyle name="RowTitles-Col2 2 6 6_Tertiary Salaries Survey" xfId="15107"/>
    <cellStyle name="RowTitles-Col2 2 6 7" xfId="15108"/>
    <cellStyle name="RowTitles-Col2 2 6 7 2" xfId="15109"/>
    <cellStyle name="RowTitles-Col2 2 6 7 2 2" xfId="15110"/>
    <cellStyle name="RowTitles-Col2 2 6 7 2_Tertiary Salaries Survey" xfId="15111"/>
    <cellStyle name="RowTitles-Col2 2 6 7 3" xfId="15112"/>
    <cellStyle name="RowTitles-Col2 2 6 7_Tertiary Salaries Survey" xfId="15113"/>
    <cellStyle name="RowTitles-Col2 2 6 8" xfId="15114"/>
    <cellStyle name="RowTitles-Col2 2 6_STUD aligned by INSTIT" xfId="15115"/>
    <cellStyle name="RowTitles-Col2 2 7" xfId="15116"/>
    <cellStyle name="RowTitles-Col2 2 7 2" xfId="15117"/>
    <cellStyle name="RowTitles-Col2 2 7 2 2" xfId="15118"/>
    <cellStyle name="RowTitles-Col2 2 7 2 2 2" xfId="15119"/>
    <cellStyle name="RowTitles-Col2 2 7 2 2_Tertiary Salaries Survey" xfId="15120"/>
    <cellStyle name="RowTitles-Col2 2 7 2 3" xfId="15121"/>
    <cellStyle name="RowTitles-Col2 2 7 2_Tertiary Salaries Survey" xfId="15122"/>
    <cellStyle name="RowTitles-Col2 2 7 3" xfId="15123"/>
    <cellStyle name="RowTitles-Col2 2 7 3 2" xfId="15124"/>
    <cellStyle name="RowTitles-Col2 2 7 3 2 2" xfId="15125"/>
    <cellStyle name="RowTitles-Col2 2 7 3 2_Tertiary Salaries Survey" xfId="15126"/>
    <cellStyle name="RowTitles-Col2 2 7 3 3" xfId="15127"/>
    <cellStyle name="RowTitles-Col2 2 7 3_Tertiary Salaries Survey" xfId="15128"/>
    <cellStyle name="RowTitles-Col2 2 7 4" xfId="15129"/>
    <cellStyle name="RowTitles-Col2 2 7 5" xfId="15130"/>
    <cellStyle name="RowTitles-Col2 2 7 5 2" xfId="15131"/>
    <cellStyle name="RowTitles-Col2 2 7 5_Tertiary Salaries Survey" xfId="15132"/>
    <cellStyle name="RowTitles-Col2 2 7_Tertiary Salaries Survey" xfId="15133"/>
    <cellStyle name="RowTitles-Col2 2 8" xfId="15134"/>
    <cellStyle name="RowTitles-Col2 2 8 2" xfId="15135"/>
    <cellStyle name="RowTitles-Col2 2 8 2 2" xfId="15136"/>
    <cellStyle name="RowTitles-Col2 2 8 2 2 2" xfId="15137"/>
    <cellStyle name="RowTitles-Col2 2 8 2 2_Tertiary Salaries Survey" xfId="15138"/>
    <cellStyle name="RowTitles-Col2 2 8 2 3" xfId="15139"/>
    <cellStyle name="RowTitles-Col2 2 8 2_Tertiary Salaries Survey" xfId="15140"/>
    <cellStyle name="RowTitles-Col2 2 8 3" xfId="15141"/>
    <cellStyle name="RowTitles-Col2 2 8 3 2" xfId="15142"/>
    <cellStyle name="RowTitles-Col2 2 8 3 2 2" xfId="15143"/>
    <cellStyle name="RowTitles-Col2 2 8 3 2_Tertiary Salaries Survey" xfId="15144"/>
    <cellStyle name="RowTitles-Col2 2 8 3 3" xfId="15145"/>
    <cellStyle name="RowTitles-Col2 2 8 3_Tertiary Salaries Survey" xfId="15146"/>
    <cellStyle name="RowTitles-Col2 2 8 4" xfId="15147"/>
    <cellStyle name="RowTitles-Col2 2 8 5" xfId="15148"/>
    <cellStyle name="RowTitles-Col2 2 8_Tertiary Salaries Survey" xfId="15149"/>
    <cellStyle name="RowTitles-Col2 2 9" xfId="15150"/>
    <cellStyle name="RowTitles-Col2 2 9 2" xfId="15151"/>
    <cellStyle name="RowTitles-Col2 2 9 2 2" xfId="15152"/>
    <cellStyle name="RowTitles-Col2 2 9 2 2 2" xfId="15153"/>
    <cellStyle name="RowTitles-Col2 2 9 2 2_Tertiary Salaries Survey" xfId="15154"/>
    <cellStyle name="RowTitles-Col2 2 9 2 3" xfId="15155"/>
    <cellStyle name="RowTitles-Col2 2 9 2_Tertiary Salaries Survey" xfId="15156"/>
    <cellStyle name="RowTitles-Col2 2 9 3" xfId="15157"/>
    <cellStyle name="RowTitles-Col2 2 9 3 2" xfId="15158"/>
    <cellStyle name="RowTitles-Col2 2 9 3 2 2" xfId="15159"/>
    <cellStyle name="RowTitles-Col2 2 9 3 2_Tertiary Salaries Survey" xfId="15160"/>
    <cellStyle name="RowTitles-Col2 2 9 3 3" xfId="15161"/>
    <cellStyle name="RowTitles-Col2 2 9 3_Tertiary Salaries Survey" xfId="15162"/>
    <cellStyle name="RowTitles-Col2 2 9 4" xfId="15163"/>
    <cellStyle name="RowTitles-Col2 2 9 5" xfId="15164"/>
    <cellStyle name="RowTitles-Col2 2 9 5 2" xfId="15165"/>
    <cellStyle name="RowTitles-Col2 2 9 5_Tertiary Salaries Survey" xfId="15166"/>
    <cellStyle name="RowTitles-Col2 2 9 6" xfId="15167"/>
    <cellStyle name="RowTitles-Col2 2 9_Tertiary Salaries Survey" xfId="15168"/>
    <cellStyle name="RowTitles-Col2 2_STUD aligned by INSTIT" xfId="15169"/>
    <cellStyle name="RowTitles-Col2 20" xfId="29724"/>
    <cellStyle name="RowTitles-Col2 20 2" xfId="29725"/>
    <cellStyle name="RowTitles-Col2 20 3" xfId="29726"/>
    <cellStyle name="RowTitles-Col2 21" xfId="29727"/>
    <cellStyle name="RowTitles-Col2 21 2" xfId="29728"/>
    <cellStyle name="RowTitles-Col2 21 3" xfId="29729"/>
    <cellStyle name="RowTitles-Col2 22" xfId="29730"/>
    <cellStyle name="RowTitles-Col2 22 2" xfId="29731"/>
    <cellStyle name="RowTitles-Col2 22 3" xfId="29732"/>
    <cellStyle name="RowTitles-Col2 23" xfId="29733"/>
    <cellStyle name="RowTitles-Col2 24" xfId="29734"/>
    <cellStyle name="RowTitles-Col2 25" xfId="29735"/>
    <cellStyle name="RowTitles-Col2 26" xfId="29736"/>
    <cellStyle name="RowTitles-Col2 27" xfId="29737"/>
    <cellStyle name="RowTitles-Col2 28" xfId="29738"/>
    <cellStyle name="RowTitles-Col2 29" xfId="29739"/>
    <cellStyle name="RowTitles-Col2 3" xfId="15170"/>
    <cellStyle name="RowTitles-Col2 3 10" xfId="15171"/>
    <cellStyle name="RowTitles-Col2 3 10 2" xfId="15172"/>
    <cellStyle name="RowTitles-Col2 3 10 2 2" xfId="15173"/>
    <cellStyle name="RowTitles-Col2 3 10 2_Tertiary Salaries Survey" xfId="15174"/>
    <cellStyle name="RowTitles-Col2 3 10 3" xfId="15175"/>
    <cellStyle name="RowTitles-Col2 3 10_Tertiary Salaries Survey" xfId="15176"/>
    <cellStyle name="RowTitles-Col2 3 11" xfId="15177"/>
    <cellStyle name="RowTitles-Col2 3 2" xfId="15178"/>
    <cellStyle name="RowTitles-Col2 3 2 2" xfId="15179"/>
    <cellStyle name="RowTitles-Col2 3 2 2 2" xfId="15180"/>
    <cellStyle name="RowTitles-Col2 3 2 2 2 2" xfId="15181"/>
    <cellStyle name="RowTitles-Col2 3 2 2 2 2 2" xfId="15182"/>
    <cellStyle name="RowTitles-Col2 3 2 2 2 2_Tertiary Salaries Survey" xfId="15183"/>
    <cellStyle name="RowTitles-Col2 3 2 2 2 3" xfId="15184"/>
    <cellStyle name="RowTitles-Col2 3 2 2 2_Tertiary Salaries Survey" xfId="15185"/>
    <cellStyle name="RowTitles-Col2 3 2 2 3" xfId="15186"/>
    <cellStyle name="RowTitles-Col2 3 2 2 3 2" xfId="15187"/>
    <cellStyle name="RowTitles-Col2 3 2 2 3 2 2" xfId="15188"/>
    <cellStyle name="RowTitles-Col2 3 2 2 3 2_Tertiary Salaries Survey" xfId="15189"/>
    <cellStyle name="RowTitles-Col2 3 2 2 3 3" xfId="15190"/>
    <cellStyle name="RowTitles-Col2 3 2 2 3_Tertiary Salaries Survey" xfId="15191"/>
    <cellStyle name="RowTitles-Col2 3 2 2 4" xfId="15192"/>
    <cellStyle name="RowTitles-Col2 3 2 2_Tertiary Salaries Survey" xfId="15193"/>
    <cellStyle name="RowTitles-Col2 3 2 3" xfId="15194"/>
    <cellStyle name="RowTitles-Col2 3 2 3 2" xfId="15195"/>
    <cellStyle name="RowTitles-Col2 3 2 3 2 2" xfId="15196"/>
    <cellStyle name="RowTitles-Col2 3 2 3 2 2 2" xfId="15197"/>
    <cellStyle name="RowTitles-Col2 3 2 3 2 2_Tertiary Salaries Survey" xfId="15198"/>
    <cellStyle name="RowTitles-Col2 3 2 3 2 3" xfId="15199"/>
    <cellStyle name="RowTitles-Col2 3 2 3 2_Tertiary Salaries Survey" xfId="15200"/>
    <cellStyle name="RowTitles-Col2 3 2 3 3" xfId="15201"/>
    <cellStyle name="RowTitles-Col2 3 2 3 3 2" xfId="15202"/>
    <cellStyle name="RowTitles-Col2 3 2 3 3 2 2" xfId="15203"/>
    <cellStyle name="RowTitles-Col2 3 2 3 3 2_Tertiary Salaries Survey" xfId="15204"/>
    <cellStyle name="RowTitles-Col2 3 2 3 3 3" xfId="15205"/>
    <cellStyle name="RowTitles-Col2 3 2 3 3_Tertiary Salaries Survey" xfId="15206"/>
    <cellStyle name="RowTitles-Col2 3 2 3 4" xfId="15207"/>
    <cellStyle name="RowTitles-Col2 3 2 3 5" xfId="15208"/>
    <cellStyle name="RowTitles-Col2 3 2 3 5 2" xfId="15209"/>
    <cellStyle name="RowTitles-Col2 3 2 3 5_Tertiary Salaries Survey" xfId="15210"/>
    <cellStyle name="RowTitles-Col2 3 2 3 6" xfId="15211"/>
    <cellStyle name="RowTitles-Col2 3 2 3_Tertiary Salaries Survey" xfId="15212"/>
    <cellStyle name="RowTitles-Col2 3 2 4" xfId="15213"/>
    <cellStyle name="RowTitles-Col2 3 2 4 2" xfId="15214"/>
    <cellStyle name="RowTitles-Col2 3 2 4 2 2" xfId="15215"/>
    <cellStyle name="RowTitles-Col2 3 2 4 2 2 2" xfId="15216"/>
    <cellStyle name="RowTitles-Col2 3 2 4 2 2_Tertiary Salaries Survey" xfId="15217"/>
    <cellStyle name="RowTitles-Col2 3 2 4 2 3" xfId="15218"/>
    <cellStyle name="RowTitles-Col2 3 2 4 2_Tertiary Salaries Survey" xfId="15219"/>
    <cellStyle name="RowTitles-Col2 3 2 4 3" xfId="15220"/>
    <cellStyle name="RowTitles-Col2 3 2 4 3 2" xfId="15221"/>
    <cellStyle name="RowTitles-Col2 3 2 4 3 2 2" xfId="15222"/>
    <cellStyle name="RowTitles-Col2 3 2 4 3 2_Tertiary Salaries Survey" xfId="15223"/>
    <cellStyle name="RowTitles-Col2 3 2 4 3 3" xfId="15224"/>
    <cellStyle name="RowTitles-Col2 3 2 4 3_Tertiary Salaries Survey" xfId="15225"/>
    <cellStyle name="RowTitles-Col2 3 2 4 4" xfId="15226"/>
    <cellStyle name="RowTitles-Col2 3 2 4 4 2" xfId="15227"/>
    <cellStyle name="RowTitles-Col2 3 2 4 4_Tertiary Salaries Survey" xfId="15228"/>
    <cellStyle name="RowTitles-Col2 3 2 4 5" xfId="15229"/>
    <cellStyle name="RowTitles-Col2 3 2 4_Tertiary Salaries Survey" xfId="15230"/>
    <cellStyle name="RowTitles-Col2 3 2 5" xfId="15231"/>
    <cellStyle name="RowTitles-Col2 3 2 5 2" xfId="15232"/>
    <cellStyle name="RowTitles-Col2 3 2 5 2 2" xfId="15233"/>
    <cellStyle name="RowTitles-Col2 3 2 5 2 2 2" xfId="15234"/>
    <cellStyle name="RowTitles-Col2 3 2 5 2 2_Tertiary Salaries Survey" xfId="15235"/>
    <cellStyle name="RowTitles-Col2 3 2 5 2 3" xfId="15236"/>
    <cellStyle name="RowTitles-Col2 3 2 5 2_Tertiary Salaries Survey" xfId="15237"/>
    <cellStyle name="RowTitles-Col2 3 2 5 3" xfId="15238"/>
    <cellStyle name="RowTitles-Col2 3 2 5 3 2" xfId="15239"/>
    <cellStyle name="RowTitles-Col2 3 2 5 3 2 2" xfId="15240"/>
    <cellStyle name="RowTitles-Col2 3 2 5 3 2_Tertiary Salaries Survey" xfId="15241"/>
    <cellStyle name="RowTitles-Col2 3 2 5 3 3" xfId="15242"/>
    <cellStyle name="RowTitles-Col2 3 2 5 3_Tertiary Salaries Survey" xfId="15243"/>
    <cellStyle name="RowTitles-Col2 3 2 5 4" xfId="15244"/>
    <cellStyle name="RowTitles-Col2 3 2 5 4 2" xfId="15245"/>
    <cellStyle name="RowTitles-Col2 3 2 5 4_Tertiary Salaries Survey" xfId="15246"/>
    <cellStyle name="RowTitles-Col2 3 2 5 5" xfId="15247"/>
    <cellStyle name="RowTitles-Col2 3 2 5_Tertiary Salaries Survey" xfId="15248"/>
    <cellStyle name="RowTitles-Col2 3 2 6" xfId="15249"/>
    <cellStyle name="RowTitles-Col2 3 2 6 2" xfId="15250"/>
    <cellStyle name="RowTitles-Col2 3 2 6 2 2" xfId="15251"/>
    <cellStyle name="RowTitles-Col2 3 2 6 2 2 2" xfId="15252"/>
    <cellStyle name="RowTitles-Col2 3 2 6 2 2_Tertiary Salaries Survey" xfId="15253"/>
    <cellStyle name="RowTitles-Col2 3 2 6 2 3" xfId="15254"/>
    <cellStyle name="RowTitles-Col2 3 2 6 2_Tertiary Salaries Survey" xfId="15255"/>
    <cellStyle name="RowTitles-Col2 3 2 6 3" xfId="15256"/>
    <cellStyle name="RowTitles-Col2 3 2 6 3 2" xfId="15257"/>
    <cellStyle name="RowTitles-Col2 3 2 6 3 2 2" xfId="15258"/>
    <cellStyle name="RowTitles-Col2 3 2 6 3 2_Tertiary Salaries Survey" xfId="15259"/>
    <cellStyle name="RowTitles-Col2 3 2 6 3 3" xfId="15260"/>
    <cellStyle name="RowTitles-Col2 3 2 6 3_Tertiary Salaries Survey" xfId="15261"/>
    <cellStyle name="RowTitles-Col2 3 2 6 4" xfId="15262"/>
    <cellStyle name="RowTitles-Col2 3 2 6 4 2" xfId="15263"/>
    <cellStyle name="RowTitles-Col2 3 2 6 4_Tertiary Salaries Survey" xfId="15264"/>
    <cellStyle name="RowTitles-Col2 3 2 6 5" xfId="15265"/>
    <cellStyle name="RowTitles-Col2 3 2 6_Tertiary Salaries Survey" xfId="15266"/>
    <cellStyle name="RowTitles-Col2 3 2 7" xfId="15267"/>
    <cellStyle name="RowTitles-Col2 3 2 7 2" xfId="15268"/>
    <cellStyle name="RowTitles-Col2 3 2 7 2 2" xfId="15269"/>
    <cellStyle name="RowTitles-Col2 3 2 7 2_Tertiary Salaries Survey" xfId="15270"/>
    <cellStyle name="RowTitles-Col2 3 2 7 3" xfId="15271"/>
    <cellStyle name="RowTitles-Col2 3 2 7_Tertiary Salaries Survey" xfId="15272"/>
    <cellStyle name="RowTitles-Col2 3 2 8" xfId="15273"/>
    <cellStyle name="RowTitles-Col2 3 2_STUD aligned by INSTIT" xfId="15274"/>
    <cellStyle name="RowTitles-Col2 3 3" xfId="15275"/>
    <cellStyle name="RowTitles-Col2 3 3 2" xfId="15276"/>
    <cellStyle name="RowTitles-Col2 3 3 2 2" xfId="15277"/>
    <cellStyle name="RowTitles-Col2 3 3 2 2 2" xfId="15278"/>
    <cellStyle name="RowTitles-Col2 3 3 2 2 2 2" xfId="15279"/>
    <cellStyle name="RowTitles-Col2 3 3 2 2 2_Tertiary Salaries Survey" xfId="15280"/>
    <cellStyle name="RowTitles-Col2 3 3 2 2 3" xfId="15281"/>
    <cellStyle name="RowTitles-Col2 3 3 2 2_Tertiary Salaries Survey" xfId="15282"/>
    <cellStyle name="RowTitles-Col2 3 3 2 3" xfId="15283"/>
    <cellStyle name="RowTitles-Col2 3 3 2 3 2" xfId="15284"/>
    <cellStyle name="RowTitles-Col2 3 3 2 3 2 2" xfId="15285"/>
    <cellStyle name="RowTitles-Col2 3 3 2 3 2_Tertiary Salaries Survey" xfId="15286"/>
    <cellStyle name="RowTitles-Col2 3 3 2 3 3" xfId="15287"/>
    <cellStyle name="RowTitles-Col2 3 3 2 3_Tertiary Salaries Survey" xfId="15288"/>
    <cellStyle name="RowTitles-Col2 3 3 2 4" xfId="15289"/>
    <cellStyle name="RowTitles-Col2 3 3 2 5" xfId="15290"/>
    <cellStyle name="RowTitles-Col2 3 3 2 5 2" xfId="15291"/>
    <cellStyle name="RowTitles-Col2 3 3 2 5_Tertiary Salaries Survey" xfId="15292"/>
    <cellStyle name="RowTitles-Col2 3 3 2 6" xfId="15293"/>
    <cellStyle name="RowTitles-Col2 3 3 2_Tertiary Salaries Survey" xfId="15294"/>
    <cellStyle name="RowTitles-Col2 3 3 3" xfId="15295"/>
    <cellStyle name="RowTitles-Col2 3 3 3 2" xfId="15296"/>
    <cellStyle name="RowTitles-Col2 3 3 3 2 2" xfId="15297"/>
    <cellStyle name="RowTitles-Col2 3 3 3 2 2 2" xfId="15298"/>
    <cellStyle name="RowTitles-Col2 3 3 3 2 2_Tertiary Salaries Survey" xfId="15299"/>
    <cellStyle name="RowTitles-Col2 3 3 3 2 3" xfId="15300"/>
    <cellStyle name="RowTitles-Col2 3 3 3 2_Tertiary Salaries Survey" xfId="15301"/>
    <cellStyle name="RowTitles-Col2 3 3 3 3" xfId="15302"/>
    <cellStyle name="RowTitles-Col2 3 3 3 3 2" xfId="15303"/>
    <cellStyle name="RowTitles-Col2 3 3 3 3 2 2" xfId="15304"/>
    <cellStyle name="RowTitles-Col2 3 3 3 3 2_Tertiary Salaries Survey" xfId="15305"/>
    <cellStyle name="RowTitles-Col2 3 3 3 3 3" xfId="15306"/>
    <cellStyle name="RowTitles-Col2 3 3 3 3_Tertiary Salaries Survey" xfId="15307"/>
    <cellStyle name="RowTitles-Col2 3 3 3 4" xfId="15308"/>
    <cellStyle name="RowTitles-Col2 3 3 3_Tertiary Salaries Survey" xfId="15309"/>
    <cellStyle name="RowTitles-Col2 3 3 4" xfId="15310"/>
    <cellStyle name="RowTitles-Col2 3 3 4 2" xfId="15311"/>
    <cellStyle name="RowTitles-Col2 3 3 4 2 2" xfId="15312"/>
    <cellStyle name="RowTitles-Col2 3 3 4 2 2 2" xfId="15313"/>
    <cellStyle name="RowTitles-Col2 3 3 4 2 2_Tertiary Salaries Survey" xfId="15314"/>
    <cellStyle name="RowTitles-Col2 3 3 4 2 3" xfId="15315"/>
    <cellStyle name="RowTitles-Col2 3 3 4 2_Tertiary Salaries Survey" xfId="15316"/>
    <cellStyle name="RowTitles-Col2 3 3 4 3" xfId="15317"/>
    <cellStyle name="RowTitles-Col2 3 3 4 3 2" xfId="15318"/>
    <cellStyle name="RowTitles-Col2 3 3 4 3 2 2" xfId="15319"/>
    <cellStyle name="RowTitles-Col2 3 3 4 3 2_Tertiary Salaries Survey" xfId="15320"/>
    <cellStyle name="RowTitles-Col2 3 3 4 3 3" xfId="15321"/>
    <cellStyle name="RowTitles-Col2 3 3 4 3_Tertiary Salaries Survey" xfId="15322"/>
    <cellStyle name="RowTitles-Col2 3 3 4 4" xfId="15323"/>
    <cellStyle name="RowTitles-Col2 3 3 4 4 2" xfId="15324"/>
    <cellStyle name="RowTitles-Col2 3 3 4 4_Tertiary Salaries Survey" xfId="15325"/>
    <cellStyle name="RowTitles-Col2 3 3 4 5" xfId="15326"/>
    <cellStyle name="RowTitles-Col2 3 3 4_Tertiary Salaries Survey" xfId="15327"/>
    <cellStyle name="RowTitles-Col2 3 3 5" xfId="15328"/>
    <cellStyle name="RowTitles-Col2 3 3 5 2" xfId="15329"/>
    <cellStyle name="RowTitles-Col2 3 3 5 2 2" xfId="15330"/>
    <cellStyle name="RowTitles-Col2 3 3 5 2 2 2" xfId="15331"/>
    <cellStyle name="RowTitles-Col2 3 3 5 2 2_Tertiary Salaries Survey" xfId="15332"/>
    <cellStyle name="RowTitles-Col2 3 3 5 2 3" xfId="15333"/>
    <cellStyle name="RowTitles-Col2 3 3 5 2_Tertiary Salaries Survey" xfId="15334"/>
    <cellStyle name="RowTitles-Col2 3 3 5 3" xfId="15335"/>
    <cellStyle name="RowTitles-Col2 3 3 5 3 2" xfId="15336"/>
    <cellStyle name="RowTitles-Col2 3 3 5 3 2 2" xfId="15337"/>
    <cellStyle name="RowTitles-Col2 3 3 5 3 2_Tertiary Salaries Survey" xfId="15338"/>
    <cellStyle name="RowTitles-Col2 3 3 5 3 3" xfId="15339"/>
    <cellStyle name="RowTitles-Col2 3 3 5 3_Tertiary Salaries Survey" xfId="15340"/>
    <cellStyle name="RowTitles-Col2 3 3 5 4" xfId="15341"/>
    <cellStyle name="RowTitles-Col2 3 3 5 4 2" xfId="15342"/>
    <cellStyle name="RowTitles-Col2 3 3 5 4_Tertiary Salaries Survey" xfId="15343"/>
    <cellStyle name="RowTitles-Col2 3 3 5 5" xfId="15344"/>
    <cellStyle name="RowTitles-Col2 3 3 5_Tertiary Salaries Survey" xfId="15345"/>
    <cellStyle name="RowTitles-Col2 3 3 6" xfId="15346"/>
    <cellStyle name="RowTitles-Col2 3 3 6 2" xfId="15347"/>
    <cellStyle name="RowTitles-Col2 3 3 6 2 2" xfId="15348"/>
    <cellStyle name="RowTitles-Col2 3 3 6 2 2 2" xfId="15349"/>
    <cellStyle name="RowTitles-Col2 3 3 6 2 2_Tertiary Salaries Survey" xfId="15350"/>
    <cellStyle name="RowTitles-Col2 3 3 6 2 3" xfId="15351"/>
    <cellStyle name="RowTitles-Col2 3 3 6 2_Tertiary Salaries Survey" xfId="15352"/>
    <cellStyle name="RowTitles-Col2 3 3 6 3" xfId="15353"/>
    <cellStyle name="RowTitles-Col2 3 3 6 3 2" xfId="15354"/>
    <cellStyle name="RowTitles-Col2 3 3 6 3 2 2" xfId="15355"/>
    <cellStyle name="RowTitles-Col2 3 3 6 3 2_Tertiary Salaries Survey" xfId="15356"/>
    <cellStyle name="RowTitles-Col2 3 3 6 3 3" xfId="15357"/>
    <cellStyle name="RowTitles-Col2 3 3 6 3_Tertiary Salaries Survey" xfId="15358"/>
    <cellStyle name="RowTitles-Col2 3 3 6 4" xfId="15359"/>
    <cellStyle name="RowTitles-Col2 3 3 6 4 2" xfId="15360"/>
    <cellStyle name="RowTitles-Col2 3 3 6 4_Tertiary Salaries Survey" xfId="15361"/>
    <cellStyle name="RowTitles-Col2 3 3 6 5" xfId="15362"/>
    <cellStyle name="RowTitles-Col2 3 3 6_Tertiary Salaries Survey" xfId="15363"/>
    <cellStyle name="RowTitles-Col2 3 3 7" xfId="15364"/>
    <cellStyle name="RowTitles-Col2 3 3 7 2" xfId="15365"/>
    <cellStyle name="RowTitles-Col2 3 3 7 2 2" xfId="15366"/>
    <cellStyle name="RowTitles-Col2 3 3 7 2_Tertiary Salaries Survey" xfId="15367"/>
    <cellStyle name="RowTitles-Col2 3 3 7 3" xfId="15368"/>
    <cellStyle name="RowTitles-Col2 3 3 7_Tertiary Salaries Survey" xfId="15369"/>
    <cellStyle name="RowTitles-Col2 3 3 8" xfId="15370"/>
    <cellStyle name="RowTitles-Col2 3 3 8 2" xfId="15371"/>
    <cellStyle name="RowTitles-Col2 3 3 8 2 2" xfId="15372"/>
    <cellStyle name="RowTitles-Col2 3 3 8 2_Tertiary Salaries Survey" xfId="15373"/>
    <cellStyle name="RowTitles-Col2 3 3 8 3" xfId="15374"/>
    <cellStyle name="RowTitles-Col2 3 3 8_Tertiary Salaries Survey" xfId="15375"/>
    <cellStyle name="RowTitles-Col2 3 3_STUD aligned by INSTIT" xfId="15376"/>
    <cellStyle name="RowTitles-Col2 3 4" xfId="15377"/>
    <cellStyle name="RowTitles-Col2 3 4 2" xfId="15378"/>
    <cellStyle name="RowTitles-Col2 3 4 2 2" xfId="15379"/>
    <cellStyle name="RowTitles-Col2 3 4 2 2 2" xfId="15380"/>
    <cellStyle name="RowTitles-Col2 3 4 2 2 2 2" xfId="15381"/>
    <cellStyle name="RowTitles-Col2 3 4 2 2 2_Tertiary Salaries Survey" xfId="15382"/>
    <cellStyle name="RowTitles-Col2 3 4 2 2 3" xfId="15383"/>
    <cellStyle name="RowTitles-Col2 3 4 2 2_Tertiary Salaries Survey" xfId="15384"/>
    <cellStyle name="RowTitles-Col2 3 4 2 3" xfId="15385"/>
    <cellStyle name="RowTitles-Col2 3 4 2 3 2" xfId="15386"/>
    <cellStyle name="RowTitles-Col2 3 4 2 3 2 2" xfId="15387"/>
    <cellStyle name="RowTitles-Col2 3 4 2 3 2_Tertiary Salaries Survey" xfId="15388"/>
    <cellStyle name="RowTitles-Col2 3 4 2 3 3" xfId="15389"/>
    <cellStyle name="RowTitles-Col2 3 4 2 3_Tertiary Salaries Survey" xfId="15390"/>
    <cellStyle name="RowTitles-Col2 3 4 2 4" xfId="15391"/>
    <cellStyle name="RowTitles-Col2 3 4 2 5" xfId="15392"/>
    <cellStyle name="RowTitles-Col2 3 4 2 5 2" xfId="15393"/>
    <cellStyle name="RowTitles-Col2 3 4 2 5_Tertiary Salaries Survey" xfId="15394"/>
    <cellStyle name="RowTitles-Col2 3 4 2_Tertiary Salaries Survey" xfId="15395"/>
    <cellStyle name="RowTitles-Col2 3 4 3" xfId="15396"/>
    <cellStyle name="RowTitles-Col2 3 4 3 2" xfId="15397"/>
    <cellStyle name="RowTitles-Col2 3 4 3 2 2" xfId="15398"/>
    <cellStyle name="RowTitles-Col2 3 4 3 2 2 2" xfId="15399"/>
    <cellStyle name="RowTitles-Col2 3 4 3 2 2_Tertiary Salaries Survey" xfId="15400"/>
    <cellStyle name="RowTitles-Col2 3 4 3 2 3" xfId="15401"/>
    <cellStyle name="RowTitles-Col2 3 4 3 2_Tertiary Salaries Survey" xfId="15402"/>
    <cellStyle name="RowTitles-Col2 3 4 3 3" xfId="15403"/>
    <cellStyle name="RowTitles-Col2 3 4 3 3 2" xfId="15404"/>
    <cellStyle name="RowTitles-Col2 3 4 3 3 2 2" xfId="15405"/>
    <cellStyle name="RowTitles-Col2 3 4 3 3 2_Tertiary Salaries Survey" xfId="15406"/>
    <cellStyle name="RowTitles-Col2 3 4 3 3 3" xfId="15407"/>
    <cellStyle name="RowTitles-Col2 3 4 3 3_Tertiary Salaries Survey" xfId="15408"/>
    <cellStyle name="RowTitles-Col2 3 4 3 4" xfId="15409"/>
    <cellStyle name="RowTitles-Col2 3 4 3 5" xfId="15410"/>
    <cellStyle name="RowTitles-Col2 3 4 3_Tertiary Salaries Survey" xfId="15411"/>
    <cellStyle name="RowTitles-Col2 3 4 4" xfId="15412"/>
    <cellStyle name="RowTitles-Col2 3 4 4 2" xfId="15413"/>
    <cellStyle name="RowTitles-Col2 3 4 4 2 2" xfId="15414"/>
    <cellStyle name="RowTitles-Col2 3 4 4 2 2 2" xfId="15415"/>
    <cellStyle name="RowTitles-Col2 3 4 4 2 2_Tertiary Salaries Survey" xfId="15416"/>
    <cellStyle name="RowTitles-Col2 3 4 4 2 3" xfId="15417"/>
    <cellStyle name="RowTitles-Col2 3 4 4 2_Tertiary Salaries Survey" xfId="15418"/>
    <cellStyle name="RowTitles-Col2 3 4 4 3" xfId="15419"/>
    <cellStyle name="RowTitles-Col2 3 4 4 3 2" xfId="15420"/>
    <cellStyle name="RowTitles-Col2 3 4 4 3 2 2" xfId="15421"/>
    <cellStyle name="RowTitles-Col2 3 4 4 3 2_Tertiary Salaries Survey" xfId="15422"/>
    <cellStyle name="RowTitles-Col2 3 4 4 3 3" xfId="15423"/>
    <cellStyle name="RowTitles-Col2 3 4 4 3_Tertiary Salaries Survey" xfId="15424"/>
    <cellStyle name="RowTitles-Col2 3 4 4 4" xfId="15425"/>
    <cellStyle name="RowTitles-Col2 3 4 4 5" xfId="15426"/>
    <cellStyle name="RowTitles-Col2 3 4 4 5 2" xfId="15427"/>
    <cellStyle name="RowTitles-Col2 3 4 4 5_Tertiary Salaries Survey" xfId="15428"/>
    <cellStyle name="RowTitles-Col2 3 4 4 6" xfId="15429"/>
    <cellStyle name="RowTitles-Col2 3 4 4_Tertiary Salaries Survey" xfId="15430"/>
    <cellStyle name="RowTitles-Col2 3 4 5" xfId="15431"/>
    <cellStyle name="RowTitles-Col2 3 4 5 2" xfId="15432"/>
    <cellStyle name="RowTitles-Col2 3 4 5 2 2" xfId="15433"/>
    <cellStyle name="RowTitles-Col2 3 4 5 2 2 2" xfId="15434"/>
    <cellStyle name="RowTitles-Col2 3 4 5 2 2_Tertiary Salaries Survey" xfId="15435"/>
    <cellStyle name="RowTitles-Col2 3 4 5 2 3" xfId="15436"/>
    <cellStyle name="RowTitles-Col2 3 4 5 2_Tertiary Salaries Survey" xfId="15437"/>
    <cellStyle name="RowTitles-Col2 3 4 5 3" xfId="15438"/>
    <cellStyle name="RowTitles-Col2 3 4 5 3 2" xfId="15439"/>
    <cellStyle name="RowTitles-Col2 3 4 5 3 2 2" xfId="15440"/>
    <cellStyle name="RowTitles-Col2 3 4 5 3 2_Tertiary Salaries Survey" xfId="15441"/>
    <cellStyle name="RowTitles-Col2 3 4 5 3 3" xfId="15442"/>
    <cellStyle name="RowTitles-Col2 3 4 5 3_Tertiary Salaries Survey" xfId="15443"/>
    <cellStyle name="RowTitles-Col2 3 4 5 4" xfId="15444"/>
    <cellStyle name="RowTitles-Col2 3 4 5 4 2" xfId="15445"/>
    <cellStyle name="RowTitles-Col2 3 4 5 4_Tertiary Salaries Survey" xfId="15446"/>
    <cellStyle name="RowTitles-Col2 3 4 5 5" xfId="15447"/>
    <cellStyle name="RowTitles-Col2 3 4 5_Tertiary Salaries Survey" xfId="15448"/>
    <cellStyle name="RowTitles-Col2 3 4 6" xfId="15449"/>
    <cellStyle name="RowTitles-Col2 3 4 6 2" xfId="15450"/>
    <cellStyle name="RowTitles-Col2 3 4 6 2 2" xfId="15451"/>
    <cellStyle name="RowTitles-Col2 3 4 6 2 2 2" xfId="15452"/>
    <cellStyle name="RowTitles-Col2 3 4 6 2 2_Tertiary Salaries Survey" xfId="15453"/>
    <cellStyle name="RowTitles-Col2 3 4 6 2 3" xfId="15454"/>
    <cellStyle name="RowTitles-Col2 3 4 6 2_Tertiary Salaries Survey" xfId="15455"/>
    <cellStyle name="RowTitles-Col2 3 4 6 3" xfId="15456"/>
    <cellStyle name="RowTitles-Col2 3 4 6 3 2" xfId="15457"/>
    <cellStyle name="RowTitles-Col2 3 4 6 3 2 2" xfId="15458"/>
    <cellStyle name="RowTitles-Col2 3 4 6 3 2_Tertiary Salaries Survey" xfId="15459"/>
    <cellStyle name="RowTitles-Col2 3 4 6 3 3" xfId="15460"/>
    <cellStyle name="RowTitles-Col2 3 4 6 3_Tertiary Salaries Survey" xfId="15461"/>
    <cellStyle name="RowTitles-Col2 3 4 6 4" xfId="15462"/>
    <cellStyle name="RowTitles-Col2 3 4 6 4 2" xfId="15463"/>
    <cellStyle name="RowTitles-Col2 3 4 6 4_Tertiary Salaries Survey" xfId="15464"/>
    <cellStyle name="RowTitles-Col2 3 4 6 5" xfId="15465"/>
    <cellStyle name="RowTitles-Col2 3 4 6_Tertiary Salaries Survey" xfId="15466"/>
    <cellStyle name="RowTitles-Col2 3 4 7" xfId="15467"/>
    <cellStyle name="RowTitles-Col2 3 4 7 2" xfId="15468"/>
    <cellStyle name="RowTitles-Col2 3 4 7 2 2" xfId="15469"/>
    <cellStyle name="RowTitles-Col2 3 4 7 2_Tertiary Salaries Survey" xfId="15470"/>
    <cellStyle name="RowTitles-Col2 3 4 7 3" xfId="15471"/>
    <cellStyle name="RowTitles-Col2 3 4 7_Tertiary Salaries Survey" xfId="15472"/>
    <cellStyle name="RowTitles-Col2 3 4 8" xfId="15473"/>
    <cellStyle name="RowTitles-Col2 3 4_STUD aligned by INSTIT" xfId="15474"/>
    <cellStyle name="RowTitles-Col2 3 5" xfId="15475"/>
    <cellStyle name="RowTitles-Col2 3 5 2" xfId="15476"/>
    <cellStyle name="RowTitles-Col2 3 5 2 2" xfId="15477"/>
    <cellStyle name="RowTitles-Col2 3 5 2 2 2" xfId="15478"/>
    <cellStyle name="RowTitles-Col2 3 5 2 2_Tertiary Salaries Survey" xfId="15479"/>
    <cellStyle name="RowTitles-Col2 3 5 2 3" xfId="15480"/>
    <cellStyle name="RowTitles-Col2 3 5 2_Tertiary Salaries Survey" xfId="15481"/>
    <cellStyle name="RowTitles-Col2 3 5 3" xfId="15482"/>
    <cellStyle name="RowTitles-Col2 3 5 3 2" xfId="15483"/>
    <cellStyle name="RowTitles-Col2 3 5 3 2 2" xfId="15484"/>
    <cellStyle name="RowTitles-Col2 3 5 3 2_Tertiary Salaries Survey" xfId="15485"/>
    <cellStyle name="RowTitles-Col2 3 5 3 3" xfId="15486"/>
    <cellStyle name="RowTitles-Col2 3 5 3_Tertiary Salaries Survey" xfId="15487"/>
    <cellStyle name="RowTitles-Col2 3 5 4" xfId="15488"/>
    <cellStyle name="RowTitles-Col2 3 5 5" xfId="15489"/>
    <cellStyle name="RowTitles-Col2 3 5 5 2" xfId="15490"/>
    <cellStyle name="RowTitles-Col2 3 5 5_Tertiary Salaries Survey" xfId="15491"/>
    <cellStyle name="RowTitles-Col2 3 5_Tertiary Salaries Survey" xfId="15492"/>
    <cellStyle name="RowTitles-Col2 3 6" xfId="15493"/>
    <cellStyle name="RowTitles-Col2 3 6 2" xfId="15494"/>
    <cellStyle name="RowTitles-Col2 3 6 2 2" xfId="15495"/>
    <cellStyle name="RowTitles-Col2 3 6 2 2 2" xfId="15496"/>
    <cellStyle name="RowTitles-Col2 3 6 2 2_Tertiary Salaries Survey" xfId="15497"/>
    <cellStyle name="RowTitles-Col2 3 6 2 3" xfId="15498"/>
    <cellStyle name="RowTitles-Col2 3 6 2_Tertiary Salaries Survey" xfId="15499"/>
    <cellStyle name="RowTitles-Col2 3 6 3" xfId="15500"/>
    <cellStyle name="RowTitles-Col2 3 6 3 2" xfId="15501"/>
    <cellStyle name="RowTitles-Col2 3 6 3 2 2" xfId="15502"/>
    <cellStyle name="RowTitles-Col2 3 6 3 2_Tertiary Salaries Survey" xfId="15503"/>
    <cellStyle name="RowTitles-Col2 3 6 3 3" xfId="15504"/>
    <cellStyle name="RowTitles-Col2 3 6 3_Tertiary Salaries Survey" xfId="15505"/>
    <cellStyle name="RowTitles-Col2 3 6 4" xfId="15506"/>
    <cellStyle name="RowTitles-Col2 3 6 5" xfId="15507"/>
    <cellStyle name="RowTitles-Col2 3 6_Tertiary Salaries Survey" xfId="15508"/>
    <cellStyle name="RowTitles-Col2 3 7" xfId="15509"/>
    <cellStyle name="RowTitles-Col2 3 7 2" xfId="15510"/>
    <cellStyle name="RowTitles-Col2 3 7 2 2" xfId="15511"/>
    <cellStyle name="RowTitles-Col2 3 7 2 2 2" xfId="15512"/>
    <cellStyle name="RowTitles-Col2 3 7 2 2_Tertiary Salaries Survey" xfId="15513"/>
    <cellStyle name="RowTitles-Col2 3 7 2 3" xfId="15514"/>
    <cellStyle name="RowTitles-Col2 3 7 2_Tertiary Salaries Survey" xfId="15515"/>
    <cellStyle name="RowTitles-Col2 3 7 3" xfId="15516"/>
    <cellStyle name="RowTitles-Col2 3 7 3 2" xfId="15517"/>
    <cellStyle name="RowTitles-Col2 3 7 3 2 2" xfId="15518"/>
    <cellStyle name="RowTitles-Col2 3 7 3 2_Tertiary Salaries Survey" xfId="15519"/>
    <cellStyle name="RowTitles-Col2 3 7 3 3" xfId="15520"/>
    <cellStyle name="RowTitles-Col2 3 7 3_Tertiary Salaries Survey" xfId="15521"/>
    <cellStyle name="RowTitles-Col2 3 7 4" xfId="15522"/>
    <cellStyle name="RowTitles-Col2 3 7 5" xfId="15523"/>
    <cellStyle name="RowTitles-Col2 3 7 5 2" xfId="15524"/>
    <cellStyle name="RowTitles-Col2 3 7 5_Tertiary Salaries Survey" xfId="15525"/>
    <cellStyle name="RowTitles-Col2 3 7 6" xfId="15526"/>
    <cellStyle name="RowTitles-Col2 3 7_Tertiary Salaries Survey" xfId="15527"/>
    <cellStyle name="RowTitles-Col2 3 8" xfId="15528"/>
    <cellStyle name="RowTitles-Col2 3 8 2" xfId="15529"/>
    <cellStyle name="RowTitles-Col2 3 8 2 2" xfId="15530"/>
    <cellStyle name="RowTitles-Col2 3 8 2 2 2" xfId="15531"/>
    <cellStyle name="RowTitles-Col2 3 8 2 2_Tertiary Salaries Survey" xfId="15532"/>
    <cellStyle name="RowTitles-Col2 3 8 2 3" xfId="15533"/>
    <cellStyle name="RowTitles-Col2 3 8 2_Tertiary Salaries Survey" xfId="15534"/>
    <cellStyle name="RowTitles-Col2 3 8 3" xfId="15535"/>
    <cellStyle name="RowTitles-Col2 3 8 3 2" xfId="15536"/>
    <cellStyle name="RowTitles-Col2 3 8 3 2 2" xfId="15537"/>
    <cellStyle name="RowTitles-Col2 3 8 3 2_Tertiary Salaries Survey" xfId="15538"/>
    <cellStyle name="RowTitles-Col2 3 8 3 3" xfId="15539"/>
    <cellStyle name="RowTitles-Col2 3 8 3_Tertiary Salaries Survey" xfId="15540"/>
    <cellStyle name="RowTitles-Col2 3 8 4" xfId="15541"/>
    <cellStyle name="RowTitles-Col2 3 8 4 2" xfId="15542"/>
    <cellStyle name="RowTitles-Col2 3 8 4_Tertiary Salaries Survey" xfId="15543"/>
    <cellStyle name="RowTitles-Col2 3 8 5" xfId="15544"/>
    <cellStyle name="RowTitles-Col2 3 8_Tertiary Salaries Survey" xfId="15545"/>
    <cellStyle name="RowTitles-Col2 3 9" xfId="15546"/>
    <cellStyle name="RowTitles-Col2 3 9 2" xfId="15547"/>
    <cellStyle name="RowTitles-Col2 3 9 2 2" xfId="15548"/>
    <cellStyle name="RowTitles-Col2 3 9 2 2 2" xfId="15549"/>
    <cellStyle name="RowTitles-Col2 3 9 2 2_Tertiary Salaries Survey" xfId="15550"/>
    <cellStyle name="RowTitles-Col2 3 9 2 3" xfId="15551"/>
    <cellStyle name="RowTitles-Col2 3 9 2_Tertiary Salaries Survey" xfId="15552"/>
    <cellStyle name="RowTitles-Col2 3 9 3" xfId="15553"/>
    <cellStyle name="RowTitles-Col2 3 9 3 2" xfId="15554"/>
    <cellStyle name="RowTitles-Col2 3 9 3 2 2" xfId="15555"/>
    <cellStyle name="RowTitles-Col2 3 9 3 2_Tertiary Salaries Survey" xfId="15556"/>
    <cellStyle name="RowTitles-Col2 3 9 3 3" xfId="15557"/>
    <cellStyle name="RowTitles-Col2 3 9 3_Tertiary Salaries Survey" xfId="15558"/>
    <cellStyle name="RowTitles-Col2 3 9 4" xfId="15559"/>
    <cellStyle name="RowTitles-Col2 3 9 4 2" xfId="15560"/>
    <cellStyle name="RowTitles-Col2 3 9 4_Tertiary Salaries Survey" xfId="15561"/>
    <cellStyle name="RowTitles-Col2 3 9 5" xfId="15562"/>
    <cellStyle name="RowTitles-Col2 3 9_Tertiary Salaries Survey" xfId="15563"/>
    <cellStyle name="RowTitles-Col2 3_STUD aligned by INSTIT" xfId="15564"/>
    <cellStyle name="RowTitles-Col2 30" xfId="29740"/>
    <cellStyle name="RowTitles-Col2 31" xfId="29741"/>
    <cellStyle name="RowTitles-Col2 32" xfId="29742"/>
    <cellStyle name="RowTitles-Col2 33" xfId="29743"/>
    <cellStyle name="RowTitles-Col2 34" xfId="29744"/>
    <cellStyle name="RowTitles-Col2 35" xfId="29745"/>
    <cellStyle name="RowTitles-Col2 36" xfId="29746"/>
    <cellStyle name="RowTitles-Col2 37" xfId="29747"/>
    <cellStyle name="RowTitles-Col2 38" xfId="29748"/>
    <cellStyle name="RowTitles-Col2 39" xfId="29749"/>
    <cellStyle name="RowTitles-Col2 4" xfId="15565"/>
    <cellStyle name="RowTitles-Col2 4 2" xfId="15566"/>
    <cellStyle name="RowTitles-Col2 4 2 2" xfId="15567"/>
    <cellStyle name="RowTitles-Col2 4 2 2 2" xfId="15568"/>
    <cellStyle name="RowTitles-Col2 4 2 2 2 2" xfId="15569"/>
    <cellStyle name="RowTitles-Col2 4 2 2 2_Tertiary Salaries Survey" xfId="15570"/>
    <cellStyle name="RowTitles-Col2 4 2 2 3" xfId="15571"/>
    <cellStyle name="RowTitles-Col2 4 2 2_Tertiary Salaries Survey" xfId="15572"/>
    <cellStyle name="RowTitles-Col2 4 2 3" xfId="15573"/>
    <cellStyle name="RowTitles-Col2 4 2 3 2" xfId="15574"/>
    <cellStyle name="RowTitles-Col2 4 2 3 2 2" xfId="15575"/>
    <cellStyle name="RowTitles-Col2 4 2 3 2_Tertiary Salaries Survey" xfId="15576"/>
    <cellStyle name="RowTitles-Col2 4 2 3 3" xfId="15577"/>
    <cellStyle name="RowTitles-Col2 4 2 3_Tertiary Salaries Survey" xfId="15578"/>
    <cellStyle name="RowTitles-Col2 4 2 4" xfId="15579"/>
    <cellStyle name="RowTitles-Col2 4 2_Tertiary Salaries Survey" xfId="15580"/>
    <cellStyle name="RowTitles-Col2 4 3" xfId="15581"/>
    <cellStyle name="RowTitles-Col2 4 3 2" xfId="15582"/>
    <cellStyle name="RowTitles-Col2 4 3 2 2" xfId="15583"/>
    <cellStyle name="RowTitles-Col2 4 3 2 2 2" xfId="15584"/>
    <cellStyle name="RowTitles-Col2 4 3 2 2_Tertiary Salaries Survey" xfId="15585"/>
    <cellStyle name="RowTitles-Col2 4 3 2 3" xfId="15586"/>
    <cellStyle name="RowTitles-Col2 4 3 2_Tertiary Salaries Survey" xfId="15587"/>
    <cellStyle name="RowTitles-Col2 4 3 3" xfId="15588"/>
    <cellStyle name="RowTitles-Col2 4 3 3 2" xfId="15589"/>
    <cellStyle name="RowTitles-Col2 4 3 3 2 2" xfId="15590"/>
    <cellStyle name="RowTitles-Col2 4 3 3 2_Tertiary Salaries Survey" xfId="15591"/>
    <cellStyle name="RowTitles-Col2 4 3 3 3" xfId="15592"/>
    <cellStyle name="RowTitles-Col2 4 3 3_Tertiary Salaries Survey" xfId="15593"/>
    <cellStyle name="RowTitles-Col2 4 3 4" xfId="15594"/>
    <cellStyle name="RowTitles-Col2 4 3 5" xfId="15595"/>
    <cellStyle name="RowTitles-Col2 4 3 5 2" xfId="15596"/>
    <cellStyle name="RowTitles-Col2 4 3 5_Tertiary Salaries Survey" xfId="15597"/>
    <cellStyle name="RowTitles-Col2 4 3 6" xfId="15598"/>
    <cellStyle name="RowTitles-Col2 4 3_Tertiary Salaries Survey" xfId="15599"/>
    <cellStyle name="RowTitles-Col2 4 4" xfId="15600"/>
    <cellStyle name="RowTitles-Col2 4 4 2" xfId="15601"/>
    <cellStyle name="RowTitles-Col2 4 4 2 2" xfId="15602"/>
    <cellStyle name="RowTitles-Col2 4 4 2 2 2" xfId="15603"/>
    <cellStyle name="RowTitles-Col2 4 4 2 2_Tertiary Salaries Survey" xfId="15604"/>
    <cellStyle name="RowTitles-Col2 4 4 2 3" xfId="15605"/>
    <cellStyle name="RowTitles-Col2 4 4 2_Tertiary Salaries Survey" xfId="15606"/>
    <cellStyle name="RowTitles-Col2 4 4 3" xfId="15607"/>
    <cellStyle name="RowTitles-Col2 4 4 3 2" xfId="15608"/>
    <cellStyle name="RowTitles-Col2 4 4 3 2 2" xfId="15609"/>
    <cellStyle name="RowTitles-Col2 4 4 3 2_Tertiary Salaries Survey" xfId="15610"/>
    <cellStyle name="RowTitles-Col2 4 4 3 3" xfId="15611"/>
    <cellStyle name="RowTitles-Col2 4 4 3_Tertiary Salaries Survey" xfId="15612"/>
    <cellStyle name="RowTitles-Col2 4 4 4" xfId="15613"/>
    <cellStyle name="RowTitles-Col2 4 4 4 2" xfId="15614"/>
    <cellStyle name="RowTitles-Col2 4 4 4_Tertiary Salaries Survey" xfId="15615"/>
    <cellStyle name="RowTitles-Col2 4 4 5" xfId="15616"/>
    <cellStyle name="RowTitles-Col2 4 4_Tertiary Salaries Survey" xfId="15617"/>
    <cellStyle name="RowTitles-Col2 4 5" xfId="15618"/>
    <cellStyle name="RowTitles-Col2 4 5 2" xfId="15619"/>
    <cellStyle name="RowTitles-Col2 4 5 2 2" xfId="15620"/>
    <cellStyle name="RowTitles-Col2 4 5 2 2 2" xfId="15621"/>
    <cellStyle name="RowTitles-Col2 4 5 2 2_Tertiary Salaries Survey" xfId="15622"/>
    <cellStyle name="RowTitles-Col2 4 5 2 3" xfId="15623"/>
    <cellStyle name="RowTitles-Col2 4 5 2_Tertiary Salaries Survey" xfId="15624"/>
    <cellStyle name="RowTitles-Col2 4 5 3" xfId="15625"/>
    <cellStyle name="RowTitles-Col2 4 5 3 2" xfId="15626"/>
    <cellStyle name="RowTitles-Col2 4 5 3 2 2" xfId="15627"/>
    <cellStyle name="RowTitles-Col2 4 5 3 2_Tertiary Salaries Survey" xfId="15628"/>
    <cellStyle name="RowTitles-Col2 4 5 3 3" xfId="15629"/>
    <cellStyle name="RowTitles-Col2 4 5 3_Tertiary Salaries Survey" xfId="15630"/>
    <cellStyle name="RowTitles-Col2 4 5 4" xfId="15631"/>
    <cellStyle name="RowTitles-Col2 4 5 4 2" xfId="15632"/>
    <cellStyle name="RowTitles-Col2 4 5 4_Tertiary Salaries Survey" xfId="15633"/>
    <cellStyle name="RowTitles-Col2 4 5 5" xfId="15634"/>
    <cellStyle name="RowTitles-Col2 4 5_Tertiary Salaries Survey" xfId="15635"/>
    <cellStyle name="RowTitles-Col2 4 6" xfId="15636"/>
    <cellStyle name="RowTitles-Col2 4 6 2" xfId="15637"/>
    <cellStyle name="RowTitles-Col2 4 6 2 2" xfId="15638"/>
    <cellStyle name="RowTitles-Col2 4 6 2 2 2" xfId="15639"/>
    <cellStyle name="RowTitles-Col2 4 6 2 2_Tertiary Salaries Survey" xfId="15640"/>
    <cellStyle name="RowTitles-Col2 4 6 2 3" xfId="15641"/>
    <cellStyle name="RowTitles-Col2 4 6 2_Tertiary Salaries Survey" xfId="15642"/>
    <cellStyle name="RowTitles-Col2 4 6 3" xfId="15643"/>
    <cellStyle name="RowTitles-Col2 4 6 3 2" xfId="15644"/>
    <cellStyle name="RowTitles-Col2 4 6 3 2 2" xfId="15645"/>
    <cellStyle name="RowTitles-Col2 4 6 3 2_Tertiary Salaries Survey" xfId="15646"/>
    <cellStyle name="RowTitles-Col2 4 6 3 3" xfId="15647"/>
    <cellStyle name="RowTitles-Col2 4 6 3_Tertiary Salaries Survey" xfId="15648"/>
    <cellStyle name="RowTitles-Col2 4 6 4" xfId="15649"/>
    <cellStyle name="RowTitles-Col2 4 6 4 2" xfId="15650"/>
    <cellStyle name="RowTitles-Col2 4 6 4_Tertiary Salaries Survey" xfId="15651"/>
    <cellStyle name="RowTitles-Col2 4 6 5" xfId="15652"/>
    <cellStyle name="RowTitles-Col2 4 6_Tertiary Salaries Survey" xfId="15653"/>
    <cellStyle name="RowTitles-Col2 4 7" xfId="15654"/>
    <cellStyle name="RowTitles-Col2 4 7 2" xfId="15655"/>
    <cellStyle name="RowTitles-Col2 4 7 2 2" xfId="15656"/>
    <cellStyle name="RowTitles-Col2 4 7 2_Tertiary Salaries Survey" xfId="15657"/>
    <cellStyle name="RowTitles-Col2 4 7 3" xfId="15658"/>
    <cellStyle name="RowTitles-Col2 4 7_Tertiary Salaries Survey" xfId="15659"/>
    <cellStyle name="RowTitles-Col2 4 8" xfId="15660"/>
    <cellStyle name="RowTitles-Col2 4_STUD aligned by INSTIT" xfId="15661"/>
    <cellStyle name="RowTitles-Col2 40" xfId="29750"/>
    <cellStyle name="RowTitles-Col2 41" xfId="29751"/>
    <cellStyle name="RowTitles-Col2 42" xfId="29752"/>
    <cellStyle name="RowTitles-Col2 43" xfId="29753"/>
    <cellStyle name="RowTitles-Col2 44" xfId="29754"/>
    <cellStyle name="RowTitles-Col2 45" xfId="29755"/>
    <cellStyle name="RowTitles-Col2 46" xfId="29756"/>
    <cellStyle name="RowTitles-Col2 47" xfId="29757"/>
    <cellStyle name="RowTitles-Col2 48" xfId="29758"/>
    <cellStyle name="RowTitles-Col2 49" xfId="29759"/>
    <cellStyle name="RowTitles-Col2 5" xfId="15662"/>
    <cellStyle name="RowTitles-Col2 5 2" xfId="15663"/>
    <cellStyle name="RowTitles-Col2 5 2 2" xfId="15664"/>
    <cellStyle name="RowTitles-Col2 5 2 2 2" xfId="15665"/>
    <cellStyle name="RowTitles-Col2 5 2 2 2 2" xfId="15666"/>
    <cellStyle name="RowTitles-Col2 5 2 2 2_Tertiary Salaries Survey" xfId="15667"/>
    <cellStyle name="RowTitles-Col2 5 2 2 3" xfId="15668"/>
    <cellStyle name="RowTitles-Col2 5 2 2_Tertiary Salaries Survey" xfId="15669"/>
    <cellStyle name="RowTitles-Col2 5 2 3" xfId="15670"/>
    <cellStyle name="RowTitles-Col2 5 2 3 2" xfId="15671"/>
    <cellStyle name="RowTitles-Col2 5 2 3 2 2" xfId="15672"/>
    <cellStyle name="RowTitles-Col2 5 2 3 2_Tertiary Salaries Survey" xfId="15673"/>
    <cellStyle name="RowTitles-Col2 5 2 3 3" xfId="15674"/>
    <cellStyle name="RowTitles-Col2 5 2 3_Tertiary Salaries Survey" xfId="15675"/>
    <cellStyle name="RowTitles-Col2 5 2 4" xfId="15676"/>
    <cellStyle name="RowTitles-Col2 5 2 5" xfId="15677"/>
    <cellStyle name="RowTitles-Col2 5 2 5 2" xfId="15678"/>
    <cellStyle name="RowTitles-Col2 5 2 5_Tertiary Salaries Survey" xfId="15679"/>
    <cellStyle name="RowTitles-Col2 5 2 6" xfId="15680"/>
    <cellStyle name="RowTitles-Col2 5 2_Tertiary Salaries Survey" xfId="15681"/>
    <cellStyle name="RowTitles-Col2 5 3" xfId="15682"/>
    <cellStyle name="RowTitles-Col2 5 3 2" xfId="15683"/>
    <cellStyle name="RowTitles-Col2 5 3 2 2" xfId="15684"/>
    <cellStyle name="RowTitles-Col2 5 3 2 2 2" xfId="15685"/>
    <cellStyle name="RowTitles-Col2 5 3 2 2_Tertiary Salaries Survey" xfId="15686"/>
    <cellStyle name="RowTitles-Col2 5 3 2 3" xfId="15687"/>
    <cellStyle name="RowTitles-Col2 5 3 2_Tertiary Salaries Survey" xfId="15688"/>
    <cellStyle name="RowTitles-Col2 5 3 3" xfId="15689"/>
    <cellStyle name="RowTitles-Col2 5 3 3 2" xfId="15690"/>
    <cellStyle name="RowTitles-Col2 5 3 3 2 2" xfId="15691"/>
    <cellStyle name="RowTitles-Col2 5 3 3 2_Tertiary Salaries Survey" xfId="15692"/>
    <cellStyle name="RowTitles-Col2 5 3 3 3" xfId="15693"/>
    <cellStyle name="RowTitles-Col2 5 3 3_Tertiary Salaries Survey" xfId="15694"/>
    <cellStyle name="RowTitles-Col2 5 3 4" xfId="15695"/>
    <cellStyle name="RowTitles-Col2 5 3_Tertiary Salaries Survey" xfId="15696"/>
    <cellStyle name="RowTitles-Col2 5 4" xfId="15697"/>
    <cellStyle name="RowTitles-Col2 5 4 2" xfId="15698"/>
    <cellStyle name="RowTitles-Col2 5 4 2 2" xfId="15699"/>
    <cellStyle name="RowTitles-Col2 5 4 2 2 2" xfId="15700"/>
    <cellStyle name="RowTitles-Col2 5 4 2 2_Tertiary Salaries Survey" xfId="15701"/>
    <cellStyle name="RowTitles-Col2 5 4 2 3" xfId="15702"/>
    <cellStyle name="RowTitles-Col2 5 4 2_Tertiary Salaries Survey" xfId="15703"/>
    <cellStyle name="RowTitles-Col2 5 4 3" xfId="15704"/>
    <cellStyle name="RowTitles-Col2 5 4 3 2" xfId="15705"/>
    <cellStyle name="RowTitles-Col2 5 4 3 2 2" xfId="15706"/>
    <cellStyle name="RowTitles-Col2 5 4 3 2_Tertiary Salaries Survey" xfId="15707"/>
    <cellStyle name="RowTitles-Col2 5 4 3 3" xfId="15708"/>
    <cellStyle name="RowTitles-Col2 5 4 3_Tertiary Salaries Survey" xfId="15709"/>
    <cellStyle name="RowTitles-Col2 5 4 4" xfId="15710"/>
    <cellStyle name="RowTitles-Col2 5 4 4 2" xfId="15711"/>
    <cellStyle name="RowTitles-Col2 5 4 4_Tertiary Salaries Survey" xfId="15712"/>
    <cellStyle name="RowTitles-Col2 5 4 5" xfId="15713"/>
    <cellStyle name="RowTitles-Col2 5 4_Tertiary Salaries Survey" xfId="15714"/>
    <cellStyle name="RowTitles-Col2 5 5" xfId="15715"/>
    <cellStyle name="RowTitles-Col2 5 5 2" xfId="15716"/>
    <cellStyle name="RowTitles-Col2 5 5 2 2" xfId="15717"/>
    <cellStyle name="RowTitles-Col2 5 5 2 2 2" xfId="15718"/>
    <cellStyle name="RowTitles-Col2 5 5 2 2_Tertiary Salaries Survey" xfId="15719"/>
    <cellStyle name="RowTitles-Col2 5 5 2 3" xfId="15720"/>
    <cellStyle name="RowTitles-Col2 5 5 2_Tertiary Salaries Survey" xfId="15721"/>
    <cellStyle name="RowTitles-Col2 5 5 3" xfId="15722"/>
    <cellStyle name="RowTitles-Col2 5 5 3 2" xfId="15723"/>
    <cellStyle name="RowTitles-Col2 5 5 3 2 2" xfId="15724"/>
    <cellStyle name="RowTitles-Col2 5 5 3 2_Tertiary Salaries Survey" xfId="15725"/>
    <cellStyle name="RowTitles-Col2 5 5 3 3" xfId="15726"/>
    <cellStyle name="RowTitles-Col2 5 5 3_Tertiary Salaries Survey" xfId="15727"/>
    <cellStyle name="RowTitles-Col2 5 5 4" xfId="15728"/>
    <cellStyle name="RowTitles-Col2 5 5 4 2" xfId="15729"/>
    <cellStyle name="RowTitles-Col2 5 5 4_Tertiary Salaries Survey" xfId="15730"/>
    <cellStyle name="RowTitles-Col2 5 5 5" xfId="15731"/>
    <cellStyle name="RowTitles-Col2 5 5_Tertiary Salaries Survey" xfId="15732"/>
    <cellStyle name="RowTitles-Col2 5 6" xfId="15733"/>
    <cellStyle name="RowTitles-Col2 5 6 2" xfId="15734"/>
    <cellStyle name="RowTitles-Col2 5 6 2 2" xfId="15735"/>
    <cellStyle name="RowTitles-Col2 5 6 2 2 2" xfId="15736"/>
    <cellStyle name="RowTitles-Col2 5 6 2 2_Tertiary Salaries Survey" xfId="15737"/>
    <cellStyle name="RowTitles-Col2 5 6 2 3" xfId="15738"/>
    <cellStyle name="RowTitles-Col2 5 6 2_Tertiary Salaries Survey" xfId="15739"/>
    <cellStyle name="RowTitles-Col2 5 6 3" xfId="15740"/>
    <cellStyle name="RowTitles-Col2 5 6 3 2" xfId="15741"/>
    <cellStyle name="RowTitles-Col2 5 6 3 2 2" xfId="15742"/>
    <cellStyle name="RowTitles-Col2 5 6 3 2_Tertiary Salaries Survey" xfId="15743"/>
    <cellStyle name="RowTitles-Col2 5 6 3 3" xfId="15744"/>
    <cellStyle name="RowTitles-Col2 5 6 3_Tertiary Salaries Survey" xfId="15745"/>
    <cellStyle name="RowTitles-Col2 5 6 4" xfId="15746"/>
    <cellStyle name="RowTitles-Col2 5 6 4 2" xfId="15747"/>
    <cellStyle name="RowTitles-Col2 5 6 4_Tertiary Salaries Survey" xfId="15748"/>
    <cellStyle name="RowTitles-Col2 5 6 5" xfId="15749"/>
    <cellStyle name="RowTitles-Col2 5 6_Tertiary Salaries Survey" xfId="15750"/>
    <cellStyle name="RowTitles-Col2 5 7" xfId="15751"/>
    <cellStyle name="RowTitles-Col2 5 7 2" xfId="15752"/>
    <cellStyle name="RowTitles-Col2 5 7 2 2" xfId="15753"/>
    <cellStyle name="RowTitles-Col2 5 7 2_Tertiary Salaries Survey" xfId="15754"/>
    <cellStyle name="RowTitles-Col2 5 7 3" xfId="15755"/>
    <cellStyle name="RowTitles-Col2 5 7_Tertiary Salaries Survey" xfId="15756"/>
    <cellStyle name="RowTitles-Col2 5 8" xfId="15757"/>
    <cellStyle name="RowTitles-Col2 5 8 2" xfId="15758"/>
    <cellStyle name="RowTitles-Col2 5 8 2 2" xfId="15759"/>
    <cellStyle name="RowTitles-Col2 5 8 2_Tertiary Salaries Survey" xfId="15760"/>
    <cellStyle name="RowTitles-Col2 5 8 3" xfId="15761"/>
    <cellStyle name="RowTitles-Col2 5 8_Tertiary Salaries Survey" xfId="15762"/>
    <cellStyle name="RowTitles-Col2 5_STUD aligned by INSTIT" xfId="15763"/>
    <cellStyle name="RowTitles-Col2 50" xfId="29760"/>
    <cellStyle name="RowTitles-Col2 51" xfId="29761"/>
    <cellStyle name="RowTitles-Col2 52" xfId="29762"/>
    <cellStyle name="RowTitles-Col2 53" xfId="29763"/>
    <cellStyle name="RowTitles-Col2 54" xfId="29764"/>
    <cellStyle name="RowTitles-Col2 6" xfId="15764"/>
    <cellStyle name="RowTitles-Col2 6 2" xfId="15765"/>
    <cellStyle name="RowTitles-Col2 6 2 2" xfId="15766"/>
    <cellStyle name="RowTitles-Col2 6 2 2 2" xfId="15767"/>
    <cellStyle name="RowTitles-Col2 6 2 2 2 2" xfId="15768"/>
    <cellStyle name="RowTitles-Col2 6 2 2 2_Tertiary Salaries Survey" xfId="15769"/>
    <cellStyle name="RowTitles-Col2 6 2 2 3" xfId="15770"/>
    <cellStyle name="RowTitles-Col2 6 2 2_Tertiary Salaries Survey" xfId="15771"/>
    <cellStyle name="RowTitles-Col2 6 2 3" xfId="15772"/>
    <cellStyle name="RowTitles-Col2 6 2 3 2" xfId="15773"/>
    <cellStyle name="RowTitles-Col2 6 2 3 2 2" xfId="15774"/>
    <cellStyle name="RowTitles-Col2 6 2 3 2_Tertiary Salaries Survey" xfId="15775"/>
    <cellStyle name="RowTitles-Col2 6 2 3 3" xfId="15776"/>
    <cellStyle name="RowTitles-Col2 6 2 3_Tertiary Salaries Survey" xfId="15777"/>
    <cellStyle name="RowTitles-Col2 6 2 4" xfId="15778"/>
    <cellStyle name="RowTitles-Col2 6 2 5" xfId="15779"/>
    <cellStyle name="RowTitles-Col2 6 2_Tertiary Salaries Survey" xfId="15780"/>
    <cellStyle name="RowTitles-Col2 6 3" xfId="15781"/>
    <cellStyle name="RowTitles-Col2 6 3 2" xfId="15782"/>
    <cellStyle name="RowTitles-Col2 6 3 2 2" xfId="15783"/>
    <cellStyle name="RowTitles-Col2 6 3 2 2 2" xfId="15784"/>
    <cellStyle name="RowTitles-Col2 6 3 2 2_Tertiary Salaries Survey" xfId="15785"/>
    <cellStyle name="RowTitles-Col2 6 3 2 3" xfId="15786"/>
    <cellStyle name="RowTitles-Col2 6 3 2_Tertiary Salaries Survey" xfId="15787"/>
    <cellStyle name="RowTitles-Col2 6 3 3" xfId="15788"/>
    <cellStyle name="RowTitles-Col2 6 3 3 2" xfId="15789"/>
    <cellStyle name="RowTitles-Col2 6 3 3 2 2" xfId="15790"/>
    <cellStyle name="RowTitles-Col2 6 3 3 2_Tertiary Salaries Survey" xfId="15791"/>
    <cellStyle name="RowTitles-Col2 6 3 3 3" xfId="15792"/>
    <cellStyle name="RowTitles-Col2 6 3 3_Tertiary Salaries Survey" xfId="15793"/>
    <cellStyle name="RowTitles-Col2 6 3 4" xfId="15794"/>
    <cellStyle name="RowTitles-Col2 6 3 4 2" xfId="15795"/>
    <cellStyle name="RowTitles-Col2 6 3 4_Tertiary Salaries Survey" xfId="15796"/>
    <cellStyle name="RowTitles-Col2 6 3_Tertiary Salaries Survey" xfId="15797"/>
    <cellStyle name="RowTitles-Col2 6 4" xfId="15798"/>
    <cellStyle name="RowTitles-Col2 6 4 2" xfId="15799"/>
    <cellStyle name="RowTitles-Col2 6 4 2 2" xfId="15800"/>
    <cellStyle name="RowTitles-Col2 6 4 2 2 2" xfId="15801"/>
    <cellStyle name="RowTitles-Col2 6 4 2 2_Tertiary Salaries Survey" xfId="15802"/>
    <cellStyle name="RowTitles-Col2 6 4 2 3" xfId="15803"/>
    <cellStyle name="RowTitles-Col2 6 4 2_Tertiary Salaries Survey" xfId="15804"/>
    <cellStyle name="RowTitles-Col2 6 4 3" xfId="15805"/>
    <cellStyle name="RowTitles-Col2 6 4 3 2" xfId="15806"/>
    <cellStyle name="RowTitles-Col2 6 4 3 2 2" xfId="15807"/>
    <cellStyle name="RowTitles-Col2 6 4 3 2_Tertiary Salaries Survey" xfId="15808"/>
    <cellStyle name="RowTitles-Col2 6 4 3 3" xfId="15809"/>
    <cellStyle name="RowTitles-Col2 6 4 3_Tertiary Salaries Survey" xfId="15810"/>
    <cellStyle name="RowTitles-Col2 6 4 4" xfId="15811"/>
    <cellStyle name="RowTitles-Col2 6 4 4 2" xfId="15812"/>
    <cellStyle name="RowTitles-Col2 6 4 4_Tertiary Salaries Survey" xfId="15813"/>
    <cellStyle name="RowTitles-Col2 6 4 5" xfId="15814"/>
    <cellStyle name="RowTitles-Col2 6 4_Tertiary Salaries Survey" xfId="15815"/>
    <cellStyle name="RowTitles-Col2 6 5" xfId="15816"/>
    <cellStyle name="RowTitles-Col2 6 5 2" xfId="15817"/>
    <cellStyle name="RowTitles-Col2 6 5 2 2" xfId="15818"/>
    <cellStyle name="RowTitles-Col2 6 5 2 2 2" xfId="15819"/>
    <cellStyle name="RowTitles-Col2 6 5 2 2_Tertiary Salaries Survey" xfId="15820"/>
    <cellStyle name="RowTitles-Col2 6 5 2 3" xfId="15821"/>
    <cellStyle name="RowTitles-Col2 6 5 2_Tertiary Salaries Survey" xfId="15822"/>
    <cellStyle name="RowTitles-Col2 6 5 3" xfId="15823"/>
    <cellStyle name="RowTitles-Col2 6 5 3 2" xfId="15824"/>
    <cellStyle name="RowTitles-Col2 6 5 3 2 2" xfId="15825"/>
    <cellStyle name="RowTitles-Col2 6 5 3 2_Tertiary Salaries Survey" xfId="15826"/>
    <cellStyle name="RowTitles-Col2 6 5 3 3" xfId="15827"/>
    <cellStyle name="RowTitles-Col2 6 5 3_Tertiary Salaries Survey" xfId="15828"/>
    <cellStyle name="RowTitles-Col2 6 5 4" xfId="15829"/>
    <cellStyle name="RowTitles-Col2 6 5 4 2" xfId="15830"/>
    <cellStyle name="RowTitles-Col2 6 5 4_Tertiary Salaries Survey" xfId="15831"/>
    <cellStyle name="RowTitles-Col2 6 5 5" xfId="15832"/>
    <cellStyle name="RowTitles-Col2 6 5_Tertiary Salaries Survey" xfId="15833"/>
    <cellStyle name="RowTitles-Col2 6 6" xfId="15834"/>
    <cellStyle name="RowTitles-Col2 6 6 2" xfId="15835"/>
    <cellStyle name="RowTitles-Col2 6 6 2 2" xfId="15836"/>
    <cellStyle name="RowTitles-Col2 6 6 2 2 2" xfId="15837"/>
    <cellStyle name="RowTitles-Col2 6 6 2 2_Tertiary Salaries Survey" xfId="15838"/>
    <cellStyle name="RowTitles-Col2 6 6 2 3" xfId="15839"/>
    <cellStyle name="RowTitles-Col2 6 6 2_Tertiary Salaries Survey" xfId="15840"/>
    <cellStyle name="RowTitles-Col2 6 6 3" xfId="15841"/>
    <cellStyle name="RowTitles-Col2 6 6 3 2" xfId="15842"/>
    <cellStyle name="RowTitles-Col2 6 6 3 2 2" xfId="15843"/>
    <cellStyle name="RowTitles-Col2 6 6 3 2_Tertiary Salaries Survey" xfId="15844"/>
    <cellStyle name="RowTitles-Col2 6 6 3 3" xfId="15845"/>
    <cellStyle name="RowTitles-Col2 6 6 3_Tertiary Salaries Survey" xfId="15846"/>
    <cellStyle name="RowTitles-Col2 6 6 4" xfId="15847"/>
    <cellStyle name="RowTitles-Col2 6 6 4 2" xfId="15848"/>
    <cellStyle name="RowTitles-Col2 6 6 4_Tertiary Salaries Survey" xfId="15849"/>
    <cellStyle name="RowTitles-Col2 6 6 5" xfId="15850"/>
    <cellStyle name="RowTitles-Col2 6 6_Tertiary Salaries Survey" xfId="15851"/>
    <cellStyle name="RowTitles-Col2 6 7" xfId="15852"/>
    <cellStyle name="RowTitles-Col2 6 7 2" xfId="15853"/>
    <cellStyle name="RowTitles-Col2 6 7 2 2" xfId="15854"/>
    <cellStyle name="RowTitles-Col2 6 7 2_Tertiary Salaries Survey" xfId="15855"/>
    <cellStyle name="RowTitles-Col2 6 7 3" xfId="15856"/>
    <cellStyle name="RowTitles-Col2 6 7_Tertiary Salaries Survey" xfId="15857"/>
    <cellStyle name="RowTitles-Col2 6 8" xfId="15858"/>
    <cellStyle name="RowTitles-Col2 6 8 2" xfId="15859"/>
    <cellStyle name="RowTitles-Col2 6 8 2 2" xfId="15860"/>
    <cellStyle name="RowTitles-Col2 6 8 2_Tertiary Salaries Survey" xfId="15861"/>
    <cellStyle name="RowTitles-Col2 6 8 3" xfId="15862"/>
    <cellStyle name="RowTitles-Col2 6 8_Tertiary Salaries Survey" xfId="15863"/>
    <cellStyle name="RowTitles-Col2 6_STUD aligned by INSTIT" xfId="15864"/>
    <cellStyle name="RowTitles-Col2 7" xfId="15865"/>
    <cellStyle name="RowTitles-Col2 7 2" xfId="15866"/>
    <cellStyle name="RowTitles-Col2 7 2 2" xfId="15867"/>
    <cellStyle name="RowTitles-Col2 7 2 2 2" xfId="15868"/>
    <cellStyle name="RowTitles-Col2 7 2 2_Tertiary Salaries Survey" xfId="15869"/>
    <cellStyle name="RowTitles-Col2 7 2 3" xfId="15870"/>
    <cellStyle name="RowTitles-Col2 7 2_Tertiary Salaries Survey" xfId="15871"/>
    <cellStyle name="RowTitles-Col2 7 3" xfId="15872"/>
    <cellStyle name="RowTitles-Col2 7 3 2" xfId="15873"/>
    <cellStyle name="RowTitles-Col2 7 3 2 2" xfId="15874"/>
    <cellStyle name="RowTitles-Col2 7 3 2_Tertiary Salaries Survey" xfId="15875"/>
    <cellStyle name="RowTitles-Col2 7 3 3" xfId="15876"/>
    <cellStyle name="RowTitles-Col2 7 3_Tertiary Salaries Survey" xfId="15877"/>
    <cellStyle name="RowTitles-Col2 7 4" xfId="15878"/>
    <cellStyle name="RowTitles-Col2 7 5" xfId="15879"/>
    <cellStyle name="RowTitles-Col2 7 5 2" xfId="15880"/>
    <cellStyle name="RowTitles-Col2 7 5_Tertiary Salaries Survey" xfId="15881"/>
    <cellStyle name="RowTitles-Col2 7_Tertiary Salaries Survey" xfId="15882"/>
    <cellStyle name="RowTitles-Col2 8" xfId="15883"/>
    <cellStyle name="RowTitles-Col2 8 2" xfId="15884"/>
    <cellStyle name="RowTitles-Col2 8 2 2" xfId="15885"/>
    <cellStyle name="RowTitles-Col2 8 2 2 2" xfId="15886"/>
    <cellStyle name="RowTitles-Col2 8 2 2_Tertiary Salaries Survey" xfId="15887"/>
    <cellStyle name="RowTitles-Col2 8 2 3" xfId="15888"/>
    <cellStyle name="RowTitles-Col2 8 2_Tertiary Salaries Survey" xfId="15889"/>
    <cellStyle name="RowTitles-Col2 8 3" xfId="15890"/>
    <cellStyle name="RowTitles-Col2 8 3 2" xfId="15891"/>
    <cellStyle name="RowTitles-Col2 8 3 2 2" xfId="15892"/>
    <cellStyle name="RowTitles-Col2 8 3 2_Tertiary Salaries Survey" xfId="15893"/>
    <cellStyle name="RowTitles-Col2 8 3 3" xfId="15894"/>
    <cellStyle name="RowTitles-Col2 8 3_Tertiary Salaries Survey" xfId="15895"/>
    <cellStyle name="RowTitles-Col2 8 4" xfId="15896"/>
    <cellStyle name="RowTitles-Col2 8 5" xfId="15897"/>
    <cellStyle name="RowTitles-Col2 8_Tertiary Salaries Survey" xfId="15898"/>
    <cellStyle name="RowTitles-Col2 9" xfId="15899"/>
    <cellStyle name="RowTitles-Col2 9 2" xfId="15900"/>
    <cellStyle name="RowTitles-Col2 9 2 2" xfId="15901"/>
    <cellStyle name="RowTitles-Col2 9 2 2 2" xfId="15902"/>
    <cellStyle name="RowTitles-Col2 9 2 2_Tertiary Salaries Survey" xfId="15903"/>
    <cellStyle name="RowTitles-Col2 9 2 3" xfId="15904"/>
    <cellStyle name="RowTitles-Col2 9 2_Tertiary Salaries Survey" xfId="15905"/>
    <cellStyle name="RowTitles-Col2 9 3" xfId="15906"/>
    <cellStyle name="RowTitles-Col2 9 3 2" xfId="15907"/>
    <cellStyle name="RowTitles-Col2 9 3 2 2" xfId="15908"/>
    <cellStyle name="RowTitles-Col2 9 3 2_Tertiary Salaries Survey" xfId="15909"/>
    <cellStyle name="RowTitles-Col2 9 3 3" xfId="15910"/>
    <cellStyle name="RowTitles-Col2 9 3_Tertiary Salaries Survey" xfId="15911"/>
    <cellStyle name="RowTitles-Col2 9 4" xfId="15912"/>
    <cellStyle name="RowTitles-Col2 9 5" xfId="15913"/>
    <cellStyle name="RowTitles-Col2 9 5 2" xfId="15914"/>
    <cellStyle name="RowTitles-Col2 9 5_Tertiary Salaries Survey" xfId="15915"/>
    <cellStyle name="RowTitles-Col2 9 6" xfId="15916"/>
    <cellStyle name="RowTitles-Col2 9_Tertiary Salaries Survey" xfId="15917"/>
    <cellStyle name="RowTitles-Col2_STUD aligned by INSTIT" xfId="15918"/>
    <cellStyle name="RowTitles-Detail" xfId="71"/>
    <cellStyle name="RowTitles-Detail 10" xfId="15919"/>
    <cellStyle name="RowTitles-Detail 10 2" xfId="15920"/>
    <cellStyle name="RowTitles-Detail 10 2 2" xfId="15921"/>
    <cellStyle name="RowTitles-Detail 10 2 2 2" xfId="15922"/>
    <cellStyle name="RowTitles-Detail 10 2 2_Tertiary Salaries Survey" xfId="15923"/>
    <cellStyle name="RowTitles-Detail 10 2 3" xfId="15924"/>
    <cellStyle name="RowTitles-Detail 10 2_Tertiary Salaries Survey" xfId="15925"/>
    <cellStyle name="RowTitles-Detail 10 3" xfId="15926"/>
    <cellStyle name="RowTitles-Detail 10 3 2" xfId="15927"/>
    <cellStyle name="RowTitles-Detail 10 3 2 2" xfId="15928"/>
    <cellStyle name="RowTitles-Detail 10 3 2_Tertiary Salaries Survey" xfId="15929"/>
    <cellStyle name="RowTitles-Detail 10 3 3" xfId="15930"/>
    <cellStyle name="RowTitles-Detail 10 3_Tertiary Salaries Survey" xfId="15931"/>
    <cellStyle name="RowTitles-Detail 10 4" xfId="15932"/>
    <cellStyle name="RowTitles-Detail 10 4 2" xfId="15933"/>
    <cellStyle name="RowTitles-Detail 10 4_Tertiary Salaries Survey" xfId="15934"/>
    <cellStyle name="RowTitles-Detail 10 5" xfId="15935"/>
    <cellStyle name="RowTitles-Detail 10_Tertiary Salaries Survey" xfId="15936"/>
    <cellStyle name="RowTitles-Detail 11" xfId="15937"/>
    <cellStyle name="RowTitles-Detail 11 2" xfId="15938"/>
    <cellStyle name="RowTitles-Detail 11 2 2" xfId="15939"/>
    <cellStyle name="RowTitles-Detail 11 2 2 2" xfId="15940"/>
    <cellStyle name="RowTitles-Detail 11 2 2_Tertiary Salaries Survey" xfId="15941"/>
    <cellStyle name="RowTitles-Detail 11 2 3" xfId="15942"/>
    <cellStyle name="RowTitles-Detail 11 2_Tertiary Salaries Survey" xfId="15943"/>
    <cellStyle name="RowTitles-Detail 11 3" xfId="15944"/>
    <cellStyle name="RowTitles-Detail 11 3 2" xfId="15945"/>
    <cellStyle name="RowTitles-Detail 11 3 2 2" xfId="15946"/>
    <cellStyle name="RowTitles-Detail 11 3 2_Tertiary Salaries Survey" xfId="15947"/>
    <cellStyle name="RowTitles-Detail 11 3 3" xfId="15948"/>
    <cellStyle name="RowTitles-Detail 11 3_Tertiary Salaries Survey" xfId="15949"/>
    <cellStyle name="RowTitles-Detail 11 4" xfId="15950"/>
    <cellStyle name="RowTitles-Detail 11 4 2" xfId="15951"/>
    <cellStyle name="RowTitles-Detail 11 4_Tertiary Salaries Survey" xfId="15952"/>
    <cellStyle name="RowTitles-Detail 11 5" xfId="15953"/>
    <cellStyle name="RowTitles-Detail 11_Tertiary Salaries Survey" xfId="15954"/>
    <cellStyle name="RowTitles-Detail 12" xfId="15955"/>
    <cellStyle name="RowTitles-Detail 12 2" xfId="15956"/>
    <cellStyle name="RowTitles-Detail 12 2 2" xfId="15957"/>
    <cellStyle name="RowTitles-Detail 12 2 2 2" xfId="15958"/>
    <cellStyle name="RowTitles-Detail 12 2 2_Tertiary Salaries Survey" xfId="15959"/>
    <cellStyle name="RowTitles-Detail 12 2 3" xfId="15960"/>
    <cellStyle name="RowTitles-Detail 12 2_Tertiary Salaries Survey" xfId="15961"/>
    <cellStyle name="RowTitles-Detail 12 3" xfId="15962"/>
    <cellStyle name="RowTitles-Detail 12 3 2" xfId="15963"/>
    <cellStyle name="RowTitles-Detail 12 3 2 2" xfId="15964"/>
    <cellStyle name="RowTitles-Detail 12 3 2_Tertiary Salaries Survey" xfId="15965"/>
    <cellStyle name="RowTitles-Detail 12 3 3" xfId="15966"/>
    <cellStyle name="RowTitles-Detail 12 3_Tertiary Salaries Survey" xfId="15967"/>
    <cellStyle name="RowTitles-Detail 12 4" xfId="15968"/>
    <cellStyle name="RowTitles-Detail 12 4 2" xfId="15969"/>
    <cellStyle name="RowTitles-Detail 12 4_Tertiary Salaries Survey" xfId="15970"/>
    <cellStyle name="RowTitles-Detail 12 5" xfId="15971"/>
    <cellStyle name="RowTitles-Detail 12_Tertiary Salaries Survey" xfId="15972"/>
    <cellStyle name="RowTitles-Detail 13" xfId="15973"/>
    <cellStyle name="RowTitles-Detail 13 2" xfId="15974"/>
    <cellStyle name="RowTitles-Detail 13 2 2" xfId="15975"/>
    <cellStyle name="RowTitles-Detail 13 2_Tertiary Salaries Survey" xfId="15976"/>
    <cellStyle name="RowTitles-Detail 13 3" xfId="15977"/>
    <cellStyle name="RowTitles-Detail 13_Tertiary Salaries Survey" xfId="15978"/>
    <cellStyle name="RowTitles-Detail 14" xfId="15979"/>
    <cellStyle name="RowTitles-Detail 15" xfId="15980"/>
    <cellStyle name="RowTitles-Detail 16" xfId="15981"/>
    <cellStyle name="RowTitles-Detail 17" xfId="15982"/>
    <cellStyle name="RowTitles-Detail 17 2" xfId="29765"/>
    <cellStyle name="RowTitles-Detail 17 3" xfId="29766"/>
    <cellStyle name="RowTitles-Detail 18" xfId="29767"/>
    <cellStyle name="RowTitles-Detail 18 2" xfId="29768"/>
    <cellStyle name="RowTitles-Detail 19" xfId="29769"/>
    <cellStyle name="RowTitles-Detail 19 2" xfId="29770"/>
    <cellStyle name="RowTitles-Detail 2" xfId="15983"/>
    <cellStyle name="RowTitles-Detail 2 10" xfId="15984"/>
    <cellStyle name="RowTitles-Detail 2 10 2" xfId="15985"/>
    <cellStyle name="RowTitles-Detail 2 10 2 2" xfId="15986"/>
    <cellStyle name="RowTitles-Detail 2 10 2 2 2" xfId="15987"/>
    <cellStyle name="RowTitles-Detail 2 10 2 2_Tertiary Salaries Survey" xfId="15988"/>
    <cellStyle name="RowTitles-Detail 2 10 2 3" xfId="15989"/>
    <cellStyle name="RowTitles-Detail 2 10 2_Tertiary Salaries Survey" xfId="15990"/>
    <cellStyle name="RowTitles-Detail 2 10 3" xfId="15991"/>
    <cellStyle name="RowTitles-Detail 2 10 3 2" xfId="15992"/>
    <cellStyle name="RowTitles-Detail 2 10 3 2 2" xfId="15993"/>
    <cellStyle name="RowTitles-Detail 2 10 3 2_Tertiary Salaries Survey" xfId="15994"/>
    <cellStyle name="RowTitles-Detail 2 10 3 3" xfId="15995"/>
    <cellStyle name="RowTitles-Detail 2 10 3_Tertiary Salaries Survey" xfId="15996"/>
    <cellStyle name="RowTitles-Detail 2 10 4" xfId="15997"/>
    <cellStyle name="RowTitles-Detail 2 10 5" xfId="15998"/>
    <cellStyle name="RowTitles-Detail 2 10 5 2" xfId="15999"/>
    <cellStyle name="RowTitles-Detail 2 10 5_Tertiary Salaries Survey" xfId="16000"/>
    <cellStyle name="RowTitles-Detail 2 10 6" xfId="16001"/>
    <cellStyle name="RowTitles-Detail 2 10_Tertiary Salaries Survey" xfId="16002"/>
    <cellStyle name="RowTitles-Detail 2 11" xfId="16003"/>
    <cellStyle name="RowTitles-Detail 2 11 2" xfId="16004"/>
    <cellStyle name="RowTitles-Detail 2 11 2 2" xfId="16005"/>
    <cellStyle name="RowTitles-Detail 2 11 2 2 2" xfId="16006"/>
    <cellStyle name="RowTitles-Detail 2 11 2 2_Tertiary Salaries Survey" xfId="16007"/>
    <cellStyle name="RowTitles-Detail 2 11 2 3" xfId="16008"/>
    <cellStyle name="RowTitles-Detail 2 11 2_Tertiary Salaries Survey" xfId="16009"/>
    <cellStyle name="RowTitles-Detail 2 11 3" xfId="16010"/>
    <cellStyle name="RowTitles-Detail 2 11 3 2" xfId="16011"/>
    <cellStyle name="RowTitles-Detail 2 11 3 2 2" xfId="16012"/>
    <cellStyle name="RowTitles-Detail 2 11 3 2_Tertiary Salaries Survey" xfId="16013"/>
    <cellStyle name="RowTitles-Detail 2 11 3 3" xfId="16014"/>
    <cellStyle name="RowTitles-Detail 2 11 3_Tertiary Salaries Survey" xfId="16015"/>
    <cellStyle name="RowTitles-Detail 2 11 4" xfId="16016"/>
    <cellStyle name="RowTitles-Detail 2 11 4 2" xfId="16017"/>
    <cellStyle name="RowTitles-Detail 2 11 4_Tertiary Salaries Survey" xfId="16018"/>
    <cellStyle name="RowTitles-Detail 2 11 5" xfId="16019"/>
    <cellStyle name="RowTitles-Detail 2 11_Tertiary Salaries Survey" xfId="16020"/>
    <cellStyle name="RowTitles-Detail 2 12" xfId="16021"/>
    <cellStyle name="RowTitles-Detail 2 12 2" xfId="16022"/>
    <cellStyle name="RowTitles-Detail 2 12 2 2" xfId="16023"/>
    <cellStyle name="RowTitles-Detail 2 12 2 2 2" xfId="16024"/>
    <cellStyle name="RowTitles-Detail 2 12 2 2_Tertiary Salaries Survey" xfId="16025"/>
    <cellStyle name="RowTitles-Detail 2 12 2 3" xfId="16026"/>
    <cellStyle name="RowTitles-Detail 2 12 2_Tertiary Salaries Survey" xfId="16027"/>
    <cellStyle name="RowTitles-Detail 2 12 3" xfId="16028"/>
    <cellStyle name="RowTitles-Detail 2 12 3 2" xfId="16029"/>
    <cellStyle name="RowTitles-Detail 2 12 3 2 2" xfId="16030"/>
    <cellStyle name="RowTitles-Detail 2 12 3 2_Tertiary Salaries Survey" xfId="16031"/>
    <cellStyle name="RowTitles-Detail 2 12 3 3" xfId="16032"/>
    <cellStyle name="RowTitles-Detail 2 12 3_Tertiary Salaries Survey" xfId="16033"/>
    <cellStyle name="RowTitles-Detail 2 12 4" xfId="16034"/>
    <cellStyle name="RowTitles-Detail 2 12 4 2" xfId="16035"/>
    <cellStyle name="RowTitles-Detail 2 12 4_Tertiary Salaries Survey" xfId="16036"/>
    <cellStyle name="RowTitles-Detail 2 12 5" xfId="16037"/>
    <cellStyle name="RowTitles-Detail 2 12_Tertiary Salaries Survey" xfId="16038"/>
    <cellStyle name="RowTitles-Detail 2 13" xfId="16039"/>
    <cellStyle name="RowTitles-Detail 2 13 2" xfId="16040"/>
    <cellStyle name="RowTitles-Detail 2 13 2 2" xfId="16041"/>
    <cellStyle name="RowTitles-Detail 2 13 2_Tertiary Salaries Survey" xfId="16042"/>
    <cellStyle name="RowTitles-Detail 2 13 3" xfId="16043"/>
    <cellStyle name="RowTitles-Detail 2 13_Tertiary Salaries Survey" xfId="16044"/>
    <cellStyle name="RowTitles-Detail 2 14" xfId="16045"/>
    <cellStyle name="RowTitles-Detail 2 15" xfId="16046"/>
    <cellStyle name="RowTitles-Detail 2 16" xfId="16047"/>
    <cellStyle name="RowTitles-Detail 2 2" xfId="16048"/>
    <cellStyle name="RowTitles-Detail 2 2 10" xfId="16049"/>
    <cellStyle name="RowTitles-Detail 2 2 10 2" xfId="16050"/>
    <cellStyle name="RowTitles-Detail 2 2 10 2 2" xfId="16051"/>
    <cellStyle name="RowTitles-Detail 2 2 10 2 2 2" xfId="16052"/>
    <cellStyle name="RowTitles-Detail 2 2 10 2 2_Tertiary Salaries Survey" xfId="16053"/>
    <cellStyle name="RowTitles-Detail 2 2 10 2 3" xfId="16054"/>
    <cellStyle name="RowTitles-Detail 2 2 10 2_Tertiary Salaries Survey" xfId="16055"/>
    <cellStyle name="RowTitles-Detail 2 2 10 3" xfId="16056"/>
    <cellStyle name="RowTitles-Detail 2 2 10 3 2" xfId="16057"/>
    <cellStyle name="RowTitles-Detail 2 2 10 3 2 2" xfId="16058"/>
    <cellStyle name="RowTitles-Detail 2 2 10 3 2_Tertiary Salaries Survey" xfId="16059"/>
    <cellStyle name="RowTitles-Detail 2 2 10 3 3" xfId="16060"/>
    <cellStyle name="RowTitles-Detail 2 2 10 3_Tertiary Salaries Survey" xfId="16061"/>
    <cellStyle name="RowTitles-Detail 2 2 10 4" xfId="16062"/>
    <cellStyle name="RowTitles-Detail 2 2 10 4 2" xfId="16063"/>
    <cellStyle name="RowTitles-Detail 2 2 10 4_Tertiary Salaries Survey" xfId="16064"/>
    <cellStyle name="RowTitles-Detail 2 2 10 5" xfId="16065"/>
    <cellStyle name="RowTitles-Detail 2 2 10_Tertiary Salaries Survey" xfId="16066"/>
    <cellStyle name="RowTitles-Detail 2 2 11" xfId="16067"/>
    <cellStyle name="RowTitles-Detail 2 2 11 2" xfId="16068"/>
    <cellStyle name="RowTitles-Detail 2 2 11 2 2" xfId="16069"/>
    <cellStyle name="RowTitles-Detail 2 2 11 2 2 2" xfId="16070"/>
    <cellStyle name="RowTitles-Detail 2 2 11 2 2_Tertiary Salaries Survey" xfId="16071"/>
    <cellStyle name="RowTitles-Detail 2 2 11 2 3" xfId="16072"/>
    <cellStyle name="RowTitles-Detail 2 2 11 2_Tertiary Salaries Survey" xfId="16073"/>
    <cellStyle name="RowTitles-Detail 2 2 11 3" xfId="16074"/>
    <cellStyle name="RowTitles-Detail 2 2 11 3 2" xfId="16075"/>
    <cellStyle name="RowTitles-Detail 2 2 11 3 2 2" xfId="16076"/>
    <cellStyle name="RowTitles-Detail 2 2 11 3 2_Tertiary Salaries Survey" xfId="16077"/>
    <cellStyle name="RowTitles-Detail 2 2 11 3 3" xfId="16078"/>
    <cellStyle name="RowTitles-Detail 2 2 11 3_Tertiary Salaries Survey" xfId="16079"/>
    <cellStyle name="RowTitles-Detail 2 2 11 4" xfId="16080"/>
    <cellStyle name="RowTitles-Detail 2 2 11 4 2" xfId="16081"/>
    <cellStyle name="RowTitles-Detail 2 2 11 4_Tertiary Salaries Survey" xfId="16082"/>
    <cellStyle name="RowTitles-Detail 2 2 11 5" xfId="16083"/>
    <cellStyle name="RowTitles-Detail 2 2 11_Tertiary Salaries Survey" xfId="16084"/>
    <cellStyle name="RowTitles-Detail 2 2 12" xfId="16085"/>
    <cellStyle name="RowTitles-Detail 2 2 12 2" xfId="16086"/>
    <cellStyle name="RowTitles-Detail 2 2 12 2 2" xfId="16087"/>
    <cellStyle name="RowTitles-Detail 2 2 12 2_Tertiary Salaries Survey" xfId="16088"/>
    <cellStyle name="RowTitles-Detail 2 2 12 3" xfId="16089"/>
    <cellStyle name="RowTitles-Detail 2 2 12_Tertiary Salaries Survey" xfId="16090"/>
    <cellStyle name="RowTitles-Detail 2 2 13" xfId="16091"/>
    <cellStyle name="RowTitles-Detail 2 2 14" xfId="16092"/>
    <cellStyle name="RowTitles-Detail 2 2 15" xfId="16093"/>
    <cellStyle name="RowTitles-Detail 2 2 2" xfId="16094"/>
    <cellStyle name="RowTitles-Detail 2 2 2 10" xfId="16095"/>
    <cellStyle name="RowTitles-Detail 2 2 2 10 2" xfId="16096"/>
    <cellStyle name="RowTitles-Detail 2 2 2 10 2 2" xfId="16097"/>
    <cellStyle name="RowTitles-Detail 2 2 2 10 2 2 2" xfId="16098"/>
    <cellStyle name="RowTitles-Detail 2 2 2 10 2 2_Tertiary Salaries Survey" xfId="16099"/>
    <cellStyle name="RowTitles-Detail 2 2 2 10 2 3" xfId="16100"/>
    <cellStyle name="RowTitles-Detail 2 2 2 10 2_Tertiary Salaries Survey" xfId="16101"/>
    <cellStyle name="RowTitles-Detail 2 2 2 10 3" xfId="16102"/>
    <cellStyle name="RowTitles-Detail 2 2 2 10 3 2" xfId="16103"/>
    <cellStyle name="RowTitles-Detail 2 2 2 10 3 2 2" xfId="16104"/>
    <cellStyle name="RowTitles-Detail 2 2 2 10 3 2_Tertiary Salaries Survey" xfId="16105"/>
    <cellStyle name="RowTitles-Detail 2 2 2 10 3 3" xfId="16106"/>
    <cellStyle name="RowTitles-Detail 2 2 2 10 3_Tertiary Salaries Survey" xfId="16107"/>
    <cellStyle name="RowTitles-Detail 2 2 2 10 4" xfId="16108"/>
    <cellStyle name="RowTitles-Detail 2 2 2 10 4 2" xfId="16109"/>
    <cellStyle name="RowTitles-Detail 2 2 2 10 4_Tertiary Salaries Survey" xfId="16110"/>
    <cellStyle name="RowTitles-Detail 2 2 2 10 5" xfId="16111"/>
    <cellStyle name="RowTitles-Detail 2 2 2 10_Tertiary Salaries Survey" xfId="16112"/>
    <cellStyle name="RowTitles-Detail 2 2 2 11" xfId="16113"/>
    <cellStyle name="RowTitles-Detail 2 2 2 11 2" xfId="16114"/>
    <cellStyle name="RowTitles-Detail 2 2 2 11 2 2" xfId="16115"/>
    <cellStyle name="RowTitles-Detail 2 2 2 11 2_Tertiary Salaries Survey" xfId="16116"/>
    <cellStyle name="RowTitles-Detail 2 2 2 11 3" xfId="16117"/>
    <cellStyle name="RowTitles-Detail 2 2 2 11_Tertiary Salaries Survey" xfId="16118"/>
    <cellStyle name="RowTitles-Detail 2 2 2 12" xfId="16119"/>
    <cellStyle name="RowTitles-Detail 2 2 2 13" xfId="16120"/>
    <cellStyle name="RowTitles-Detail 2 2 2 2" xfId="16121"/>
    <cellStyle name="RowTitles-Detail 2 2 2 2 10" xfId="16122"/>
    <cellStyle name="RowTitles-Detail 2 2 2 2 10 2" xfId="16123"/>
    <cellStyle name="RowTitles-Detail 2 2 2 2 10 2 2" xfId="16124"/>
    <cellStyle name="RowTitles-Detail 2 2 2 2 10 2_Tertiary Salaries Survey" xfId="16125"/>
    <cellStyle name="RowTitles-Detail 2 2 2 2 10 3" xfId="16126"/>
    <cellStyle name="RowTitles-Detail 2 2 2 2 10_Tertiary Salaries Survey" xfId="16127"/>
    <cellStyle name="RowTitles-Detail 2 2 2 2 11" xfId="16128"/>
    <cellStyle name="RowTitles-Detail 2 2 2 2 12" xfId="16129"/>
    <cellStyle name="RowTitles-Detail 2 2 2 2 2" xfId="16130"/>
    <cellStyle name="RowTitles-Detail 2 2 2 2 2 2" xfId="16131"/>
    <cellStyle name="RowTitles-Detail 2 2 2 2 2 2 2" xfId="16132"/>
    <cellStyle name="RowTitles-Detail 2 2 2 2 2 2 2 2" xfId="16133"/>
    <cellStyle name="RowTitles-Detail 2 2 2 2 2 2 2 2 2" xfId="16134"/>
    <cellStyle name="RowTitles-Detail 2 2 2 2 2 2 2 2_Tertiary Salaries Survey" xfId="16135"/>
    <cellStyle name="RowTitles-Detail 2 2 2 2 2 2 2 3" xfId="16136"/>
    <cellStyle name="RowTitles-Detail 2 2 2 2 2 2 2_Tertiary Salaries Survey" xfId="16137"/>
    <cellStyle name="RowTitles-Detail 2 2 2 2 2 2 3" xfId="16138"/>
    <cellStyle name="RowTitles-Detail 2 2 2 2 2 2 3 2" xfId="16139"/>
    <cellStyle name="RowTitles-Detail 2 2 2 2 2 2 3 2 2" xfId="16140"/>
    <cellStyle name="RowTitles-Detail 2 2 2 2 2 2 3 2_Tertiary Salaries Survey" xfId="16141"/>
    <cellStyle name="RowTitles-Detail 2 2 2 2 2 2 3 3" xfId="16142"/>
    <cellStyle name="RowTitles-Detail 2 2 2 2 2 2 3_Tertiary Salaries Survey" xfId="16143"/>
    <cellStyle name="RowTitles-Detail 2 2 2 2 2 2 4" xfId="16144"/>
    <cellStyle name="RowTitles-Detail 2 2 2 2 2 2 5" xfId="16145"/>
    <cellStyle name="RowTitles-Detail 2 2 2 2 2 2_Tertiary Salaries Survey" xfId="16146"/>
    <cellStyle name="RowTitles-Detail 2 2 2 2 2 3" xfId="16147"/>
    <cellStyle name="RowTitles-Detail 2 2 2 2 2 3 2" xfId="16148"/>
    <cellStyle name="RowTitles-Detail 2 2 2 2 2 3 2 2" xfId="16149"/>
    <cellStyle name="RowTitles-Detail 2 2 2 2 2 3 2 2 2" xfId="16150"/>
    <cellStyle name="RowTitles-Detail 2 2 2 2 2 3 2 2_Tertiary Salaries Survey" xfId="16151"/>
    <cellStyle name="RowTitles-Detail 2 2 2 2 2 3 2 3" xfId="16152"/>
    <cellStyle name="RowTitles-Detail 2 2 2 2 2 3 2_Tertiary Salaries Survey" xfId="16153"/>
    <cellStyle name="RowTitles-Detail 2 2 2 2 2 3 3" xfId="16154"/>
    <cellStyle name="RowTitles-Detail 2 2 2 2 2 3 3 2" xfId="16155"/>
    <cellStyle name="RowTitles-Detail 2 2 2 2 2 3 3 2 2" xfId="16156"/>
    <cellStyle name="RowTitles-Detail 2 2 2 2 2 3 3 2_Tertiary Salaries Survey" xfId="16157"/>
    <cellStyle name="RowTitles-Detail 2 2 2 2 2 3 3 3" xfId="16158"/>
    <cellStyle name="RowTitles-Detail 2 2 2 2 2 3 3_Tertiary Salaries Survey" xfId="16159"/>
    <cellStyle name="RowTitles-Detail 2 2 2 2 2 3 4" xfId="16160"/>
    <cellStyle name="RowTitles-Detail 2 2 2 2 2 3 5" xfId="16161"/>
    <cellStyle name="RowTitles-Detail 2 2 2 2 2 3 5 2" xfId="16162"/>
    <cellStyle name="RowTitles-Detail 2 2 2 2 2 3 5_Tertiary Salaries Survey" xfId="16163"/>
    <cellStyle name="RowTitles-Detail 2 2 2 2 2 3 6" xfId="16164"/>
    <cellStyle name="RowTitles-Detail 2 2 2 2 2 3_Tertiary Salaries Survey" xfId="16165"/>
    <cellStyle name="RowTitles-Detail 2 2 2 2 2 4" xfId="16166"/>
    <cellStyle name="RowTitles-Detail 2 2 2 2 2 4 2" xfId="16167"/>
    <cellStyle name="RowTitles-Detail 2 2 2 2 2 4 2 2" xfId="16168"/>
    <cellStyle name="RowTitles-Detail 2 2 2 2 2 4 2 2 2" xfId="16169"/>
    <cellStyle name="RowTitles-Detail 2 2 2 2 2 4 2 2_Tertiary Salaries Survey" xfId="16170"/>
    <cellStyle name="RowTitles-Detail 2 2 2 2 2 4 2 3" xfId="16171"/>
    <cellStyle name="RowTitles-Detail 2 2 2 2 2 4 2_Tertiary Salaries Survey" xfId="16172"/>
    <cellStyle name="RowTitles-Detail 2 2 2 2 2 4 3" xfId="16173"/>
    <cellStyle name="RowTitles-Detail 2 2 2 2 2 4 3 2" xfId="16174"/>
    <cellStyle name="RowTitles-Detail 2 2 2 2 2 4 3 2 2" xfId="16175"/>
    <cellStyle name="RowTitles-Detail 2 2 2 2 2 4 3 2_Tertiary Salaries Survey" xfId="16176"/>
    <cellStyle name="RowTitles-Detail 2 2 2 2 2 4 3 3" xfId="16177"/>
    <cellStyle name="RowTitles-Detail 2 2 2 2 2 4 3_Tertiary Salaries Survey" xfId="16178"/>
    <cellStyle name="RowTitles-Detail 2 2 2 2 2 4 4" xfId="16179"/>
    <cellStyle name="RowTitles-Detail 2 2 2 2 2 4 4 2" xfId="16180"/>
    <cellStyle name="RowTitles-Detail 2 2 2 2 2 4 4_Tertiary Salaries Survey" xfId="16181"/>
    <cellStyle name="RowTitles-Detail 2 2 2 2 2 4 5" xfId="16182"/>
    <cellStyle name="RowTitles-Detail 2 2 2 2 2 4_Tertiary Salaries Survey" xfId="16183"/>
    <cellStyle name="RowTitles-Detail 2 2 2 2 2 5" xfId="16184"/>
    <cellStyle name="RowTitles-Detail 2 2 2 2 2 5 2" xfId="16185"/>
    <cellStyle name="RowTitles-Detail 2 2 2 2 2 5 2 2" xfId="16186"/>
    <cellStyle name="RowTitles-Detail 2 2 2 2 2 5 2 2 2" xfId="16187"/>
    <cellStyle name="RowTitles-Detail 2 2 2 2 2 5 2 2_Tertiary Salaries Survey" xfId="16188"/>
    <cellStyle name="RowTitles-Detail 2 2 2 2 2 5 2 3" xfId="16189"/>
    <cellStyle name="RowTitles-Detail 2 2 2 2 2 5 2_Tertiary Salaries Survey" xfId="16190"/>
    <cellStyle name="RowTitles-Detail 2 2 2 2 2 5 3" xfId="16191"/>
    <cellStyle name="RowTitles-Detail 2 2 2 2 2 5 3 2" xfId="16192"/>
    <cellStyle name="RowTitles-Detail 2 2 2 2 2 5 3 2 2" xfId="16193"/>
    <cellStyle name="RowTitles-Detail 2 2 2 2 2 5 3 2_Tertiary Salaries Survey" xfId="16194"/>
    <cellStyle name="RowTitles-Detail 2 2 2 2 2 5 3 3" xfId="16195"/>
    <cellStyle name="RowTitles-Detail 2 2 2 2 2 5 3_Tertiary Salaries Survey" xfId="16196"/>
    <cellStyle name="RowTitles-Detail 2 2 2 2 2 5 4" xfId="16197"/>
    <cellStyle name="RowTitles-Detail 2 2 2 2 2 5 4 2" xfId="16198"/>
    <cellStyle name="RowTitles-Detail 2 2 2 2 2 5 4_Tertiary Salaries Survey" xfId="16199"/>
    <cellStyle name="RowTitles-Detail 2 2 2 2 2 5 5" xfId="16200"/>
    <cellStyle name="RowTitles-Detail 2 2 2 2 2 5_Tertiary Salaries Survey" xfId="16201"/>
    <cellStyle name="RowTitles-Detail 2 2 2 2 2 6" xfId="16202"/>
    <cellStyle name="RowTitles-Detail 2 2 2 2 2 6 2" xfId="16203"/>
    <cellStyle name="RowTitles-Detail 2 2 2 2 2 6 2 2" xfId="16204"/>
    <cellStyle name="RowTitles-Detail 2 2 2 2 2 6 2 2 2" xfId="16205"/>
    <cellStyle name="RowTitles-Detail 2 2 2 2 2 6 2 2_Tertiary Salaries Survey" xfId="16206"/>
    <cellStyle name="RowTitles-Detail 2 2 2 2 2 6 2 3" xfId="16207"/>
    <cellStyle name="RowTitles-Detail 2 2 2 2 2 6 2_Tertiary Salaries Survey" xfId="16208"/>
    <cellStyle name="RowTitles-Detail 2 2 2 2 2 6 3" xfId="16209"/>
    <cellStyle name="RowTitles-Detail 2 2 2 2 2 6 3 2" xfId="16210"/>
    <cellStyle name="RowTitles-Detail 2 2 2 2 2 6 3 2 2" xfId="16211"/>
    <cellStyle name="RowTitles-Detail 2 2 2 2 2 6 3 2_Tertiary Salaries Survey" xfId="16212"/>
    <cellStyle name="RowTitles-Detail 2 2 2 2 2 6 3 3" xfId="16213"/>
    <cellStyle name="RowTitles-Detail 2 2 2 2 2 6 3_Tertiary Salaries Survey" xfId="16214"/>
    <cellStyle name="RowTitles-Detail 2 2 2 2 2 6 4" xfId="16215"/>
    <cellStyle name="RowTitles-Detail 2 2 2 2 2 6 4 2" xfId="16216"/>
    <cellStyle name="RowTitles-Detail 2 2 2 2 2 6 4_Tertiary Salaries Survey" xfId="16217"/>
    <cellStyle name="RowTitles-Detail 2 2 2 2 2 6 5" xfId="16218"/>
    <cellStyle name="RowTitles-Detail 2 2 2 2 2 6_Tertiary Salaries Survey" xfId="16219"/>
    <cellStyle name="RowTitles-Detail 2 2 2 2 2 7" xfId="16220"/>
    <cellStyle name="RowTitles-Detail 2 2 2 2 2 7 2" xfId="16221"/>
    <cellStyle name="RowTitles-Detail 2 2 2 2 2 7 2 2" xfId="16222"/>
    <cellStyle name="RowTitles-Detail 2 2 2 2 2 7 2_Tertiary Salaries Survey" xfId="16223"/>
    <cellStyle name="RowTitles-Detail 2 2 2 2 2 7 3" xfId="16224"/>
    <cellStyle name="RowTitles-Detail 2 2 2 2 2 7_Tertiary Salaries Survey" xfId="16225"/>
    <cellStyle name="RowTitles-Detail 2 2 2 2 2 8" xfId="16226"/>
    <cellStyle name="RowTitles-Detail 2 2 2 2 2 9" xfId="16227"/>
    <cellStyle name="RowTitles-Detail 2 2 2 2 2_STUD aligned by INSTIT" xfId="16228"/>
    <cellStyle name="RowTitles-Detail 2 2 2 2 3" xfId="16229"/>
    <cellStyle name="RowTitles-Detail 2 2 2 2 3 2" xfId="16230"/>
    <cellStyle name="RowTitles-Detail 2 2 2 2 3 2 2" xfId="16231"/>
    <cellStyle name="RowTitles-Detail 2 2 2 2 3 2 2 2" xfId="16232"/>
    <cellStyle name="RowTitles-Detail 2 2 2 2 3 2 2 2 2" xfId="16233"/>
    <cellStyle name="RowTitles-Detail 2 2 2 2 3 2 2 2_Tertiary Salaries Survey" xfId="16234"/>
    <cellStyle name="RowTitles-Detail 2 2 2 2 3 2 2 3" xfId="16235"/>
    <cellStyle name="RowTitles-Detail 2 2 2 2 3 2 2_Tertiary Salaries Survey" xfId="16236"/>
    <cellStyle name="RowTitles-Detail 2 2 2 2 3 2 3" xfId="16237"/>
    <cellStyle name="RowTitles-Detail 2 2 2 2 3 2 3 2" xfId="16238"/>
    <cellStyle name="RowTitles-Detail 2 2 2 2 3 2 3 2 2" xfId="16239"/>
    <cellStyle name="RowTitles-Detail 2 2 2 2 3 2 3 2_Tertiary Salaries Survey" xfId="16240"/>
    <cellStyle name="RowTitles-Detail 2 2 2 2 3 2 3 3" xfId="16241"/>
    <cellStyle name="RowTitles-Detail 2 2 2 2 3 2 3_Tertiary Salaries Survey" xfId="16242"/>
    <cellStyle name="RowTitles-Detail 2 2 2 2 3 2 4" xfId="16243"/>
    <cellStyle name="RowTitles-Detail 2 2 2 2 3 2 5" xfId="16244"/>
    <cellStyle name="RowTitles-Detail 2 2 2 2 3 2 5 2" xfId="16245"/>
    <cellStyle name="RowTitles-Detail 2 2 2 2 3 2 5_Tertiary Salaries Survey" xfId="16246"/>
    <cellStyle name="RowTitles-Detail 2 2 2 2 3 2 6" xfId="16247"/>
    <cellStyle name="RowTitles-Detail 2 2 2 2 3 2_Tertiary Salaries Survey" xfId="16248"/>
    <cellStyle name="RowTitles-Detail 2 2 2 2 3 3" xfId="16249"/>
    <cellStyle name="RowTitles-Detail 2 2 2 2 3 3 2" xfId="16250"/>
    <cellStyle name="RowTitles-Detail 2 2 2 2 3 3 2 2" xfId="16251"/>
    <cellStyle name="RowTitles-Detail 2 2 2 2 3 3 2 2 2" xfId="16252"/>
    <cellStyle name="RowTitles-Detail 2 2 2 2 3 3 2 2_Tertiary Salaries Survey" xfId="16253"/>
    <cellStyle name="RowTitles-Detail 2 2 2 2 3 3 2 3" xfId="16254"/>
    <cellStyle name="RowTitles-Detail 2 2 2 2 3 3 2_Tertiary Salaries Survey" xfId="16255"/>
    <cellStyle name="RowTitles-Detail 2 2 2 2 3 3 3" xfId="16256"/>
    <cellStyle name="RowTitles-Detail 2 2 2 2 3 3 3 2" xfId="16257"/>
    <cellStyle name="RowTitles-Detail 2 2 2 2 3 3 3 2 2" xfId="16258"/>
    <cellStyle name="RowTitles-Detail 2 2 2 2 3 3 3 2_Tertiary Salaries Survey" xfId="16259"/>
    <cellStyle name="RowTitles-Detail 2 2 2 2 3 3 3 3" xfId="16260"/>
    <cellStyle name="RowTitles-Detail 2 2 2 2 3 3 3_Tertiary Salaries Survey" xfId="16261"/>
    <cellStyle name="RowTitles-Detail 2 2 2 2 3 3 4" xfId="16262"/>
    <cellStyle name="RowTitles-Detail 2 2 2 2 3 3 5" xfId="16263"/>
    <cellStyle name="RowTitles-Detail 2 2 2 2 3 3_Tertiary Salaries Survey" xfId="16264"/>
    <cellStyle name="RowTitles-Detail 2 2 2 2 3 4" xfId="16265"/>
    <cellStyle name="RowTitles-Detail 2 2 2 2 3 4 2" xfId="16266"/>
    <cellStyle name="RowTitles-Detail 2 2 2 2 3 4 2 2" xfId="16267"/>
    <cellStyle name="RowTitles-Detail 2 2 2 2 3 4 2 2 2" xfId="16268"/>
    <cellStyle name="RowTitles-Detail 2 2 2 2 3 4 2 2_Tertiary Salaries Survey" xfId="16269"/>
    <cellStyle name="RowTitles-Detail 2 2 2 2 3 4 2 3" xfId="16270"/>
    <cellStyle name="RowTitles-Detail 2 2 2 2 3 4 2_Tertiary Salaries Survey" xfId="16271"/>
    <cellStyle name="RowTitles-Detail 2 2 2 2 3 4 3" xfId="16272"/>
    <cellStyle name="RowTitles-Detail 2 2 2 2 3 4 3 2" xfId="16273"/>
    <cellStyle name="RowTitles-Detail 2 2 2 2 3 4 3 2 2" xfId="16274"/>
    <cellStyle name="RowTitles-Detail 2 2 2 2 3 4 3 2_Tertiary Salaries Survey" xfId="16275"/>
    <cellStyle name="RowTitles-Detail 2 2 2 2 3 4 3 3" xfId="16276"/>
    <cellStyle name="RowTitles-Detail 2 2 2 2 3 4 3_Tertiary Salaries Survey" xfId="16277"/>
    <cellStyle name="RowTitles-Detail 2 2 2 2 3 4 4" xfId="16278"/>
    <cellStyle name="RowTitles-Detail 2 2 2 2 3 4 4 2" xfId="16279"/>
    <cellStyle name="RowTitles-Detail 2 2 2 2 3 4 4_Tertiary Salaries Survey" xfId="16280"/>
    <cellStyle name="RowTitles-Detail 2 2 2 2 3 4 5" xfId="16281"/>
    <cellStyle name="RowTitles-Detail 2 2 2 2 3 4_Tertiary Salaries Survey" xfId="16282"/>
    <cellStyle name="RowTitles-Detail 2 2 2 2 3 5" xfId="16283"/>
    <cellStyle name="RowTitles-Detail 2 2 2 2 3 5 2" xfId="16284"/>
    <cellStyle name="RowTitles-Detail 2 2 2 2 3 5 2 2" xfId="16285"/>
    <cellStyle name="RowTitles-Detail 2 2 2 2 3 5 2 2 2" xfId="16286"/>
    <cellStyle name="RowTitles-Detail 2 2 2 2 3 5 2 2_Tertiary Salaries Survey" xfId="16287"/>
    <cellStyle name="RowTitles-Detail 2 2 2 2 3 5 2 3" xfId="16288"/>
    <cellStyle name="RowTitles-Detail 2 2 2 2 3 5 2_Tertiary Salaries Survey" xfId="16289"/>
    <cellStyle name="RowTitles-Detail 2 2 2 2 3 5 3" xfId="16290"/>
    <cellStyle name="RowTitles-Detail 2 2 2 2 3 5 3 2" xfId="16291"/>
    <cellStyle name="RowTitles-Detail 2 2 2 2 3 5 3 2 2" xfId="16292"/>
    <cellStyle name="RowTitles-Detail 2 2 2 2 3 5 3 2_Tertiary Salaries Survey" xfId="16293"/>
    <cellStyle name="RowTitles-Detail 2 2 2 2 3 5 3 3" xfId="16294"/>
    <cellStyle name="RowTitles-Detail 2 2 2 2 3 5 3_Tertiary Salaries Survey" xfId="16295"/>
    <cellStyle name="RowTitles-Detail 2 2 2 2 3 5 4" xfId="16296"/>
    <cellStyle name="RowTitles-Detail 2 2 2 2 3 5 4 2" xfId="16297"/>
    <cellStyle name="RowTitles-Detail 2 2 2 2 3 5 4_Tertiary Salaries Survey" xfId="16298"/>
    <cellStyle name="RowTitles-Detail 2 2 2 2 3 5 5" xfId="16299"/>
    <cellStyle name="RowTitles-Detail 2 2 2 2 3 5_Tertiary Salaries Survey" xfId="16300"/>
    <cellStyle name="RowTitles-Detail 2 2 2 2 3 6" xfId="16301"/>
    <cellStyle name="RowTitles-Detail 2 2 2 2 3 6 2" xfId="16302"/>
    <cellStyle name="RowTitles-Detail 2 2 2 2 3 6 2 2" xfId="16303"/>
    <cellStyle name="RowTitles-Detail 2 2 2 2 3 6 2 2 2" xfId="16304"/>
    <cellStyle name="RowTitles-Detail 2 2 2 2 3 6 2 2_Tertiary Salaries Survey" xfId="16305"/>
    <cellStyle name="RowTitles-Detail 2 2 2 2 3 6 2 3" xfId="16306"/>
    <cellStyle name="RowTitles-Detail 2 2 2 2 3 6 2_Tertiary Salaries Survey" xfId="16307"/>
    <cellStyle name="RowTitles-Detail 2 2 2 2 3 6 3" xfId="16308"/>
    <cellStyle name="RowTitles-Detail 2 2 2 2 3 6 3 2" xfId="16309"/>
    <cellStyle name="RowTitles-Detail 2 2 2 2 3 6 3 2 2" xfId="16310"/>
    <cellStyle name="RowTitles-Detail 2 2 2 2 3 6 3 2_Tertiary Salaries Survey" xfId="16311"/>
    <cellStyle name="RowTitles-Detail 2 2 2 2 3 6 3 3" xfId="16312"/>
    <cellStyle name="RowTitles-Detail 2 2 2 2 3 6 3_Tertiary Salaries Survey" xfId="16313"/>
    <cellStyle name="RowTitles-Detail 2 2 2 2 3 6 4" xfId="16314"/>
    <cellStyle name="RowTitles-Detail 2 2 2 2 3 6 4 2" xfId="16315"/>
    <cellStyle name="RowTitles-Detail 2 2 2 2 3 6 4_Tertiary Salaries Survey" xfId="16316"/>
    <cellStyle name="RowTitles-Detail 2 2 2 2 3 6 5" xfId="16317"/>
    <cellStyle name="RowTitles-Detail 2 2 2 2 3 6_Tertiary Salaries Survey" xfId="16318"/>
    <cellStyle name="RowTitles-Detail 2 2 2 2 3 7" xfId="16319"/>
    <cellStyle name="RowTitles-Detail 2 2 2 2 3 7 2" xfId="16320"/>
    <cellStyle name="RowTitles-Detail 2 2 2 2 3 7 2 2" xfId="16321"/>
    <cellStyle name="RowTitles-Detail 2 2 2 2 3 7 2_Tertiary Salaries Survey" xfId="16322"/>
    <cellStyle name="RowTitles-Detail 2 2 2 2 3 7 3" xfId="16323"/>
    <cellStyle name="RowTitles-Detail 2 2 2 2 3 7_Tertiary Salaries Survey" xfId="16324"/>
    <cellStyle name="RowTitles-Detail 2 2 2 2 3 8" xfId="16325"/>
    <cellStyle name="RowTitles-Detail 2 2 2 2 3 8 2" xfId="16326"/>
    <cellStyle name="RowTitles-Detail 2 2 2 2 3 8 2 2" xfId="16327"/>
    <cellStyle name="RowTitles-Detail 2 2 2 2 3 8 2_Tertiary Salaries Survey" xfId="16328"/>
    <cellStyle name="RowTitles-Detail 2 2 2 2 3 8 3" xfId="16329"/>
    <cellStyle name="RowTitles-Detail 2 2 2 2 3 8_Tertiary Salaries Survey" xfId="16330"/>
    <cellStyle name="RowTitles-Detail 2 2 2 2 3 9" xfId="16331"/>
    <cellStyle name="RowTitles-Detail 2 2 2 2 3_STUD aligned by INSTIT" xfId="16332"/>
    <cellStyle name="RowTitles-Detail 2 2 2 2 4" xfId="16333"/>
    <cellStyle name="RowTitles-Detail 2 2 2 2 4 2" xfId="16334"/>
    <cellStyle name="RowTitles-Detail 2 2 2 2 4 2 2" xfId="16335"/>
    <cellStyle name="RowTitles-Detail 2 2 2 2 4 2 2 2" xfId="16336"/>
    <cellStyle name="RowTitles-Detail 2 2 2 2 4 2 2 2 2" xfId="16337"/>
    <cellStyle name="RowTitles-Detail 2 2 2 2 4 2 2 2_Tertiary Salaries Survey" xfId="16338"/>
    <cellStyle name="RowTitles-Detail 2 2 2 2 4 2 2 3" xfId="16339"/>
    <cellStyle name="RowTitles-Detail 2 2 2 2 4 2 2_Tertiary Salaries Survey" xfId="16340"/>
    <cellStyle name="RowTitles-Detail 2 2 2 2 4 2 3" xfId="16341"/>
    <cellStyle name="RowTitles-Detail 2 2 2 2 4 2 3 2" xfId="16342"/>
    <cellStyle name="RowTitles-Detail 2 2 2 2 4 2 3 2 2" xfId="16343"/>
    <cellStyle name="RowTitles-Detail 2 2 2 2 4 2 3 2_Tertiary Salaries Survey" xfId="16344"/>
    <cellStyle name="RowTitles-Detail 2 2 2 2 4 2 3 3" xfId="16345"/>
    <cellStyle name="RowTitles-Detail 2 2 2 2 4 2 3_Tertiary Salaries Survey" xfId="16346"/>
    <cellStyle name="RowTitles-Detail 2 2 2 2 4 2 4" xfId="16347"/>
    <cellStyle name="RowTitles-Detail 2 2 2 2 4 2 5" xfId="16348"/>
    <cellStyle name="RowTitles-Detail 2 2 2 2 4 2 5 2" xfId="16349"/>
    <cellStyle name="RowTitles-Detail 2 2 2 2 4 2 5_Tertiary Salaries Survey" xfId="16350"/>
    <cellStyle name="RowTitles-Detail 2 2 2 2 4 2 6" xfId="16351"/>
    <cellStyle name="RowTitles-Detail 2 2 2 2 4 2_Tertiary Salaries Survey" xfId="16352"/>
    <cellStyle name="RowTitles-Detail 2 2 2 2 4 3" xfId="16353"/>
    <cellStyle name="RowTitles-Detail 2 2 2 2 4 3 2" xfId="16354"/>
    <cellStyle name="RowTitles-Detail 2 2 2 2 4 3 2 2" xfId="16355"/>
    <cellStyle name="RowTitles-Detail 2 2 2 2 4 3 2 2 2" xfId="16356"/>
    <cellStyle name="RowTitles-Detail 2 2 2 2 4 3 2 2_Tertiary Salaries Survey" xfId="16357"/>
    <cellStyle name="RowTitles-Detail 2 2 2 2 4 3 2 3" xfId="16358"/>
    <cellStyle name="RowTitles-Detail 2 2 2 2 4 3 2_Tertiary Salaries Survey" xfId="16359"/>
    <cellStyle name="RowTitles-Detail 2 2 2 2 4 3 3" xfId="16360"/>
    <cellStyle name="RowTitles-Detail 2 2 2 2 4 3 3 2" xfId="16361"/>
    <cellStyle name="RowTitles-Detail 2 2 2 2 4 3 3 2 2" xfId="16362"/>
    <cellStyle name="RowTitles-Detail 2 2 2 2 4 3 3 2_Tertiary Salaries Survey" xfId="16363"/>
    <cellStyle name="RowTitles-Detail 2 2 2 2 4 3 3 3" xfId="16364"/>
    <cellStyle name="RowTitles-Detail 2 2 2 2 4 3 3_Tertiary Salaries Survey" xfId="16365"/>
    <cellStyle name="RowTitles-Detail 2 2 2 2 4 3 4" xfId="16366"/>
    <cellStyle name="RowTitles-Detail 2 2 2 2 4 3 5" xfId="16367"/>
    <cellStyle name="RowTitles-Detail 2 2 2 2 4 3_Tertiary Salaries Survey" xfId="16368"/>
    <cellStyle name="RowTitles-Detail 2 2 2 2 4 4" xfId="16369"/>
    <cellStyle name="RowTitles-Detail 2 2 2 2 4 4 2" xfId="16370"/>
    <cellStyle name="RowTitles-Detail 2 2 2 2 4 4 2 2" xfId="16371"/>
    <cellStyle name="RowTitles-Detail 2 2 2 2 4 4 2 2 2" xfId="16372"/>
    <cellStyle name="RowTitles-Detail 2 2 2 2 4 4 2 2_Tertiary Salaries Survey" xfId="16373"/>
    <cellStyle name="RowTitles-Detail 2 2 2 2 4 4 2 3" xfId="16374"/>
    <cellStyle name="RowTitles-Detail 2 2 2 2 4 4 2_Tertiary Salaries Survey" xfId="16375"/>
    <cellStyle name="RowTitles-Detail 2 2 2 2 4 4 3" xfId="16376"/>
    <cellStyle name="RowTitles-Detail 2 2 2 2 4 4 3 2" xfId="16377"/>
    <cellStyle name="RowTitles-Detail 2 2 2 2 4 4 3 2 2" xfId="16378"/>
    <cellStyle name="RowTitles-Detail 2 2 2 2 4 4 3 2_Tertiary Salaries Survey" xfId="16379"/>
    <cellStyle name="RowTitles-Detail 2 2 2 2 4 4 3 3" xfId="16380"/>
    <cellStyle name="RowTitles-Detail 2 2 2 2 4 4 3_Tertiary Salaries Survey" xfId="16381"/>
    <cellStyle name="RowTitles-Detail 2 2 2 2 4 4 4" xfId="16382"/>
    <cellStyle name="RowTitles-Detail 2 2 2 2 4 4 5" xfId="16383"/>
    <cellStyle name="RowTitles-Detail 2 2 2 2 4 4 5 2" xfId="16384"/>
    <cellStyle name="RowTitles-Detail 2 2 2 2 4 4 5_Tertiary Salaries Survey" xfId="16385"/>
    <cellStyle name="RowTitles-Detail 2 2 2 2 4 4 6" xfId="16386"/>
    <cellStyle name="RowTitles-Detail 2 2 2 2 4 4_Tertiary Salaries Survey" xfId="16387"/>
    <cellStyle name="RowTitles-Detail 2 2 2 2 4 5" xfId="16388"/>
    <cellStyle name="RowTitles-Detail 2 2 2 2 4 5 2" xfId="16389"/>
    <cellStyle name="RowTitles-Detail 2 2 2 2 4 5 2 2" xfId="16390"/>
    <cellStyle name="RowTitles-Detail 2 2 2 2 4 5 2 2 2" xfId="16391"/>
    <cellStyle name="RowTitles-Detail 2 2 2 2 4 5 2 2_Tertiary Salaries Survey" xfId="16392"/>
    <cellStyle name="RowTitles-Detail 2 2 2 2 4 5 2 3" xfId="16393"/>
    <cellStyle name="RowTitles-Detail 2 2 2 2 4 5 2_Tertiary Salaries Survey" xfId="16394"/>
    <cellStyle name="RowTitles-Detail 2 2 2 2 4 5 3" xfId="16395"/>
    <cellStyle name="RowTitles-Detail 2 2 2 2 4 5 3 2" xfId="16396"/>
    <cellStyle name="RowTitles-Detail 2 2 2 2 4 5 3 2 2" xfId="16397"/>
    <cellStyle name="RowTitles-Detail 2 2 2 2 4 5 3 2_Tertiary Salaries Survey" xfId="16398"/>
    <cellStyle name="RowTitles-Detail 2 2 2 2 4 5 3 3" xfId="16399"/>
    <cellStyle name="RowTitles-Detail 2 2 2 2 4 5 3_Tertiary Salaries Survey" xfId="16400"/>
    <cellStyle name="RowTitles-Detail 2 2 2 2 4 5 4" xfId="16401"/>
    <cellStyle name="RowTitles-Detail 2 2 2 2 4 5 4 2" xfId="16402"/>
    <cellStyle name="RowTitles-Detail 2 2 2 2 4 5 4_Tertiary Salaries Survey" xfId="16403"/>
    <cellStyle name="RowTitles-Detail 2 2 2 2 4 5 5" xfId="16404"/>
    <cellStyle name="RowTitles-Detail 2 2 2 2 4 5_Tertiary Salaries Survey" xfId="16405"/>
    <cellStyle name="RowTitles-Detail 2 2 2 2 4 6" xfId="16406"/>
    <cellStyle name="RowTitles-Detail 2 2 2 2 4 6 2" xfId="16407"/>
    <cellStyle name="RowTitles-Detail 2 2 2 2 4 6 2 2" xfId="16408"/>
    <cellStyle name="RowTitles-Detail 2 2 2 2 4 6 2 2 2" xfId="16409"/>
    <cellStyle name="RowTitles-Detail 2 2 2 2 4 6 2 2_Tertiary Salaries Survey" xfId="16410"/>
    <cellStyle name="RowTitles-Detail 2 2 2 2 4 6 2 3" xfId="16411"/>
    <cellStyle name="RowTitles-Detail 2 2 2 2 4 6 2_Tertiary Salaries Survey" xfId="16412"/>
    <cellStyle name="RowTitles-Detail 2 2 2 2 4 6 3" xfId="16413"/>
    <cellStyle name="RowTitles-Detail 2 2 2 2 4 6 3 2" xfId="16414"/>
    <cellStyle name="RowTitles-Detail 2 2 2 2 4 6 3 2 2" xfId="16415"/>
    <cellStyle name="RowTitles-Detail 2 2 2 2 4 6 3 2_Tertiary Salaries Survey" xfId="16416"/>
    <cellStyle name="RowTitles-Detail 2 2 2 2 4 6 3 3" xfId="16417"/>
    <cellStyle name="RowTitles-Detail 2 2 2 2 4 6 3_Tertiary Salaries Survey" xfId="16418"/>
    <cellStyle name="RowTitles-Detail 2 2 2 2 4 6 4" xfId="16419"/>
    <cellStyle name="RowTitles-Detail 2 2 2 2 4 6 4 2" xfId="16420"/>
    <cellStyle name="RowTitles-Detail 2 2 2 2 4 6 4_Tertiary Salaries Survey" xfId="16421"/>
    <cellStyle name="RowTitles-Detail 2 2 2 2 4 6 5" xfId="16422"/>
    <cellStyle name="RowTitles-Detail 2 2 2 2 4 6_Tertiary Salaries Survey" xfId="16423"/>
    <cellStyle name="RowTitles-Detail 2 2 2 2 4 7" xfId="16424"/>
    <cellStyle name="RowTitles-Detail 2 2 2 2 4 7 2" xfId="16425"/>
    <cellStyle name="RowTitles-Detail 2 2 2 2 4 7 2 2" xfId="16426"/>
    <cellStyle name="RowTitles-Detail 2 2 2 2 4 7 2_Tertiary Salaries Survey" xfId="16427"/>
    <cellStyle name="RowTitles-Detail 2 2 2 2 4 7 3" xfId="16428"/>
    <cellStyle name="RowTitles-Detail 2 2 2 2 4 7_Tertiary Salaries Survey" xfId="16429"/>
    <cellStyle name="RowTitles-Detail 2 2 2 2 4 8" xfId="16430"/>
    <cellStyle name="RowTitles-Detail 2 2 2 2 4 9" xfId="16431"/>
    <cellStyle name="RowTitles-Detail 2 2 2 2 4_STUD aligned by INSTIT" xfId="16432"/>
    <cellStyle name="RowTitles-Detail 2 2 2 2 5" xfId="16433"/>
    <cellStyle name="RowTitles-Detail 2 2 2 2 5 2" xfId="16434"/>
    <cellStyle name="RowTitles-Detail 2 2 2 2 5 2 2" xfId="16435"/>
    <cellStyle name="RowTitles-Detail 2 2 2 2 5 2 2 2" xfId="16436"/>
    <cellStyle name="RowTitles-Detail 2 2 2 2 5 2 2_Tertiary Salaries Survey" xfId="16437"/>
    <cellStyle name="RowTitles-Detail 2 2 2 2 5 2 3" xfId="16438"/>
    <cellStyle name="RowTitles-Detail 2 2 2 2 5 2_Tertiary Salaries Survey" xfId="16439"/>
    <cellStyle name="RowTitles-Detail 2 2 2 2 5 3" xfId="16440"/>
    <cellStyle name="RowTitles-Detail 2 2 2 2 5 3 2" xfId="16441"/>
    <cellStyle name="RowTitles-Detail 2 2 2 2 5 3 2 2" xfId="16442"/>
    <cellStyle name="RowTitles-Detail 2 2 2 2 5 3 2_Tertiary Salaries Survey" xfId="16443"/>
    <cellStyle name="RowTitles-Detail 2 2 2 2 5 3 3" xfId="16444"/>
    <cellStyle name="RowTitles-Detail 2 2 2 2 5 3_Tertiary Salaries Survey" xfId="16445"/>
    <cellStyle name="RowTitles-Detail 2 2 2 2 5 4" xfId="16446"/>
    <cellStyle name="RowTitles-Detail 2 2 2 2 5 5" xfId="16447"/>
    <cellStyle name="RowTitles-Detail 2 2 2 2 5 5 2" xfId="16448"/>
    <cellStyle name="RowTitles-Detail 2 2 2 2 5 5_Tertiary Salaries Survey" xfId="16449"/>
    <cellStyle name="RowTitles-Detail 2 2 2 2 5 6" xfId="16450"/>
    <cellStyle name="RowTitles-Detail 2 2 2 2 5_Tertiary Salaries Survey" xfId="16451"/>
    <cellStyle name="RowTitles-Detail 2 2 2 2 6" xfId="16452"/>
    <cellStyle name="RowTitles-Detail 2 2 2 2 6 2" xfId="16453"/>
    <cellStyle name="RowTitles-Detail 2 2 2 2 6 2 2" xfId="16454"/>
    <cellStyle name="RowTitles-Detail 2 2 2 2 6 2 2 2" xfId="16455"/>
    <cellStyle name="RowTitles-Detail 2 2 2 2 6 2 2_Tertiary Salaries Survey" xfId="16456"/>
    <cellStyle name="RowTitles-Detail 2 2 2 2 6 2 3" xfId="16457"/>
    <cellStyle name="RowTitles-Detail 2 2 2 2 6 2_Tertiary Salaries Survey" xfId="16458"/>
    <cellStyle name="RowTitles-Detail 2 2 2 2 6 3" xfId="16459"/>
    <cellStyle name="RowTitles-Detail 2 2 2 2 6 3 2" xfId="16460"/>
    <cellStyle name="RowTitles-Detail 2 2 2 2 6 3 2 2" xfId="16461"/>
    <cellStyle name="RowTitles-Detail 2 2 2 2 6 3 2_Tertiary Salaries Survey" xfId="16462"/>
    <cellStyle name="RowTitles-Detail 2 2 2 2 6 3 3" xfId="16463"/>
    <cellStyle name="RowTitles-Detail 2 2 2 2 6 3_Tertiary Salaries Survey" xfId="16464"/>
    <cellStyle name="RowTitles-Detail 2 2 2 2 6 4" xfId="16465"/>
    <cellStyle name="RowTitles-Detail 2 2 2 2 6 5" xfId="16466"/>
    <cellStyle name="RowTitles-Detail 2 2 2 2 6_Tertiary Salaries Survey" xfId="16467"/>
    <cellStyle name="RowTitles-Detail 2 2 2 2 7" xfId="16468"/>
    <cellStyle name="RowTitles-Detail 2 2 2 2 7 2" xfId="16469"/>
    <cellStyle name="RowTitles-Detail 2 2 2 2 7 2 2" xfId="16470"/>
    <cellStyle name="RowTitles-Detail 2 2 2 2 7 2 2 2" xfId="16471"/>
    <cellStyle name="RowTitles-Detail 2 2 2 2 7 2 2_Tertiary Salaries Survey" xfId="16472"/>
    <cellStyle name="RowTitles-Detail 2 2 2 2 7 2 3" xfId="16473"/>
    <cellStyle name="RowTitles-Detail 2 2 2 2 7 2_Tertiary Salaries Survey" xfId="16474"/>
    <cellStyle name="RowTitles-Detail 2 2 2 2 7 3" xfId="16475"/>
    <cellStyle name="RowTitles-Detail 2 2 2 2 7 3 2" xfId="16476"/>
    <cellStyle name="RowTitles-Detail 2 2 2 2 7 3 2 2" xfId="16477"/>
    <cellStyle name="RowTitles-Detail 2 2 2 2 7 3 2_Tertiary Salaries Survey" xfId="16478"/>
    <cellStyle name="RowTitles-Detail 2 2 2 2 7 3 3" xfId="16479"/>
    <cellStyle name="RowTitles-Detail 2 2 2 2 7 3_Tertiary Salaries Survey" xfId="16480"/>
    <cellStyle name="RowTitles-Detail 2 2 2 2 7 4" xfId="16481"/>
    <cellStyle name="RowTitles-Detail 2 2 2 2 7 5" xfId="16482"/>
    <cellStyle name="RowTitles-Detail 2 2 2 2 7 5 2" xfId="16483"/>
    <cellStyle name="RowTitles-Detail 2 2 2 2 7 5_Tertiary Salaries Survey" xfId="16484"/>
    <cellStyle name="RowTitles-Detail 2 2 2 2 7 6" xfId="16485"/>
    <cellStyle name="RowTitles-Detail 2 2 2 2 7_Tertiary Salaries Survey" xfId="16486"/>
    <cellStyle name="RowTitles-Detail 2 2 2 2 8" xfId="16487"/>
    <cellStyle name="RowTitles-Detail 2 2 2 2 8 2" xfId="16488"/>
    <cellStyle name="RowTitles-Detail 2 2 2 2 8 2 2" xfId="16489"/>
    <cellStyle name="RowTitles-Detail 2 2 2 2 8 2 2 2" xfId="16490"/>
    <cellStyle name="RowTitles-Detail 2 2 2 2 8 2 2_Tertiary Salaries Survey" xfId="16491"/>
    <cellStyle name="RowTitles-Detail 2 2 2 2 8 2 3" xfId="16492"/>
    <cellStyle name="RowTitles-Detail 2 2 2 2 8 2_Tertiary Salaries Survey" xfId="16493"/>
    <cellStyle name="RowTitles-Detail 2 2 2 2 8 3" xfId="16494"/>
    <cellStyle name="RowTitles-Detail 2 2 2 2 8 3 2" xfId="16495"/>
    <cellStyle name="RowTitles-Detail 2 2 2 2 8 3 2 2" xfId="16496"/>
    <cellStyle name="RowTitles-Detail 2 2 2 2 8 3 2_Tertiary Salaries Survey" xfId="16497"/>
    <cellStyle name="RowTitles-Detail 2 2 2 2 8 3 3" xfId="16498"/>
    <cellStyle name="RowTitles-Detail 2 2 2 2 8 3_Tertiary Salaries Survey" xfId="16499"/>
    <cellStyle name="RowTitles-Detail 2 2 2 2 8 4" xfId="16500"/>
    <cellStyle name="RowTitles-Detail 2 2 2 2 8 4 2" xfId="16501"/>
    <cellStyle name="RowTitles-Detail 2 2 2 2 8 4_Tertiary Salaries Survey" xfId="16502"/>
    <cellStyle name="RowTitles-Detail 2 2 2 2 8 5" xfId="16503"/>
    <cellStyle name="RowTitles-Detail 2 2 2 2 8_Tertiary Salaries Survey" xfId="16504"/>
    <cellStyle name="RowTitles-Detail 2 2 2 2 9" xfId="16505"/>
    <cellStyle name="RowTitles-Detail 2 2 2 2 9 2" xfId="16506"/>
    <cellStyle name="RowTitles-Detail 2 2 2 2 9 2 2" xfId="16507"/>
    <cellStyle name="RowTitles-Detail 2 2 2 2 9 2 2 2" xfId="16508"/>
    <cellStyle name="RowTitles-Detail 2 2 2 2 9 2 2_Tertiary Salaries Survey" xfId="16509"/>
    <cellStyle name="RowTitles-Detail 2 2 2 2 9 2 3" xfId="16510"/>
    <cellStyle name="RowTitles-Detail 2 2 2 2 9 2_Tertiary Salaries Survey" xfId="16511"/>
    <cellStyle name="RowTitles-Detail 2 2 2 2 9 3" xfId="16512"/>
    <cellStyle name="RowTitles-Detail 2 2 2 2 9 3 2" xfId="16513"/>
    <cellStyle name="RowTitles-Detail 2 2 2 2 9 3 2 2" xfId="16514"/>
    <cellStyle name="RowTitles-Detail 2 2 2 2 9 3 2_Tertiary Salaries Survey" xfId="16515"/>
    <cellStyle name="RowTitles-Detail 2 2 2 2 9 3 3" xfId="16516"/>
    <cellStyle name="RowTitles-Detail 2 2 2 2 9 3_Tertiary Salaries Survey" xfId="16517"/>
    <cellStyle name="RowTitles-Detail 2 2 2 2 9 4" xfId="16518"/>
    <cellStyle name="RowTitles-Detail 2 2 2 2 9 4 2" xfId="16519"/>
    <cellStyle name="RowTitles-Detail 2 2 2 2 9 4_Tertiary Salaries Survey" xfId="16520"/>
    <cellStyle name="RowTitles-Detail 2 2 2 2 9 5" xfId="16521"/>
    <cellStyle name="RowTitles-Detail 2 2 2 2 9_Tertiary Salaries Survey" xfId="16522"/>
    <cellStyle name="RowTitles-Detail 2 2 2 2_STUD aligned by INSTIT" xfId="16523"/>
    <cellStyle name="RowTitles-Detail 2 2 2 3" xfId="16524"/>
    <cellStyle name="RowTitles-Detail 2 2 2 3 2" xfId="16525"/>
    <cellStyle name="RowTitles-Detail 2 2 2 3 2 2" xfId="16526"/>
    <cellStyle name="RowTitles-Detail 2 2 2 3 2 2 2" xfId="16527"/>
    <cellStyle name="RowTitles-Detail 2 2 2 3 2 2 2 2" xfId="16528"/>
    <cellStyle name="RowTitles-Detail 2 2 2 3 2 2 2_Tertiary Salaries Survey" xfId="16529"/>
    <cellStyle name="RowTitles-Detail 2 2 2 3 2 2 3" xfId="16530"/>
    <cellStyle name="RowTitles-Detail 2 2 2 3 2 2_Tertiary Salaries Survey" xfId="16531"/>
    <cellStyle name="RowTitles-Detail 2 2 2 3 2 3" xfId="16532"/>
    <cellStyle name="RowTitles-Detail 2 2 2 3 2 3 2" xfId="16533"/>
    <cellStyle name="RowTitles-Detail 2 2 2 3 2 3 2 2" xfId="16534"/>
    <cellStyle name="RowTitles-Detail 2 2 2 3 2 3 2_Tertiary Salaries Survey" xfId="16535"/>
    <cellStyle name="RowTitles-Detail 2 2 2 3 2 3 3" xfId="16536"/>
    <cellStyle name="RowTitles-Detail 2 2 2 3 2 3_Tertiary Salaries Survey" xfId="16537"/>
    <cellStyle name="RowTitles-Detail 2 2 2 3 2 4" xfId="16538"/>
    <cellStyle name="RowTitles-Detail 2 2 2 3 2 5" xfId="16539"/>
    <cellStyle name="RowTitles-Detail 2 2 2 3 2_Tertiary Salaries Survey" xfId="16540"/>
    <cellStyle name="RowTitles-Detail 2 2 2 3 3" xfId="16541"/>
    <cellStyle name="RowTitles-Detail 2 2 2 3 3 2" xfId="16542"/>
    <cellStyle name="RowTitles-Detail 2 2 2 3 3 2 2" xfId="16543"/>
    <cellStyle name="RowTitles-Detail 2 2 2 3 3 2 2 2" xfId="16544"/>
    <cellStyle name="RowTitles-Detail 2 2 2 3 3 2 2_Tertiary Salaries Survey" xfId="16545"/>
    <cellStyle name="RowTitles-Detail 2 2 2 3 3 2 3" xfId="16546"/>
    <cellStyle name="RowTitles-Detail 2 2 2 3 3 2_Tertiary Salaries Survey" xfId="16547"/>
    <cellStyle name="RowTitles-Detail 2 2 2 3 3 3" xfId="16548"/>
    <cellStyle name="RowTitles-Detail 2 2 2 3 3 3 2" xfId="16549"/>
    <cellStyle name="RowTitles-Detail 2 2 2 3 3 3 2 2" xfId="16550"/>
    <cellStyle name="RowTitles-Detail 2 2 2 3 3 3 2_Tertiary Salaries Survey" xfId="16551"/>
    <cellStyle name="RowTitles-Detail 2 2 2 3 3 3 3" xfId="16552"/>
    <cellStyle name="RowTitles-Detail 2 2 2 3 3 3_Tertiary Salaries Survey" xfId="16553"/>
    <cellStyle name="RowTitles-Detail 2 2 2 3 3 4" xfId="16554"/>
    <cellStyle name="RowTitles-Detail 2 2 2 3 3 5" xfId="16555"/>
    <cellStyle name="RowTitles-Detail 2 2 2 3 3 5 2" xfId="16556"/>
    <cellStyle name="RowTitles-Detail 2 2 2 3 3 5_Tertiary Salaries Survey" xfId="16557"/>
    <cellStyle name="RowTitles-Detail 2 2 2 3 3 6" xfId="16558"/>
    <cellStyle name="RowTitles-Detail 2 2 2 3 3_Tertiary Salaries Survey" xfId="16559"/>
    <cellStyle name="RowTitles-Detail 2 2 2 3 4" xfId="16560"/>
    <cellStyle name="RowTitles-Detail 2 2 2 3 4 2" xfId="16561"/>
    <cellStyle name="RowTitles-Detail 2 2 2 3 4 2 2" xfId="16562"/>
    <cellStyle name="RowTitles-Detail 2 2 2 3 4 2 2 2" xfId="16563"/>
    <cellStyle name="RowTitles-Detail 2 2 2 3 4 2 2_Tertiary Salaries Survey" xfId="16564"/>
    <cellStyle name="RowTitles-Detail 2 2 2 3 4 2 3" xfId="16565"/>
    <cellStyle name="RowTitles-Detail 2 2 2 3 4 2_Tertiary Salaries Survey" xfId="16566"/>
    <cellStyle name="RowTitles-Detail 2 2 2 3 4 3" xfId="16567"/>
    <cellStyle name="RowTitles-Detail 2 2 2 3 4 3 2" xfId="16568"/>
    <cellStyle name="RowTitles-Detail 2 2 2 3 4 3 2 2" xfId="16569"/>
    <cellStyle name="RowTitles-Detail 2 2 2 3 4 3 2_Tertiary Salaries Survey" xfId="16570"/>
    <cellStyle name="RowTitles-Detail 2 2 2 3 4 3 3" xfId="16571"/>
    <cellStyle name="RowTitles-Detail 2 2 2 3 4 3_Tertiary Salaries Survey" xfId="16572"/>
    <cellStyle name="RowTitles-Detail 2 2 2 3 4 4" xfId="16573"/>
    <cellStyle name="RowTitles-Detail 2 2 2 3 4 4 2" xfId="16574"/>
    <cellStyle name="RowTitles-Detail 2 2 2 3 4 4_Tertiary Salaries Survey" xfId="16575"/>
    <cellStyle name="RowTitles-Detail 2 2 2 3 4 5" xfId="16576"/>
    <cellStyle name="RowTitles-Detail 2 2 2 3 4_Tertiary Salaries Survey" xfId="16577"/>
    <cellStyle name="RowTitles-Detail 2 2 2 3 5" xfId="16578"/>
    <cellStyle name="RowTitles-Detail 2 2 2 3 5 2" xfId="16579"/>
    <cellStyle name="RowTitles-Detail 2 2 2 3 5 2 2" xfId="16580"/>
    <cellStyle name="RowTitles-Detail 2 2 2 3 5 2 2 2" xfId="16581"/>
    <cellStyle name="RowTitles-Detail 2 2 2 3 5 2 2_Tertiary Salaries Survey" xfId="16582"/>
    <cellStyle name="RowTitles-Detail 2 2 2 3 5 2 3" xfId="16583"/>
    <cellStyle name="RowTitles-Detail 2 2 2 3 5 2_Tertiary Salaries Survey" xfId="16584"/>
    <cellStyle name="RowTitles-Detail 2 2 2 3 5 3" xfId="16585"/>
    <cellStyle name="RowTitles-Detail 2 2 2 3 5 3 2" xfId="16586"/>
    <cellStyle name="RowTitles-Detail 2 2 2 3 5 3 2 2" xfId="16587"/>
    <cellStyle name="RowTitles-Detail 2 2 2 3 5 3 2_Tertiary Salaries Survey" xfId="16588"/>
    <cellStyle name="RowTitles-Detail 2 2 2 3 5 3 3" xfId="16589"/>
    <cellStyle name="RowTitles-Detail 2 2 2 3 5 3_Tertiary Salaries Survey" xfId="16590"/>
    <cellStyle name="RowTitles-Detail 2 2 2 3 5 4" xfId="16591"/>
    <cellStyle name="RowTitles-Detail 2 2 2 3 5 4 2" xfId="16592"/>
    <cellStyle name="RowTitles-Detail 2 2 2 3 5 4_Tertiary Salaries Survey" xfId="16593"/>
    <cellStyle name="RowTitles-Detail 2 2 2 3 5 5" xfId="16594"/>
    <cellStyle name="RowTitles-Detail 2 2 2 3 5_Tertiary Salaries Survey" xfId="16595"/>
    <cellStyle name="RowTitles-Detail 2 2 2 3 6" xfId="16596"/>
    <cellStyle name="RowTitles-Detail 2 2 2 3 6 2" xfId="16597"/>
    <cellStyle name="RowTitles-Detail 2 2 2 3 6 2 2" xfId="16598"/>
    <cellStyle name="RowTitles-Detail 2 2 2 3 6 2 2 2" xfId="16599"/>
    <cellStyle name="RowTitles-Detail 2 2 2 3 6 2 2_Tertiary Salaries Survey" xfId="16600"/>
    <cellStyle name="RowTitles-Detail 2 2 2 3 6 2 3" xfId="16601"/>
    <cellStyle name="RowTitles-Detail 2 2 2 3 6 2_Tertiary Salaries Survey" xfId="16602"/>
    <cellStyle name="RowTitles-Detail 2 2 2 3 6 3" xfId="16603"/>
    <cellStyle name="RowTitles-Detail 2 2 2 3 6 3 2" xfId="16604"/>
    <cellStyle name="RowTitles-Detail 2 2 2 3 6 3 2 2" xfId="16605"/>
    <cellStyle name="RowTitles-Detail 2 2 2 3 6 3 2_Tertiary Salaries Survey" xfId="16606"/>
    <cellStyle name="RowTitles-Detail 2 2 2 3 6 3 3" xfId="16607"/>
    <cellStyle name="RowTitles-Detail 2 2 2 3 6 3_Tertiary Salaries Survey" xfId="16608"/>
    <cellStyle name="RowTitles-Detail 2 2 2 3 6 4" xfId="16609"/>
    <cellStyle name="RowTitles-Detail 2 2 2 3 6 4 2" xfId="16610"/>
    <cellStyle name="RowTitles-Detail 2 2 2 3 6 4_Tertiary Salaries Survey" xfId="16611"/>
    <cellStyle name="RowTitles-Detail 2 2 2 3 6 5" xfId="16612"/>
    <cellStyle name="RowTitles-Detail 2 2 2 3 6_Tertiary Salaries Survey" xfId="16613"/>
    <cellStyle name="RowTitles-Detail 2 2 2 3 7" xfId="16614"/>
    <cellStyle name="RowTitles-Detail 2 2 2 3 7 2" xfId="16615"/>
    <cellStyle name="RowTitles-Detail 2 2 2 3 7 2 2" xfId="16616"/>
    <cellStyle name="RowTitles-Detail 2 2 2 3 7 2_Tertiary Salaries Survey" xfId="16617"/>
    <cellStyle name="RowTitles-Detail 2 2 2 3 7 3" xfId="16618"/>
    <cellStyle name="RowTitles-Detail 2 2 2 3 7_Tertiary Salaries Survey" xfId="16619"/>
    <cellStyle name="RowTitles-Detail 2 2 2 3 8" xfId="16620"/>
    <cellStyle name="RowTitles-Detail 2 2 2 3 9" xfId="16621"/>
    <cellStyle name="RowTitles-Detail 2 2 2 3_STUD aligned by INSTIT" xfId="16622"/>
    <cellStyle name="RowTitles-Detail 2 2 2 4" xfId="16623"/>
    <cellStyle name="RowTitles-Detail 2 2 2 4 2" xfId="16624"/>
    <cellStyle name="RowTitles-Detail 2 2 2 4 2 2" xfId="16625"/>
    <cellStyle name="RowTitles-Detail 2 2 2 4 2 2 2" xfId="16626"/>
    <cellStyle name="RowTitles-Detail 2 2 2 4 2 2 2 2" xfId="16627"/>
    <cellStyle name="RowTitles-Detail 2 2 2 4 2 2 2_Tertiary Salaries Survey" xfId="16628"/>
    <cellStyle name="RowTitles-Detail 2 2 2 4 2 2 3" xfId="16629"/>
    <cellStyle name="RowTitles-Detail 2 2 2 4 2 2_Tertiary Salaries Survey" xfId="16630"/>
    <cellStyle name="RowTitles-Detail 2 2 2 4 2 3" xfId="16631"/>
    <cellStyle name="RowTitles-Detail 2 2 2 4 2 3 2" xfId="16632"/>
    <cellStyle name="RowTitles-Detail 2 2 2 4 2 3 2 2" xfId="16633"/>
    <cellStyle name="RowTitles-Detail 2 2 2 4 2 3 2_Tertiary Salaries Survey" xfId="16634"/>
    <cellStyle name="RowTitles-Detail 2 2 2 4 2 3 3" xfId="16635"/>
    <cellStyle name="RowTitles-Detail 2 2 2 4 2 3_Tertiary Salaries Survey" xfId="16636"/>
    <cellStyle name="RowTitles-Detail 2 2 2 4 2 4" xfId="16637"/>
    <cellStyle name="RowTitles-Detail 2 2 2 4 2 5" xfId="16638"/>
    <cellStyle name="RowTitles-Detail 2 2 2 4 2 5 2" xfId="16639"/>
    <cellStyle name="RowTitles-Detail 2 2 2 4 2 5_Tertiary Salaries Survey" xfId="16640"/>
    <cellStyle name="RowTitles-Detail 2 2 2 4 2 6" xfId="16641"/>
    <cellStyle name="RowTitles-Detail 2 2 2 4 2_Tertiary Salaries Survey" xfId="16642"/>
    <cellStyle name="RowTitles-Detail 2 2 2 4 3" xfId="16643"/>
    <cellStyle name="RowTitles-Detail 2 2 2 4 3 2" xfId="16644"/>
    <cellStyle name="RowTitles-Detail 2 2 2 4 3 2 2" xfId="16645"/>
    <cellStyle name="RowTitles-Detail 2 2 2 4 3 2 2 2" xfId="16646"/>
    <cellStyle name="RowTitles-Detail 2 2 2 4 3 2 2_Tertiary Salaries Survey" xfId="16647"/>
    <cellStyle name="RowTitles-Detail 2 2 2 4 3 2 3" xfId="16648"/>
    <cellStyle name="RowTitles-Detail 2 2 2 4 3 2_Tertiary Salaries Survey" xfId="16649"/>
    <cellStyle name="RowTitles-Detail 2 2 2 4 3 3" xfId="16650"/>
    <cellStyle name="RowTitles-Detail 2 2 2 4 3 3 2" xfId="16651"/>
    <cellStyle name="RowTitles-Detail 2 2 2 4 3 3 2 2" xfId="16652"/>
    <cellStyle name="RowTitles-Detail 2 2 2 4 3 3 2_Tertiary Salaries Survey" xfId="16653"/>
    <cellStyle name="RowTitles-Detail 2 2 2 4 3 3 3" xfId="16654"/>
    <cellStyle name="RowTitles-Detail 2 2 2 4 3 3_Tertiary Salaries Survey" xfId="16655"/>
    <cellStyle name="RowTitles-Detail 2 2 2 4 3 4" xfId="16656"/>
    <cellStyle name="RowTitles-Detail 2 2 2 4 3 5" xfId="16657"/>
    <cellStyle name="RowTitles-Detail 2 2 2 4 3_Tertiary Salaries Survey" xfId="16658"/>
    <cellStyle name="RowTitles-Detail 2 2 2 4 4" xfId="16659"/>
    <cellStyle name="RowTitles-Detail 2 2 2 4 4 2" xfId="16660"/>
    <cellStyle name="RowTitles-Detail 2 2 2 4 4 2 2" xfId="16661"/>
    <cellStyle name="RowTitles-Detail 2 2 2 4 4 2 2 2" xfId="16662"/>
    <cellStyle name="RowTitles-Detail 2 2 2 4 4 2 2_Tertiary Salaries Survey" xfId="16663"/>
    <cellStyle name="RowTitles-Detail 2 2 2 4 4 2 3" xfId="16664"/>
    <cellStyle name="RowTitles-Detail 2 2 2 4 4 2_Tertiary Salaries Survey" xfId="16665"/>
    <cellStyle name="RowTitles-Detail 2 2 2 4 4 3" xfId="16666"/>
    <cellStyle name="RowTitles-Detail 2 2 2 4 4 3 2" xfId="16667"/>
    <cellStyle name="RowTitles-Detail 2 2 2 4 4 3 2 2" xfId="16668"/>
    <cellStyle name="RowTitles-Detail 2 2 2 4 4 3 2_Tertiary Salaries Survey" xfId="16669"/>
    <cellStyle name="RowTitles-Detail 2 2 2 4 4 3 3" xfId="16670"/>
    <cellStyle name="RowTitles-Detail 2 2 2 4 4 3_Tertiary Salaries Survey" xfId="16671"/>
    <cellStyle name="RowTitles-Detail 2 2 2 4 4 4" xfId="16672"/>
    <cellStyle name="RowTitles-Detail 2 2 2 4 4 4 2" xfId="16673"/>
    <cellStyle name="RowTitles-Detail 2 2 2 4 4 4_Tertiary Salaries Survey" xfId="16674"/>
    <cellStyle name="RowTitles-Detail 2 2 2 4 4 5" xfId="16675"/>
    <cellStyle name="RowTitles-Detail 2 2 2 4 4_Tertiary Salaries Survey" xfId="16676"/>
    <cellStyle name="RowTitles-Detail 2 2 2 4 5" xfId="16677"/>
    <cellStyle name="RowTitles-Detail 2 2 2 4 5 2" xfId="16678"/>
    <cellStyle name="RowTitles-Detail 2 2 2 4 5 2 2" xfId="16679"/>
    <cellStyle name="RowTitles-Detail 2 2 2 4 5 2 2 2" xfId="16680"/>
    <cellStyle name="RowTitles-Detail 2 2 2 4 5 2 2_Tertiary Salaries Survey" xfId="16681"/>
    <cellStyle name="RowTitles-Detail 2 2 2 4 5 2 3" xfId="16682"/>
    <cellStyle name="RowTitles-Detail 2 2 2 4 5 2_Tertiary Salaries Survey" xfId="16683"/>
    <cellStyle name="RowTitles-Detail 2 2 2 4 5 3" xfId="16684"/>
    <cellStyle name="RowTitles-Detail 2 2 2 4 5 3 2" xfId="16685"/>
    <cellStyle name="RowTitles-Detail 2 2 2 4 5 3 2 2" xfId="16686"/>
    <cellStyle name="RowTitles-Detail 2 2 2 4 5 3 2_Tertiary Salaries Survey" xfId="16687"/>
    <cellStyle name="RowTitles-Detail 2 2 2 4 5 3 3" xfId="16688"/>
    <cellStyle name="RowTitles-Detail 2 2 2 4 5 3_Tertiary Salaries Survey" xfId="16689"/>
    <cellStyle name="RowTitles-Detail 2 2 2 4 5 4" xfId="16690"/>
    <cellStyle name="RowTitles-Detail 2 2 2 4 5 4 2" xfId="16691"/>
    <cellStyle name="RowTitles-Detail 2 2 2 4 5 4_Tertiary Salaries Survey" xfId="16692"/>
    <cellStyle name="RowTitles-Detail 2 2 2 4 5 5" xfId="16693"/>
    <cellStyle name="RowTitles-Detail 2 2 2 4 5_Tertiary Salaries Survey" xfId="16694"/>
    <cellStyle name="RowTitles-Detail 2 2 2 4 6" xfId="16695"/>
    <cellStyle name="RowTitles-Detail 2 2 2 4 6 2" xfId="16696"/>
    <cellStyle name="RowTitles-Detail 2 2 2 4 6 2 2" xfId="16697"/>
    <cellStyle name="RowTitles-Detail 2 2 2 4 6 2 2 2" xfId="16698"/>
    <cellStyle name="RowTitles-Detail 2 2 2 4 6 2 2_Tertiary Salaries Survey" xfId="16699"/>
    <cellStyle name="RowTitles-Detail 2 2 2 4 6 2 3" xfId="16700"/>
    <cellStyle name="RowTitles-Detail 2 2 2 4 6 2_Tertiary Salaries Survey" xfId="16701"/>
    <cellStyle name="RowTitles-Detail 2 2 2 4 6 3" xfId="16702"/>
    <cellStyle name="RowTitles-Detail 2 2 2 4 6 3 2" xfId="16703"/>
    <cellStyle name="RowTitles-Detail 2 2 2 4 6 3 2 2" xfId="16704"/>
    <cellStyle name="RowTitles-Detail 2 2 2 4 6 3 2_Tertiary Salaries Survey" xfId="16705"/>
    <cellStyle name="RowTitles-Detail 2 2 2 4 6 3 3" xfId="16706"/>
    <cellStyle name="RowTitles-Detail 2 2 2 4 6 3_Tertiary Salaries Survey" xfId="16707"/>
    <cellStyle name="RowTitles-Detail 2 2 2 4 6 4" xfId="16708"/>
    <cellStyle name="RowTitles-Detail 2 2 2 4 6 4 2" xfId="16709"/>
    <cellStyle name="RowTitles-Detail 2 2 2 4 6 4_Tertiary Salaries Survey" xfId="16710"/>
    <cellStyle name="RowTitles-Detail 2 2 2 4 6 5" xfId="16711"/>
    <cellStyle name="RowTitles-Detail 2 2 2 4 6_Tertiary Salaries Survey" xfId="16712"/>
    <cellStyle name="RowTitles-Detail 2 2 2 4 7" xfId="16713"/>
    <cellStyle name="RowTitles-Detail 2 2 2 4 7 2" xfId="16714"/>
    <cellStyle name="RowTitles-Detail 2 2 2 4 7 2 2" xfId="16715"/>
    <cellStyle name="RowTitles-Detail 2 2 2 4 7 2_Tertiary Salaries Survey" xfId="16716"/>
    <cellStyle name="RowTitles-Detail 2 2 2 4 7 3" xfId="16717"/>
    <cellStyle name="RowTitles-Detail 2 2 2 4 7_Tertiary Salaries Survey" xfId="16718"/>
    <cellStyle name="RowTitles-Detail 2 2 2 4 8" xfId="16719"/>
    <cellStyle name="RowTitles-Detail 2 2 2 4 8 2" xfId="16720"/>
    <cellStyle name="RowTitles-Detail 2 2 2 4 8 2 2" xfId="16721"/>
    <cellStyle name="RowTitles-Detail 2 2 2 4 8 2_Tertiary Salaries Survey" xfId="16722"/>
    <cellStyle name="RowTitles-Detail 2 2 2 4 8 3" xfId="16723"/>
    <cellStyle name="RowTitles-Detail 2 2 2 4 8_Tertiary Salaries Survey" xfId="16724"/>
    <cellStyle name="RowTitles-Detail 2 2 2 4 9" xfId="16725"/>
    <cellStyle name="RowTitles-Detail 2 2 2 4_STUD aligned by INSTIT" xfId="16726"/>
    <cellStyle name="RowTitles-Detail 2 2 2 5" xfId="16727"/>
    <cellStyle name="RowTitles-Detail 2 2 2 5 2" xfId="16728"/>
    <cellStyle name="RowTitles-Detail 2 2 2 5 2 2" xfId="16729"/>
    <cellStyle name="RowTitles-Detail 2 2 2 5 2 2 2" xfId="16730"/>
    <cellStyle name="RowTitles-Detail 2 2 2 5 2 2 2 2" xfId="16731"/>
    <cellStyle name="RowTitles-Detail 2 2 2 5 2 2 2_Tertiary Salaries Survey" xfId="16732"/>
    <cellStyle name="RowTitles-Detail 2 2 2 5 2 2 3" xfId="16733"/>
    <cellStyle name="RowTitles-Detail 2 2 2 5 2 2_Tertiary Salaries Survey" xfId="16734"/>
    <cellStyle name="RowTitles-Detail 2 2 2 5 2 3" xfId="16735"/>
    <cellStyle name="RowTitles-Detail 2 2 2 5 2 3 2" xfId="16736"/>
    <cellStyle name="RowTitles-Detail 2 2 2 5 2 3 2 2" xfId="16737"/>
    <cellStyle name="RowTitles-Detail 2 2 2 5 2 3 2_Tertiary Salaries Survey" xfId="16738"/>
    <cellStyle name="RowTitles-Detail 2 2 2 5 2 3 3" xfId="16739"/>
    <cellStyle name="RowTitles-Detail 2 2 2 5 2 3_Tertiary Salaries Survey" xfId="16740"/>
    <cellStyle name="RowTitles-Detail 2 2 2 5 2 4" xfId="16741"/>
    <cellStyle name="RowTitles-Detail 2 2 2 5 2 5" xfId="16742"/>
    <cellStyle name="RowTitles-Detail 2 2 2 5 2 5 2" xfId="16743"/>
    <cellStyle name="RowTitles-Detail 2 2 2 5 2 5_Tertiary Salaries Survey" xfId="16744"/>
    <cellStyle name="RowTitles-Detail 2 2 2 5 2 6" xfId="16745"/>
    <cellStyle name="RowTitles-Detail 2 2 2 5 2_Tertiary Salaries Survey" xfId="16746"/>
    <cellStyle name="RowTitles-Detail 2 2 2 5 3" xfId="16747"/>
    <cellStyle name="RowTitles-Detail 2 2 2 5 3 2" xfId="16748"/>
    <cellStyle name="RowTitles-Detail 2 2 2 5 3 2 2" xfId="16749"/>
    <cellStyle name="RowTitles-Detail 2 2 2 5 3 2 2 2" xfId="16750"/>
    <cellStyle name="RowTitles-Detail 2 2 2 5 3 2 2_Tertiary Salaries Survey" xfId="16751"/>
    <cellStyle name="RowTitles-Detail 2 2 2 5 3 2 3" xfId="16752"/>
    <cellStyle name="RowTitles-Detail 2 2 2 5 3 2_Tertiary Salaries Survey" xfId="16753"/>
    <cellStyle name="RowTitles-Detail 2 2 2 5 3 3" xfId="16754"/>
    <cellStyle name="RowTitles-Detail 2 2 2 5 3 3 2" xfId="16755"/>
    <cellStyle name="RowTitles-Detail 2 2 2 5 3 3 2 2" xfId="16756"/>
    <cellStyle name="RowTitles-Detail 2 2 2 5 3 3 2_Tertiary Salaries Survey" xfId="16757"/>
    <cellStyle name="RowTitles-Detail 2 2 2 5 3 3 3" xfId="16758"/>
    <cellStyle name="RowTitles-Detail 2 2 2 5 3 3_Tertiary Salaries Survey" xfId="16759"/>
    <cellStyle name="RowTitles-Detail 2 2 2 5 3 4" xfId="16760"/>
    <cellStyle name="RowTitles-Detail 2 2 2 5 3 5" xfId="16761"/>
    <cellStyle name="RowTitles-Detail 2 2 2 5 3_Tertiary Salaries Survey" xfId="16762"/>
    <cellStyle name="RowTitles-Detail 2 2 2 5 4" xfId="16763"/>
    <cellStyle name="RowTitles-Detail 2 2 2 5 4 2" xfId="16764"/>
    <cellStyle name="RowTitles-Detail 2 2 2 5 4 2 2" xfId="16765"/>
    <cellStyle name="RowTitles-Detail 2 2 2 5 4 2 2 2" xfId="16766"/>
    <cellStyle name="RowTitles-Detail 2 2 2 5 4 2 2_Tertiary Salaries Survey" xfId="16767"/>
    <cellStyle name="RowTitles-Detail 2 2 2 5 4 2 3" xfId="16768"/>
    <cellStyle name="RowTitles-Detail 2 2 2 5 4 2_Tertiary Salaries Survey" xfId="16769"/>
    <cellStyle name="RowTitles-Detail 2 2 2 5 4 3" xfId="16770"/>
    <cellStyle name="RowTitles-Detail 2 2 2 5 4 3 2" xfId="16771"/>
    <cellStyle name="RowTitles-Detail 2 2 2 5 4 3 2 2" xfId="16772"/>
    <cellStyle name="RowTitles-Detail 2 2 2 5 4 3 2_Tertiary Salaries Survey" xfId="16773"/>
    <cellStyle name="RowTitles-Detail 2 2 2 5 4 3 3" xfId="16774"/>
    <cellStyle name="RowTitles-Detail 2 2 2 5 4 3_Tertiary Salaries Survey" xfId="16775"/>
    <cellStyle name="RowTitles-Detail 2 2 2 5 4 4" xfId="16776"/>
    <cellStyle name="RowTitles-Detail 2 2 2 5 4 5" xfId="16777"/>
    <cellStyle name="RowTitles-Detail 2 2 2 5 4 5 2" xfId="16778"/>
    <cellStyle name="RowTitles-Detail 2 2 2 5 4 5_Tertiary Salaries Survey" xfId="16779"/>
    <cellStyle name="RowTitles-Detail 2 2 2 5 4 6" xfId="16780"/>
    <cellStyle name="RowTitles-Detail 2 2 2 5 4_Tertiary Salaries Survey" xfId="16781"/>
    <cellStyle name="RowTitles-Detail 2 2 2 5 5" xfId="16782"/>
    <cellStyle name="RowTitles-Detail 2 2 2 5 5 2" xfId="16783"/>
    <cellStyle name="RowTitles-Detail 2 2 2 5 5 2 2" xfId="16784"/>
    <cellStyle name="RowTitles-Detail 2 2 2 5 5 2 2 2" xfId="16785"/>
    <cellStyle name="RowTitles-Detail 2 2 2 5 5 2 2_Tertiary Salaries Survey" xfId="16786"/>
    <cellStyle name="RowTitles-Detail 2 2 2 5 5 2 3" xfId="16787"/>
    <cellStyle name="RowTitles-Detail 2 2 2 5 5 2_Tertiary Salaries Survey" xfId="16788"/>
    <cellStyle name="RowTitles-Detail 2 2 2 5 5 3" xfId="16789"/>
    <cellStyle name="RowTitles-Detail 2 2 2 5 5 3 2" xfId="16790"/>
    <cellStyle name="RowTitles-Detail 2 2 2 5 5 3 2 2" xfId="16791"/>
    <cellStyle name="RowTitles-Detail 2 2 2 5 5 3 2_Tertiary Salaries Survey" xfId="16792"/>
    <cellStyle name="RowTitles-Detail 2 2 2 5 5 3 3" xfId="16793"/>
    <cellStyle name="RowTitles-Detail 2 2 2 5 5 3_Tertiary Salaries Survey" xfId="16794"/>
    <cellStyle name="RowTitles-Detail 2 2 2 5 5 4" xfId="16795"/>
    <cellStyle name="RowTitles-Detail 2 2 2 5 5 4 2" xfId="16796"/>
    <cellStyle name="RowTitles-Detail 2 2 2 5 5 4_Tertiary Salaries Survey" xfId="16797"/>
    <cellStyle name="RowTitles-Detail 2 2 2 5 5 5" xfId="16798"/>
    <cellStyle name="RowTitles-Detail 2 2 2 5 5_Tertiary Salaries Survey" xfId="16799"/>
    <cellStyle name="RowTitles-Detail 2 2 2 5 6" xfId="16800"/>
    <cellStyle name="RowTitles-Detail 2 2 2 5 6 2" xfId="16801"/>
    <cellStyle name="RowTitles-Detail 2 2 2 5 6 2 2" xfId="16802"/>
    <cellStyle name="RowTitles-Detail 2 2 2 5 6 2 2 2" xfId="16803"/>
    <cellStyle name="RowTitles-Detail 2 2 2 5 6 2 2_Tertiary Salaries Survey" xfId="16804"/>
    <cellStyle name="RowTitles-Detail 2 2 2 5 6 2 3" xfId="16805"/>
    <cellStyle name="RowTitles-Detail 2 2 2 5 6 2_Tertiary Salaries Survey" xfId="16806"/>
    <cellStyle name="RowTitles-Detail 2 2 2 5 6 3" xfId="16807"/>
    <cellStyle name="RowTitles-Detail 2 2 2 5 6 3 2" xfId="16808"/>
    <cellStyle name="RowTitles-Detail 2 2 2 5 6 3 2 2" xfId="16809"/>
    <cellStyle name="RowTitles-Detail 2 2 2 5 6 3 2_Tertiary Salaries Survey" xfId="16810"/>
    <cellStyle name="RowTitles-Detail 2 2 2 5 6 3 3" xfId="16811"/>
    <cellStyle name="RowTitles-Detail 2 2 2 5 6 3_Tertiary Salaries Survey" xfId="16812"/>
    <cellStyle name="RowTitles-Detail 2 2 2 5 6 4" xfId="16813"/>
    <cellStyle name="RowTitles-Detail 2 2 2 5 6 4 2" xfId="16814"/>
    <cellStyle name="RowTitles-Detail 2 2 2 5 6 4_Tertiary Salaries Survey" xfId="16815"/>
    <cellStyle name="RowTitles-Detail 2 2 2 5 6 5" xfId="16816"/>
    <cellStyle name="RowTitles-Detail 2 2 2 5 6_Tertiary Salaries Survey" xfId="16817"/>
    <cellStyle name="RowTitles-Detail 2 2 2 5 7" xfId="16818"/>
    <cellStyle name="RowTitles-Detail 2 2 2 5 7 2" xfId="16819"/>
    <cellStyle name="RowTitles-Detail 2 2 2 5 7 2 2" xfId="16820"/>
    <cellStyle name="RowTitles-Detail 2 2 2 5 7 2_Tertiary Salaries Survey" xfId="16821"/>
    <cellStyle name="RowTitles-Detail 2 2 2 5 7 3" xfId="16822"/>
    <cellStyle name="RowTitles-Detail 2 2 2 5 7_Tertiary Salaries Survey" xfId="16823"/>
    <cellStyle name="RowTitles-Detail 2 2 2 5 8" xfId="16824"/>
    <cellStyle name="RowTitles-Detail 2 2 2 5 9" xfId="16825"/>
    <cellStyle name="RowTitles-Detail 2 2 2 5_STUD aligned by INSTIT" xfId="16826"/>
    <cellStyle name="RowTitles-Detail 2 2 2 6" xfId="16827"/>
    <cellStyle name="RowTitles-Detail 2 2 2 6 2" xfId="16828"/>
    <cellStyle name="RowTitles-Detail 2 2 2 6 2 2" xfId="16829"/>
    <cellStyle name="RowTitles-Detail 2 2 2 6 2 2 2" xfId="16830"/>
    <cellStyle name="RowTitles-Detail 2 2 2 6 2 2_Tertiary Salaries Survey" xfId="16831"/>
    <cellStyle name="RowTitles-Detail 2 2 2 6 2 3" xfId="16832"/>
    <cellStyle name="RowTitles-Detail 2 2 2 6 2_Tertiary Salaries Survey" xfId="16833"/>
    <cellStyle name="RowTitles-Detail 2 2 2 6 3" xfId="16834"/>
    <cellStyle name="RowTitles-Detail 2 2 2 6 3 2" xfId="16835"/>
    <cellStyle name="RowTitles-Detail 2 2 2 6 3 2 2" xfId="16836"/>
    <cellStyle name="RowTitles-Detail 2 2 2 6 3 2_Tertiary Salaries Survey" xfId="16837"/>
    <cellStyle name="RowTitles-Detail 2 2 2 6 3 3" xfId="16838"/>
    <cellStyle name="RowTitles-Detail 2 2 2 6 3_Tertiary Salaries Survey" xfId="16839"/>
    <cellStyle name="RowTitles-Detail 2 2 2 6 4" xfId="16840"/>
    <cellStyle name="RowTitles-Detail 2 2 2 6 5" xfId="16841"/>
    <cellStyle name="RowTitles-Detail 2 2 2 6 5 2" xfId="16842"/>
    <cellStyle name="RowTitles-Detail 2 2 2 6 5_Tertiary Salaries Survey" xfId="16843"/>
    <cellStyle name="RowTitles-Detail 2 2 2 6 6" xfId="16844"/>
    <cellStyle name="RowTitles-Detail 2 2 2 6_Tertiary Salaries Survey" xfId="16845"/>
    <cellStyle name="RowTitles-Detail 2 2 2 7" xfId="16846"/>
    <cellStyle name="RowTitles-Detail 2 2 2 7 2" xfId="16847"/>
    <cellStyle name="RowTitles-Detail 2 2 2 7 2 2" xfId="16848"/>
    <cellStyle name="RowTitles-Detail 2 2 2 7 2 2 2" xfId="16849"/>
    <cellStyle name="RowTitles-Detail 2 2 2 7 2 2_Tertiary Salaries Survey" xfId="16850"/>
    <cellStyle name="RowTitles-Detail 2 2 2 7 2 3" xfId="16851"/>
    <cellStyle name="RowTitles-Detail 2 2 2 7 2_Tertiary Salaries Survey" xfId="16852"/>
    <cellStyle name="RowTitles-Detail 2 2 2 7 3" xfId="16853"/>
    <cellStyle name="RowTitles-Detail 2 2 2 7 3 2" xfId="16854"/>
    <cellStyle name="RowTitles-Detail 2 2 2 7 3 2 2" xfId="16855"/>
    <cellStyle name="RowTitles-Detail 2 2 2 7 3 2_Tertiary Salaries Survey" xfId="16856"/>
    <cellStyle name="RowTitles-Detail 2 2 2 7 3 3" xfId="16857"/>
    <cellStyle name="RowTitles-Detail 2 2 2 7 3_Tertiary Salaries Survey" xfId="16858"/>
    <cellStyle name="RowTitles-Detail 2 2 2 7 4" xfId="16859"/>
    <cellStyle name="RowTitles-Detail 2 2 2 7 5" xfId="16860"/>
    <cellStyle name="RowTitles-Detail 2 2 2 7_Tertiary Salaries Survey" xfId="16861"/>
    <cellStyle name="RowTitles-Detail 2 2 2 8" xfId="16862"/>
    <cellStyle name="RowTitles-Detail 2 2 2 8 2" xfId="16863"/>
    <cellStyle name="RowTitles-Detail 2 2 2 8 2 2" xfId="16864"/>
    <cellStyle name="RowTitles-Detail 2 2 2 8 2 2 2" xfId="16865"/>
    <cellStyle name="RowTitles-Detail 2 2 2 8 2 2_Tertiary Salaries Survey" xfId="16866"/>
    <cellStyle name="RowTitles-Detail 2 2 2 8 2 3" xfId="16867"/>
    <cellStyle name="RowTitles-Detail 2 2 2 8 2_Tertiary Salaries Survey" xfId="16868"/>
    <cellStyle name="RowTitles-Detail 2 2 2 8 3" xfId="16869"/>
    <cellStyle name="RowTitles-Detail 2 2 2 8 3 2" xfId="16870"/>
    <cellStyle name="RowTitles-Detail 2 2 2 8 3 2 2" xfId="16871"/>
    <cellStyle name="RowTitles-Detail 2 2 2 8 3 2_Tertiary Salaries Survey" xfId="16872"/>
    <cellStyle name="RowTitles-Detail 2 2 2 8 3 3" xfId="16873"/>
    <cellStyle name="RowTitles-Detail 2 2 2 8 3_Tertiary Salaries Survey" xfId="16874"/>
    <cellStyle name="RowTitles-Detail 2 2 2 8 4" xfId="16875"/>
    <cellStyle name="RowTitles-Detail 2 2 2 8 5" xfId="16876"/>
    <cellStyle name="RowTitles-Detail 2 2 2 8 5 2" xfId="16877"/>
    <cellStyle name="RowTitles-Detail 2 2 2 8 5_Tertiary Salaries Survey" xfId="16878"/>
    <cellStyle name="RowTitles-Detail 2 2 2 8 6" xfId="16879"/>
    <cellStyle name="RowTitles-Detail 2 2 2 8_Tertiary Salaries Survey" xfId="16880"/>
    <cellStyle name="RowTitles-Detail 2 2 2 9" xfId="16881"/>
    <cellStyle name="RowTitles-Detail 2 2 2 9 2" xfId="16882"/>
    <cellStyle name="RowTitles-Detail 2 2 2 9 2 2" xfId="16883"/>
    <cellStyle name="RowTitles-Detail 2 2 2 9 2 2 2" xfId="16884"/>
    <cellStyle name="RowTitles-Detail 2 2 2 9 2 2_Tertiary Salaries Survey" xfId="16885"/>
    <cellStyle name="RowTitles-Detail 2 2 2 9 2 3" xfId="16886"/>
    <cellStyle name="RowTitles-Detail 2 2 2 9 2_Tertiary Salaries Survey" xfId="16887"/>
    <cellStyle name="RowTitles-Detail 2 2 2 9 3" xfId="16888"/>
    <cellStyle name="RowTitles-Detail 2 2 2 9 3 2" xfId="16889"/>
    <cellStyle name="RowTitles-Detail 2 2 2 9 3 2 2" xfId="16890"/>
    <cellStyle name="RowTitles-Detail 2 2 2 9 3 2_Tertiary Salaries Survey" xfId="16891"/>
    <cellStyle name="RowTitles-Detail 2 2 2 9 3 3" xfId="16892"/>
    <cellStyle name="RowTitles-Detail 2 2 2 9 3_Tertiary Salaries Survey" xfId="16893"/>
    <cellStyle name="RowTitles-Detail 2 2 2 9 4" xfId="16894"/>
    <cellStyle name="RowTitles-Detail 2 2 2 9 4 2" xfId="16895"/>
    <cellStyle name="RowTitles-Detail 2 2 2 9 4_Tertiary Salaries Survey" xfId="16896"/>
    <cellStyle name="RowTitles-Detail 2 2 2 9 5" xfId="16897"/>
    <cellStyle name="RowTitles-Detail 2 2 2 9_Tertiary Salaries Survey" xfId="16898"/>
    <cellStyle name="RowTitles-Detail 2 2 2_STUD aligned by INSTIT" xfId="16899"/>
    <cellStyle name="RowTitles-Detail 2 2 3" xfId="16900"/>
    <cellStyle name="RowTitles-Detail 2 2 3 10" xfId="16901"/>
    <cellStyle name="RowTitles-Detail 2 2 3 10 2" xfId="16902"/>
    <cellStyle name="RowTitles-Detail 2 2 3 10 2 2" xfId="16903"/>
    <cellStyle name="RowTitles-Detail 2 2 3 10 2_Tertiary Salaries Survey" xfId="16904"/>
    <cellStyle name="RowTitles-Detail 2 2 3 10 3" xfId="16905"/>
    <cellStyle name="RowTitles-Detail 2 2 3 10_Tertiary Salaries Survey" xfId="16906"/>
    <cellStyle name="RowTitles-Detail 2 2 3 11" xfId="16907"/>
    <cellStyle name="RowTitles-Detail 2 2 3 12" xfId="16908"/>
    <cellStyle name="RowTitles-Detail 2 2 3 2" xfId="16909"/>
    <cellStyle name="RowTitles-Detail 2 2 3 2 2" xfId="16910"/>
    <cellStyle name="RowTitles-Detail 2 2 3 2 2 2" xfId="16911"/>
    <cellStyle name="RowTitles-Detail 2 2 3 2 2 2 2" xfId="16912"/>
    <cellStyle name="RowTitles-Detail 2 2 3 2 2 2 2 2" xfId="16913"/>
    <cellStyle name="RowTitles-Detail 2 2 3 2 2 2 2_Tertiary Salaries Survey" xfId="16914"/>
    <cellStyle name="RowTitles-Detail 2 2 3 2 2 2 3" xfId="16915"/>
    <cellStyle name="RowTitles-Detail 2 2 3 2 2 2_Tertiary Salaries Survey" xfId="16916"/>
    <cellStyle name="RowTitles-Detail 2 2 3 2 2 3" xfId="16917"/>
    <cellStyle name="RowTitles-Detail 2 2 3 2 2 3 2" xfId="16918"/>
    <cellStyle name="RowTitles-Detail 2 2 3 2 2 3 2 2" xfId="16919"/>
    <cellStyle name="RowTitles-Detail 2 2 3 2 2 3 2_Tertiary Salaries Survey" xfId="16920"/>
    <cellStyle name="RowTitles-Detail 2 2 3 2 2 3 3" xfId="16921"/>
    <cellStyle name="RowTitles-Detail 2 2 3 2 2 3_Tertiary Salaries Survey" xfId="16922"/>
    <cellStyle name="RowTitles-Detail 2 2 3 2 2 4" xfId="16923"/>
    <cellStyle name="RowTitles-Detail 2 2 3 2 2 5" xfId="16924"/>
    <cellStyle name="RowTitles-Detail 2 2 3 2 2_Tertiary Salaries Survey" xfId="16925"/>
    <cellStyle name="RowTitles-Detail 2 2 3 2 3" xfId="16926"/>
    <cellStyle name="RowTitles-Detail 2 2 3 2 3 2" xfId="16927"/>
    <cellStyle name="RowTitles-Detail 2 2 3 2 3 2 2" xfId="16928"/>
    <cellStyle name="RowTitles-Detail 2 2 3 2 3 2 2 2" xfId="16929"/>
    <cellStyle name="RowTitles-Detail 2 2 3 2 3 2 2_Tertiary Salaries Survey" xfId="16930"/>
    <cellStyle name="RowTitles-Detail 2 2 3 2 3 2 3" xfId="16931"/>
    <cellStyle name="RowTitles-Detail 2 2 3 2 3 2_Tertiary Salaries Survey" xfId="16932"/>
    <cellStyle name="RowTitles-Detail 2 2 3 2 3 3" xfId="16933"/>
    <cellStyle name="RowTitles-Detail 2 2 3 2 3 3 2" xfId="16934"/>
    <cellStyle name="RowTitles-Detail 2 2 3 2 3 3 2 2" xfId="16935"/>
    <cellStyle name="RowTitles-Detail 2 2 3 2 3 3 2_Tertiary Salaries Survey" xfId="16936"/>
    <cellStyle name="RowTitles-Detail 2 2 3 2 3 3 3" xfId="16937"/>
    <cellStyle name="RowTitles-Detail 2 2 3 2 3 3_Tertiary Salaries Survey" xfId="16938"/>
    <cellStyle name="RowTitles-Detail 2 2 3 2 3 4" xfId="16939"/>
    <cellStyle name="RowTitles-Detail 2 2 3 2 3 5" xfId="16940"/>
    <cellStyle name="RowTitles-Detail 2 2 3 2 3 5 2" xfId="16941"/>
    <cellStyle name="RowTitles-Detail 2 2 3 2 3 5_Tertiary Salaries Survey" xfId="16942"/>
    <cellStyle name="RowTitles-Detail 2 2 3 2 3 6" xfId="16943"/>
    <cellStyle name="RowTitles-Detail 2 2 3 2 3_Tertiary Salaries Survey" xfId="16944"/>
    <cellStyle name="RowTitles-Detail 2 2 3 2 4" xfId="16945"/>
    <cellStyle name="RowTitles-Detail 2 2 3 2 4 2" xfId="16946"/>
    <cellStyle name="RowTitles-Detail 2 2 3 2 4 2 2" xfId="16947"/>
    <cellStyle name="RowTitles-Detail 2 2 3 2 4 2 2 2" xfId="16948"/>
    <cellStyle name="RowTitles-Detail 2 2 3 2 4 2 2_Tertiary Salaries Survey" xfId="16949"/>
    <cellStyle name="RowTitles-Detail 2 2 3 2 4 2 3" xfId="16950"/>
    <cellStyle name="RowTitles-Detail 2 2 3 2 4 2_Tertiary Salaries Survey" xfId="16951"/>
    <cellStyle name="RowTitles-Detail 2 2 3 2 4 3" xfId="16952"/>
    <cellStyle name="RowTitles-Detail 2 2 3 2 4 3 2" xfId="16953"/>
    <cellStyle name="RowTitles-Detail 2 2 3 2 4 3 2 2" xfId="16954"/>
    <cellStyle name="RowTitles-Detail 2 2 3 2 4 3 2_Tertiary Salaries Survey" xfId="16955"/>
    <cellStyle name="RowTitles-Detail 2 2 3 2 4 3 3" xfId="16956"/>
    <cellStyle name="RowTitles-Detail 2 2 3 2 4 3_Tertiary Salaries Survey" xfId="16957"/>
    <cellStyle name="RowTitles-Detail 2 2 3 2 4 4" xfId="16958"/>
    <cellStyle name="RowTitles-Detail 2 2 3 2 4 4 2" xfId="16959"/>
    <cellStyle name="RowTitles-Detail 2 2 3 2 4 4_Tertiary Salaries Survey" xfId="16960"/>
    <cellStyle name="RowTitles-Detail 2 2 3 2 4 5" xfId="16961"/>
    <cellStyle name="RowTitles-Detail 2 2 3 2 4_Tertiary Salaries Survey" xfId="16962"/>
    <cellStyle name="RowTitles-Detail 2 2 3 2 5" xfId="16963"/>
    <cellStyle name="RowTitles-Detail 2 2 3 2 5 2" xfId="16964"/>
    <cellStyle name="RowTitles-Detail 2 2 3 2 5 2 2" xfId="16965"/>
    <cellStyle name="RowTitles-Detail 2 2 3 2 5 2 2 2" xfId="16966"/>
    <cellStyle name="RowTitles-Detail 2 2 3 2 5 2 2_Tertiary Salaries Survey" xfId="16967"/>
    <cellStyle name="RowTitles-Detail 2 2 3 2 5 2 3" xfId="16968"/>
    <cellStyle name="RowTitles-Detail 2 2 3 2 5 2_Tertiary Salaries Survey" xfId="16969"/>
    <cellStyle name="RowTitles-Detail 2 2 3 2 5 3" xfId="16970"/>
    <cellStyle name="RowTitles-Detail 2 2 3 2 5 3 2" xfId="16971"/>
    <cellStyle name="RowTitles-Detail 2 2 3 2 5 3 2 2" xfId="16972"/>
    <cellStyle name="RowTitles-Detail 2 2 3 2 5 3 2_Tertiary Salaries Survey" xfId="16973"/>
    <cellStyle name="RowTitles-Detail 2 2 3 2 5 3 3" xfId="16974"/>
    <cellStyle name="RowTitles-Detail 2 2 3 2 5 3_Tertiary Salaries Survey" xfId="16975"/>
    <cellStyle name="RowTitles-Detail 2 2 3 2 5 4" xfId="16976"/>
    <cellStyle name="RowTitles-Detail 2 2 3 2 5 4 2" xfId="16977"/>
    <cellStyle name="RowTitles-Detail 2 2 3 2 5 4_Tertiary Salaries Survey" xfId="16978"/>
    <cellStyle name="RowTitles-Detail 2 2 3 2 5 5" xfId="16979"/>
    <cellStyle name="RowTitles-Detail 2 2 3 2 5_Tertiary Salaries Survey" xfId="16980"/>
    <cellStyle name="RowTitles-Detail 2 2 3 2 6" xfId="16981"/>
    <cellStyle name="RowTitles-Detail 2 2 3 2 6 2" xfId="16982"/>
    <cellStyle name="RowTitles-Detail 2 2 3 2 6 2 2" xfId="16983"/>
    <cellStyle name="RowTitles-Detail 2 2 3 2 6 2 2 2" xfId="16984"/>
    <cellStyle name="RowTitles-Detail 2 2 3 2 6 2 2_Tertiary Salaries Survey" xfId="16985"/>
    <cellStyle name="RowTitles-Detail 2 2 3 2 6 2 3" xfId="16986"/>
    <cellStyle name="RowTitles-Detail 2 2 3 2 6 2_Tertiary Salaries Survey" xfId="16987"/>
    <cellStyle name="RowTitles-Detail 2 2 3 2 6 3" xfId="16988"/>
    <cellStyle name="RowTitles-Detail 2 2 3 2 6 3 2" xfId="16989"/>
    <cellStyle name="RowTitles-Detail 2 2 3 2 6 3 2 2" xfId="16990"/>
    <cellStyle name="RowTitles-Detail 2 2 3 2 6 3 2_Tertiary Salaries Survey" xfId="16991"/>
    <cellStyle name="RowTitles-Detail 2 2 3 2 6 3 3" xfId="16992"/>
    <cellStyle name="RowTitles-Detail 2 2 3 2 6 3_Tertiary Salaries Survey" xfId="16993"/>
    <cellStyle name="RowTitles-Detail 2 2 3 2 6 4" xfId="16994"/>
    <cellStyle name="RowTitles-Detail 2 2 3 2 6 4 2" xfId="16995"/>
    <cellStyle name="RowTitles-Detail 2 2 3 2 6 4_Tertiary Salaries Survey" xfId="16996"/>
    <cellStyle name="RowTitles-Detail 2 2 3 2 6 5" xfId="16997"/>
    <cellStyle name="RowTitles-Detail 2 2 3 2 6_Tertiary Salaries Survey" xfId="16998"/>
    <cellStyle name="RowTitles-Detail 2 2 3 2 7" xfId="16999"/>
    <cellStyle name="RowTitles-Detail 2 2 3 2 7 2" xfId="17000"/>
    <cellStyle name="RowTitles-Detail 2 2 3 2 7 2 2" xfId="17001"/>
    <cellStyle name="RowTitles-Detail 2 2 3 2 7 2_Tertiary Salaries Survey" xfId="17002"/>
    <cellStyle name="RowTitles-Detail 2 2 3 2 7 3" xfId="17003"/>
    <cellStyle name="RowTitles-Detail 2 2 3 2 7_Tertiary Salaries Survey" xfId="17004"/>
    <cellStyle name="RowTitles-Detail 2 2 3 2 8" xfId="17005"/>
    <cellStyle name="RowTitles-Detail 2 2 3 2 9" xfId="17006"/>
    <cellStyle name="RowTitles-Detail 2 2 3 2_STUD aligned by INSTIT" xfId="17007"/>
    <cellStyle name="RowTitles-Detail 2 2 3 3" xfId="17008"/>
    <cellStyle name="RowTitles-Detail 2 2 3 3 2" xfId="17009"/>
    <cellStyle name="RowTitles-Detail 2 2 3 3 2 2" xfId="17010"/>
    <cellStyle name="RowTitles-Detail 2 2 3 3 2 2 2" xfId="17011"/>
    <cellStyle name="RowTitles-Detail 2 2 3 3 2 2 2 2" xfId="17012"/>
    <cellStyle name="RowTitles-Detail 2 2 3 3 2 2 2_Tertiary Salaries Survey" xfId="17013"/>
    <cellStyle name="RowTitles-Detail 2 2 3 3 2 2 3" xfId="17014"/>
    <cellStyle name="RowTitles-Detail 2 2 3 3 2 2_Tertiary Salaries Survey" xfId="17015"/>
    <cellStyle name="RowTitles-Detail 2 2 3 3 2 3" xfId="17016"/>
    <cellStyle name="RowTitles-Detail 2 2 3 3 2 3 2" xfId="17017"/>
    <cellStyle name="RowTitles-Detail 2 2 3 3 2 3 2 2" xfId="17018"/>
    <cellStyle name="RowTitles-Detail 2 2 3 3 2 3 2_Tertiary Salaries Survey" xfId="17019"/>
    <cellStyle name="RowTitles-Detail 2 2 3 3 2 3 3" xfId="17020"/>
    <cellStyle name="RowTitles-Detail 2 2 3 3 2 3_Tertiary Salaries Survey" xfId="17021"/>
    <cellStyle name="RowTitles-Detail 2 2 3 3 2 4" xfId="17022"/>
    <cellStyle name="RowTitles-Detail 2 2 3 3 2 5" xfId="17023"/>
    <cellStyle name="RowTitles-Detail 2 2 3 3 2 5 2" xfId="17024"/>
    <cellStyle name="RowTitles-Detail 2 2 3 3 2 5_Tertiary Salaries Survey" xfId="17025"/>
    <cellStyle name="RowTitles-Detail 2 2 3 3 2 6" xfId="17026"/>
    <cellStyle name="RowTitles-Detail 2 2 3 3 2_Tertiary Salaries Survey" xfId="17027"/>
    <cellStyle name="RowTitles-Detail 2 2 3 3 3" xfId="17028"/>
    <cellStyle name="RowTitles-Detail 2 2 3 3 3 2" xfId="17029"/>
    <cellStyle name="RowTitles-Detail 2 2 3 3 3 2 2" xfId="17030"/>
    <cellStyle name="RowTitles-Detail 2 2 3 3 3 2 2 2" xfId="17031"/>
    <cellStyle name="RowTitles-Detail 2 2 3 3 3 2 2_Tertiary Salaries Survey" xfId="17032"/>
    <cellStyle name="RowTitles-Detail 2 2 3 3 3 2 3" xfId="17033"/>
    <cellStyle name="RowTitles-Detail 2 2 3 3 3 2_Tertiary Salaries Survey" xfId="17034"/>
    <cellStyle name="RowTitles-Detail 2 2 3 3 3 3" xfId="17035"/>
    <cellStyle name="RowTitles-Detail 2 2 3 3 3 3 2" xfId="17036"/>
    <cellStyle name="RowTitles-Detail 2 2 3 3 3 3 2 2" xfId="17037"/>
    <cellStyle name="RowTitles-Detail 2 2 3 3 3 3 2_Tertiary Salaries Survey" xfId="17038"/>
    <cellStyle name="RowTitles-Detail 2 2 3 3 3 3 3" xfId="17039"/>
    <cellStyle name="RowTitles-Detail 2 2 3 3 3 3_Tertiary Salaries Survey" xfId="17040"/>
    <cellStyle name="RowTitles-Detail 2 2 3 3 3 4" xfId="17041"/>
    <cellStyle name="RowTitles-Detail 2 2 3 3 3 5" xfId="17042"/>
    <cellStyle name="RowTitles-Detail 2 2 3 3 3_Tertiary Salaries Survey" xfId="17043"/>
    <cellStyle name="RowTitles-Detail 2 2 3 3 4" xfId="17044"/>
    <cellStyle name="RowTitles-Detail 2 2 3 3 4 2" xfId="17045"/>
    <cellStyle name="RowTitles-Detail 2 2 3 3 4 2 2" xfId="17046"/>
    <cellStyle name="RowTitles-Detail 2 2 3 3 4 2 2 2" xfId="17047"/>
    <cellStyle name="RowTitles-Detail 2 2 3 3 4 2 2_Tertiary Salaries Survey" xfId="17048"/>
    <cellStyle name="RowTitles-Detail 2 2 3 3 4 2 3" xfId="17049"/>
    <cellStyle name="RowTitles-Detail 2 2 3 3 4 2_Tertiary Salaries Survey" xfId="17050"/>
    <cellStyle name="RowTitles-Detail 2 2 3 3 4 3" xfId="17051"/>
    <cellStyle name="RowTitles-Detail 2 2 3 3 4 3 2" xfId="17052"/>
    <cellStyle name="RowTitles-Detail 2 2 3 3 4 3 2 2" xfId="17053"/>
    <cellStyle name="RowTitles-Detail 2 2 3 3 4 3 2_Tertiary Salaries Survey" xfId="17054"/>
    <cellStyle name="RowTitles-Detail 2 2 3 3 4 3 3" xfId="17055"/>
    <cellStyle name="RowTitles-Detail 2 2 3 3 4 3_Tertiary Salaries Survey" xfId="17056"/>
    <cellStyle name="RowTitles-Detail 2 2 3 3 4 4" xfId="17057"/>
    <cellStyle name="RowTitles-Detail 2 2 3 3 4 4 2" xfId="17058"/>
    <cellStyle name="RowTitles-Detail 2 2 3 3 4 4_Tertiary Salaries Survey" xfId="17059"/>
    <cellStyle name="RowTitles-Detail 2 2 3 3 4 5" xfId="17060"/>
    <cellStyle name="RowTitles-Detail 2 2 3 3 4_Tertiary Salaries Survey" xfId="17061"/>
    <cellStyle name="RowTitles-Detail 2 2 3 3 5" xfId="17062"/>
    <cellStyle name="RowTitles-Detail 2 2 3 3 5 2" xfId="17063"/>
    <cellStyle name="RowTitles-Detail 2 2 3 3 5 2 2" xfId="17064"/>
    <cellStyle name="RowTitles-Detail 2 2 3 3 5 2 2 2" xfId="17065"/>
    <cellStyle name="RowTitles-Detail 2 2 3 3 5 2 2_Tertiary Salaries Survey" xfId="17066"/>
    <cellStyle name="RowTitles-Detail 2 2 3 3 5 2 3" xfId="17067"/>
    <cellStyle name="RowTitles-Detail 2 2 3 3 5 2_Tertiary Salaries Survey" xfId="17068"/>
    <cellStyle name="RowTitles-Detail 2 2 3 3 5 3" xfId="17069"/>
    <cellStyle name="RowTitles-Detail 2 2 3 3 5 3 2" xfId="17070"/>
    <cellStyle name="RowTitles-Detail 2 2 3 3 5 3 2 2" xfId="17071"/>
    <cellStyle name="RowTitles-Detail 2 2 3 3 5 3 2_Tertiary Salaries Survey" xfId="17072"/>
    <cellStyle name="RowTitles-Detail 2 2 3 3 5 3 3" xfId="17073"/>
    <cellStyle name="RowTitles-Detail 2 2 3 3 5 3_Tertiary Salaries Survey" xfId="17074"/>
    <cellStyle name="RowTitles-Detail 2 2 3 3 5 4" xfId="17075"/>
    <cellStyle name="RowTitles-Detail 2 2 3 3 5 4 2" xfId="17076"/>
    <cellStyle name="RowTitles-Detail 2 2 3 3 5 4_Tertiary Salaries Survey" xfId="17077"/>
    <cellStyle name="RowTitles-Detail 2 2 3 3 5 5" xfId="17078"/>
    <cellStyle name="RowTitles-Detail 2 2 3 3 5_Tertiary Salaries Survey" xfId="17079"/>
    <cellStyle name="RowTitles-Detail 2 2 3 3 6" xfId="17080"/>
    <cellStyle name="RowTitles-Detail 2 2 3 3 6 2" xfId="17081"/>
    <cellStyle name="RowTitles-Detail 2 2 3 3 6 2 2" xfId="17082"/>
    <cellStyle name="RowTitles-Detail 2 2 3 3 6 2 2 2" xfId="17083"/>
    <cellStyle name="RowTitles-Detail 2 2 3 3 6 2 2_Tertiary Salaries Survey" xfId="17084"/>
    <cellStyle name="RowTitles-Detail 2 2 3 3 6 2 3" xfId="17085"/>
    <cellStyle name="RowTitles-Detail 2 2 3 3 6 2_Tertiary Salaries Survey" xfId="17086"/>
    <cellStyle name="RowTitles-Detail 2 2 3 3 6 3" xfId="17087"/>
    <cellStyle name="RowTitles-Detail 2 2 3 3 6 3 2" xfId="17088"/>
    <cellStyle name="RowTitles-Detail 2 2 3 3 6 3 2 2" xfId="17089"/>
    <cellStyle name="RowTitles-Detail 2 2 3 3 6 3 2_Tertiary Salaries Survey" xfId="17090"/>
    <cellStyle name="RowTitles-Detail 2 2 3 3 6 3 3" xfId="17091"/>
    <cellStyle name="RowTitles-Detail 2 2 3 3 6 3_Tertiary Salaries Survey" xfId="17092"/>
    <cellStyle name="RowTitles-Detail 2 2 3 3 6 4" xfId="17093"/>
    <cellStyle name="RowTitles-Detail 2 2 3 3 6 4 2" xfId="17094"/>
    <cellStyle name="RowTitles-Detail 2 2 3 3 6 4_Tertiary Salaries Survey" xfId="17095"/>
    <cellStyle name="RowTitles-Detail 2 2 3 3 6 5" xfId="17096"/>
    <cellStyle name="RowTitles-Detail 2 2 3 3 6_Tertiary Salaries Survey" xfId="17097"/>
    <cellStyle name="RowTitles-Detail 2 2 3 3 7" xfId="17098"/>
    <cellStyle name="RowTitles-Detail 2 2 3 3 7 2" xfId="17099"/>
    <cellStyle name="RowTitles-Detail 2 2 3 3 7 2 2" xfId="17100"/>
    <cellStyle name="RowTitles-Detail 2 2 3 3 7 2_Tertiary Salaries Survey" xfId="17101"/>
    <cellStyle name="RowTitles-Detail 2 2 3 3 7 3" xfId="17102"/>
    <cellStyle name="RowTitles-Detail 2 2 3 3 7_Tertiary Salaries Survey" xfId="17103"/>
    <cellStyle name="RowTitles-Detail 2 2 3 3 8" xfId="17104"/>
    <cellStyle name="RowTitles-Detail 2 2 3 3 8 2" xfId="17105"/>
    <cellStyle name="RowTitles-Detail 2 2 3 3 8 2 2" xfId="17106"/>
    <cellStyle name="RowTitles-Detail 2 2 3 3 8 2_Tertiary Salaries Survey" xfId="17107"/>
    <cellStyle name="RowTitles-Detail 2 2 3 3 8 3" xfId="17108"/>
    <cellStyle name="RowTitles-Detail 2 2 3 3 8_Tertiary Salaries Survey" xfId="17109"/>
    <cellStyle name="RowTitles-Detail 2 2 3 3 9" xfId="17110"/>
    <cellStyle name="RowTitles-Detail 2 2 3 3_STUD aligned by INSTIT" xfId="17111"/>
    <cellStyle name="RowTitles-Detail 2 2 3 4" xfId="17112"/>
    <cellStyle name="RowTitles-Detail 2 2 3 4 2" xfId="17113"/>
    <cellStyle name="RowTitles-Detail 2 2 3 4 2 2" xfId="17114"/>
    <cellStyle name="RowTitles-Detail 2 2 3 4 2 2 2" xfId="17115"/>
    <cellStyle name="RowTitles-Detail 2 2 3 4 2 2 2 2" xfId="17116"/>
    <cellStyle name="RowTitles-Detail 2 2 3 4 2 2 2_Tertiary Salaries Survey" xfId="17117"/>
    <cellStyle name="RowTitles-Detail 2 2 3 4 2 2 3" xfId="17118"/>
    <cellStyle name="RowTitles-Detail 2 2 3 4 2 2_Tertiary Salaries Survey" xfId="17119"/>
    <cellStyle name="RowTitles-Detail 2 2 3 4 2 3" xfId="17120"/>
    <cellStyle name="RowTitles-Detail 2 2 3 4 2 3 2" xfId="17121"/>
    <cellStyle name="RowTitles-Detail 2 2 3 4 2 3 2 2" xfId="17122"/>
    <cellStyle name="RowTitles-Detail 2 2 3 4 2 3 2_Tertiary Salaries Survey" xfId="17123"/>
    <cellStyle name="RowTitles-Detail 2 2 3 4 2 3 3" xfId="17124"/>
    <cellStyle name="RowTitles-Detail 2 2 3 4 2 3_Tertiary Salaries Survey" xfId="17125"/>
    <cellStyle name="RowTitles-Detail 2 2 3 4 2 4" xfId="17126"/>
    <cellStyle name="RowTitles-Detail 2 2 3 4 2 5" xfId="17127"/>
    <cellStyle name="RowTitles-Detail 2 2 3 4 2 5 2" xfId="17128"/>
    <cellStyle name="RowTitles-Detail 2 2 3 4 2 5_Tertiary Salaries Survey" xfId="17129"/>
    <cellStyle name="RowTitles-Detail 2 2 3 4 2 6" xfId="17130"/>
    <cellStyle name="RowTitles-Detail 2 2 3 4 2_Tertiary Salaries Survey" xfId="17131"/>
    <cellStyle name="RowTitles-Detail 2 2 3 4 3" xfId="17132"/>
    <cellStyle name="RowTitles-Detail 2 2 3 4 3 2" xfId="17133"/>
    <cellStyle name="RowTitles-Detail 2 2 3 4 3 2 2" xfId="17134"/>
    <cellStyle name="RowTitles-Detail 2 2 3 4 3 2 2 2" xfId="17135"/>
    <cellStyle name="RowTitles-Detail 2 2 3 4 3 2 2_Tertiary Salaries Survey" xfId="17136"/>
    <cellStyle name="RowTitles-Detail 2 2 3 4 3 2 3" xfId="17137"/>
    <cellStyle name="RowTitles-Detail 2 2 3 4 3 2_Tertiary Salaries Survey" xfId="17138"/>
    <cellStyle name="RowTitles-Detail 2 2 3 4 3 3" xfId="17139"/>
    <cellStyle name="RowTitles-Detail 2 2 3 4 3 3 2" xfId="17140"/>
    <cellStyle name="RowTitles-Detail 2 2 3 4 3 3 2 2" xfId="17141"/>
    <cellStyle name="RowTitles-Detail 2 2 3 4 3 3 2_Tertiary Salaries Survey" xfId="17142"/>
    <cellStyle name="RowTitles-Detail 2 2 3 4 3 3 3" xfId="17143"/>
    <cellStyle name="RowTitles-Detail 2 2 3 4 3 3_Tertiary Salaries Survey" xfId="17144"/>
    <cellStyle name="RowTitles-Detail 2 2 3 4 3 4" xfId="17145"/>
    <cellStyle name="RowTitles-Detail 2 2 3 4 3 5" xfId="17146"/>
    <cellStyle name="RowTitles-Detail 2 2 3 4 3_Tertiary Salaries Survey" xfId="17147"/>
    <cellStyle name="RowTitles-Detail 2 2 3 4 4" xfId="17148"/>
    <cellStyle name="RowTitles-Detail 2 2 3 4 4 2" xfId="17149"/>
    <cellStyle name="RowTitles-Detail 2 2 3 4 4 2 2" xfId="17150"/>
    <cellStyle name="RowTitles-Detail 2 2 3 4 4 2 2 2" xfId="17151"/>
    <cellStyle name="RowTitles-Detail 2 2 3 4 4 2 2_Tertiary Salaries Survey" xfId="17152"/>
    <cellStyle name="RowTitles-Detail 2 2 3 4 4 2 3" xfId="17153"/>
    <cellStyle name="RowTitles-Detail 2 2 3 4 4 2_Tertiary Salaries Survey" xfId="17154"/>
    <cellStyle name="RowTitles-Detail 2 2 3 4 4 3" xfId="17155"/>
    <cellStyle name="RowTitles-Detail 2 2 3 4 4 3 2" xfId="17156"/>
    <cellStyle name="RowTitles-Detail 2 2 3 4 4 3 2 2" xfId="17157"/>
    <cellStyle name="RowTitles-Detail 2 2 3 4 4 3 2_Tertiary Salaries Survey" xfId="17158"/>
    <cellStyle name="RowTitles-Detail 2 2 3 4 4 3 3" xfId="17159"/>
    <cellStyle name="RowTitles-Detail 2 2 3 4 4 3_Tertiary Salaries Survey" xfId="17160"/>
    <cellStyle name="RowTitles-Detail 2 2 3 4 4 4" xfId="17161"/>
    <cellStyle name="RowTitles-Detail 2 2 3 4 4 5" xfId="17162"/>
    <cellStyle name="RowTitles-Detail 2 2 3 4 4 5 2" xfId="17163"/>
    <cellStyle name="RowTitles-Detail 2 2 3 4 4 5_Tertiary Salaries Survey" xfId="17164"/>
    <cellStyle name="RowTitles-Detail 2 2 3 4 4 6" xfId="17165"/>
    <cellStyle name="RowTitles-Detail 2 2 3 4 4_Tertiary Salaries Survey" xfId="17166"/>
    <cellStyle name="RowTitles-Detail 2 2 3 4 5" xfId="17167"/>
    <cellStyle name="RowTitles-Detail 2 2 3 4 5 2" xfId="17168"/>
    <cellStyle name="RowTitles-Detail 2 2 3 4 5 2 2" xfId="17169"/>
    <cellStyle name="RowTitles-Detail 2 2 3 4 5 2 2 2" xfId="17170"/>
    <cellStyle name="RowTitles-Detail 2 2 3 4 5 2 2_Tertiary Salaries Survey" xfId="17171"/>
    <cellStyle name="RowTitles-Detail 2 2 3 4 5 2 3" xfId="17172"/>
    <cellStyle name="RowTitles-Detail 2 2 3 4 5 2_Tertiary Salaries Survey" xfId="17173"/>
    <cellStyle name="RowTitles-Detail 2 2 3 4 5 3" xfId="17174"/>
    <cellStyle name="RowTitles-Detail 2 2 3 4 5 3 2" xfId="17175"/>
    <cellStyle name="RowTitles-Detail 2 2 3 4 5 3 2 2" xfId="17176"/>
    <cellStyle name="RowTitles-Detail 2 2 3 4 5 3 2_Tertiary Salaries Survey" xfId="17177"/>
    <cellStyle name="RowTitles-Detail 2 2 3 4 5 3 3" xfId="17178"/>
    <cellStyle name="RowTitles-Detail 2 2 3 4 5 3_Tertiary Salaries Survey" xfId="17179"/>
    <cellStyle name="RowTitles-Detail 2 2 3 4 5 4" xfId="17180"/>
    <cellStyle name="RowTitles-Detail 2 2 3 4 5 4 2" xfId="17181"/>
    <cellStyle name="RowTitles-Detail 2 2 3 4 5 4_Tertiary Salaries Survey" xfId="17182"/>
    <cellStyle name="RowTitles-Detail 2 2 3 4 5 5" xfId="17183"/>
    <cellStyle name="RowTitles-Detail 2 2 3 4 5_Tertiary Salaries Survey" xfId="17184"/>
    <cellStyle name="RowTitles-Detail 2 2 3 4 6" xfId="17185"/>
    <cellStyle name="RowTitles-Detail 2 2 3 4 6 2" xfId="17186"/>
    <cellStyle name="RowTitles-Detail 2 2 3 4 6 2 2" xfId="17187"/>
    <cellStyle name="RowTitles-Detail 2 2 3 4 6 2 2 2" xfId="17188"/>
    <cellStyle name="RowTitles-Detail 2 2 3 4 6 2 2_Tertiary Salaries Survey" xfId="17189"/>
    <cellStyle name="RowTitles-Detail 2 2 3 4 6 2 3" xfId="17190"/>
    <cellStyle name="RowTitles-Detail 2 2 3 4 6 2_Tertiary Salaries Survey" xfId="17191"/>
    <cellStyle name="RowTitles-Detail 2 2 3 4 6 3" xfId="17192"/>
    <cellStyle name="RowTitles-Detail 2 2 3 4 6 3 2" xfId="17193"/>
    <cellStyle name="RowTitles-Detail 2 2 3 4 6 3 2 2" xfId="17194"/>
    <cellStyle name="RowTitles-Detail 2 2 3 4 6 3 2_Tertiary Salaries Survey" xfId="17195"/>
    <cellStyle name="RowTitles-Detail 2 2 3 4 6 3 3" xfId="17196"/>
    <cellStyle name="RowTitles-Detail 2 2 3 4 6 3_Tertiary Salaries Survey" xfId="17197"/>
    <cellStyle name="RowTitles-Detail 2 2 3 4 6 4" xfId="17198"/>
    <cellStyle name="RowTitles-Detail 2 2 3 4 6 4 2" xfId="17199"/>
    <cellStyle name="RowTitles-Detail 2 2 3 4 6 4_Tertiary Salaries Survey" xfId="17200"/>
    <cellStyle name="RowTitles-Detail 2 2 3 4 6 5" xfId="17201"/>
    <cellStyle name="RowTitles-Detail 2 2 3 4 6_Tertiary Salaries Survey" xfId="17202"/>
    <cellStyle name="RowTitles-Detail 2 2 3 4 7" xfId="17203"/>
    <cellStyle name="RowTitles-Detail 2 2 3 4 7 2" xfId="17204"/>
    <cellStyle name="RowTitles-Detail 2 2 3 4 7 2 2" xfId="17205"/>
    <cellStyle name="RowTitles-Detail 2 2 3 4 7 2_Tertiary Salaries Survey" xfId="17206"/>
    <cellStyle name="RowTitles-Detail 2 2 3 4 7 3" xfId="17207"/>
    <cellStyle name="RowTitles-Detail 2 2 3 4 7_Tertiary Salaries Survey" xfId="17208"/>
    <cellStyle name="RowTitles-Detail 2 2 3 4 8" xfId="17209"/>
    <cellStyle name="RowTitles-Detail 2 2 3 4 9" xfId="17210"/>
    <cellStyle name="RowTitles-Detail 2 2 3 4_STUD aligned by INSTIT" xfId="17211"/>
    <cellStyle name="RowTitles-Detail 2 2 3 5" xfId="17212"/>
    <cellStyle name="RowTitles-Detail 2 2 3 5 2" xfId="17213"/>
    <cellStyle name="RowTitles-Detail 2 2 3 5 2 2" xfId="17214"/>
    <cellStyle name="RowTitles-Detail 2 2 3 5 2 2 2" xfId="17215"/>
    <cellStyle name="RowTitles-Detail 2 2 3 5 2 2_Tertiary Salaries Survey" xfId="17216"/>
    <cellStyle name="RowTitles-Detail 2 2 3 5 2 3" xfId="17217"/>
    <cellStyle name="RowTitles-Detail 2 2 3 5 2_Tertiary Salaries Survey" xfId="17218"/>
    <cellStyle name="RowTitles-Detail 2 2 3 5 3" xfId="17219"/>
    <cellStyle name="RowTitles-Detail 2 2 3 5 3 2" xfId="17220"/>
    <cellStyle name="RowTitles-Detail 2 2 3 5 3 2 2" xfId="17221"/>
    <cellStyle name="RowTitles-Detail 2 2 3 5 3 2_Tertiary Salaries Survey" xfId="17222"/>
    <cellStyle name="RowTitles-Detail 2 2 3 5 3 3" xfId="17223"/>
    <cellStyle name="RowTitles-Detail 2 2 3 5 3_Tertiary Salaries Survey" xfId="17224"/>
    <cellStyle name="RowTitles-Detail 2 2 3 5 4" xfId="17225"/>
    <cellStyle name="RowTitles-Detail 2 2 3 5 5" xfId="17226"/>
    <cellStyle name="RowTitles-Detail 2 2 3 5 5 2" xfId="17227"/>
    <cellStyle name="RowTitles-Detail 2 2 3 5 5_Tertiary Salaries Survey" xfId="17228"/>
    <cellStyle name="RowTitles-Detail 2 2 3 5 6" xfId="17229"/>
    <cellStyle name="RowTitles-Detail 2 2 3 5_Tertiary Salaries Survey" xfId="17230"/>
    <cellStyle name="RowTitles-Detail 2 2 3 6" xfId="17231"/>
    <cellStyle name="RowTitles-Detail 2 2 3 6 2" xfId="17232"/>
    <cellStyle name="RowTitles-Detail 2 2 3 6 2 2" xfId="17233"/>
    <cellStyle name="RowTitles-Detail 2 2 3 6 2 2 2" xfId="17234"/>
    <cellStyle name="RowTitles-Detail 2 2 3 6 2 2_Tertiary Salaries Survey" xfId="17235"/>
    <cellStyle name="RowTitles-Detail 2 2 3 6 2 3" xfId="17236"/>
    <cellStyle name="RowTitles-Detail 2 2 3 6 2_Tertiary Salaries Survey" xfId="17237"/>
    <cellStyle name="RowTitles-Detail 2 2 3 6 3" xfId="17238"/>
    <cellStyle name="RowTitles-Detail 2 2 3 6 3 2" xfId="17239"/>
    <cellStyle name="RowTitles-Detail 2 2 3 6 3 2 2" xfId="17240"/>
    <cellStyle name="RowTitles-Detail 2 2 3 6 3 2_Tertiary Salaries Survey" xfId="17241"/>
    <cellStyle name="RowTitles-Detail 2 2 3 6 3 3" xfId="17242"/>
    <cellStyle name="RowTitles-Detail 2 2 3 6 3_Tertiary Salaries Survey" xfId="17243"/>
    <cellStyle name="RowTitles-Detail 2 2 3 6 4" xfId="17244"/>
    <cellStyle name="RowTitles-Detail 2 2 3 6 5" xfId="17245"/>
    <cellStyle name="RowTitles-Detail 2 2 3 6_Tertiary Salaries Survey" xfId="17246"/>
    <cellStyle name="RowTitles-Detail 2 2 3 7" xfId="17247"/>
    <cellStyle name="RowTitles-Detail 2 2 3 7 2" xfId="17248"/>
    <cellStyle name="RowTitles-Detail 2 2 3 7 2 2" xfId="17249"/>
    <cellStyle name="RowTitles-Detail 2 2 3 7 2 2 2" xfId="17250"/>
    <cellStyle name="RowTitles-Detail 2 2 3 7 2 2_Tertiary Salaries Survey" xfId="17251"/>
    <cellStyle name="RowTitles-Detail 2 2 3 7 2 3" xfId="17252"/>
    <cellStyle name="RowTitles-Detail 2 2 3 7 2_Tertiary Salaries Survey" xfId="17253"/>
    <cellStyle name="RowTitles-Detail 2 2 3 7 3" xfId="17254"/>
    <cellStyle name="RowTitles-Detail 2 2 3 7 3 2" xfId="17255"/>
    <cellStyle name="RowTitles-Detail 2 2 3 7 3 2 2" xfId="17256"/>
    <cellStyle name="RowTitles-Detail 2 2 3 7 3 2_Tertiary Salaries Survey" xfId="17257"/>
    <cellStyle name="RowTitles-Detail 2 2 3 7 3 3" xfId="17258"/>
    <cellStyle name="RowTitles-Detail 2 2 3 7 3_Tertiary Salaries Survey" xfId="17259"/>
    <cellStyle name="RowTitles-Detail 2 2 3 7 4" xfId="17260"/>
    <cellStyle name="RowTitles-Detail 2 2 3 7 5" xfId="17261"/>
    <cellStyle name="RowTitles-Detail 2 2 3 7 5 2" xfId="17262"/>
    <cellStyle name="RowTitles-Detail 2 2 3 7 5_Tertiary Salaries Survey" xfId="17263"/>
    <cellStyle name="RowTitles-Detail 2 2 3 7 6" xfId="17264"/>
    <cellStyle name="RowTitles-Detail 2 2 3 7_Tertiary Salaries Survey" xfId="17265"/>
    <cellStyle name="RowTitles-Detail 2 2 3 8" xfId="17266"/>
    <cellStyle name="RowTitles-Detail 2 2 3 8 2" xfId="17267"/>
    <cellStyle name="RowTitles-Detail 2 2 3 8 2 2" xfId="17268"/>
    <cellStyle name="RowTitles-Detail 2 2 3 8 2 2 2" xfId="17269"/>
    <cellStyle name="RowTitles-Detail 2 2 3 8 2 2_Tertiary Salaries Survey" xfId="17270"/>
    <cellStyle name="RowTitles-Detail 2 2 3 8 2 3" xfId="17271"/>
    <cellStyle name="RowTitles-Detail 2 2 3 8 2_Tertiary Salaries Survey" xfId="17272"/>
    <cellStyle name="RowTitles-Detail 2 2 3 8 3" xfId="17273"/>
    <cellStyle name="RowTitles-Detail 2 2 3 8 3 2" xfId="17274"/>
    <cellStyle name="RowTitles-Detail 2 2 3 8 3 2 2" xfId="17275"/>
    <cellStyle name="RowTitles-Detail 2 2 3 8 3 2_Tertiary Salaries Survey" xfId="17276"/>
    <cellStyle name="RowTitles-Detail 2 2 3 8 3 3" xfId="17277"/>
    <cellStyle name="RowTitles-Detail 2 2 3 8 3_Tertiary Salaries Survey" xfId="17278"/>
    <cellStyle name="RowTitles-Detail 2 2 3 8 4" xfId="17279"/>
    <cellStyle name="RowTitles-Detail 2 2 3 8 4 2" xfId="17280"/>
    <cellStyle name="RowTitles-Detail 2 2 3 8 4_Tertiary Salaries Survey" xfId="17281"/>
    <cellStyle name="RowTitles-Detail 2 2 3 8 5" xfId="17282"/>
    <cellStyle name="RowTitles-Detail 2 2 3 8_Tertiary Salaries Survey" xfId="17283"/>
    <cellStyle name="RowTitles-Detail 2 2 3 9" xfId="17284"/>
    <cellStyle name="RowTitles-Detail 2 2 3 9 2" xfId="17285"/>
    <cellStyle name="RowTitles-Detail 2 2 3 9 2 2" xfId="17286"/>
    <cellStyle name="RowTitles-Detail 2 2 3 9 2 2 2" xfId="17287"/>
    <cellStyle name="RowTitles-Detail 2 2 3 9 2 2_Tertiary Salaries Survey" xfId="17288"/>
    <cellStyle name="RowTitles-Detail 2 2 3 9 2 3" xfId="17289"/>
    <cellStyle name="RowTitles-Detail 2 2 3 9 2_Tertiary Salaries Survey" xfId="17290"/>
    <cellStyle name="RowTitles-Detail 2 2 3 9 3" xfId="17291"/>
    <cellStyle name="RowTitles-Detail 2 2 3 9 3 2" xfId="17292"/>
    <cellStyle name="RowTitles-Detail 2 2 3 9 3 2 2" xfId="17293"/>
    <cellStyle name="RowTitles-Detail 2 2 3 9 3 2_Tertiary Salaries Survey" xfId="17294"/>
    <cellStyle name="RowTitles-Detail 2 2 3 9 3 3" xfId="17295"/>
    <cellStyle name="RowTitles-Detail 2 2 3 9 3_Tertiary Salaries Survey" xfId="17296"/>
    <cellStyle name="RowTitles-Detail 2 2 3 9 4" xfId="17297"/>
    <cellStyle name="RowTitles-Detail 2 2 3 9 4 2" xfId="17298"/>
    <cellStyle name="RowTitles-Detail 2 2 3 9 4_Tertiary Salaries Survey" xfId="17299"/>
    <cellStyle name="RowTitles-Detail 2 2 3 9 5" xfId="17300"/>
    <cellStyle name="RowTitles-Detail 2 2 3 9_Tertiary Salaries Survey" xfId="17301"/>
    <cellStyle name="RowTitles-Detail 2 2 3_STUD aligned by INSTIT" xfId="17302"/>
    <cellStyle name="RowTitles-Detail 2 2 4" xfId="17303"/>
    <cellStyle name="RowTitles-Detail 2 2 4 2" xfId="17304"/>
    <cellStyle name="RowTitles-Detail 2 2 4 2 2" xfId="17305"/>
    <cellStyle name="RowTitles-Detail 2 2 4 2 2 2" xfId="17306"/>
    <cellStyle name="RowTitles-Detail 2 2 4 2 2 2 2" xfId="17307"/>
    <cellStyle name="RowTitles-Detail 2 2 4 2 2 2_Tertiary Salaries Survey" xfId="17308"/>
    <cellStyle name="RowTitles-Detail 2 2 4 2 2 3" xfId="17309"/>
    <cellStyle name="RowTitles-Detail 2 2 4 2 2_Tertiary Salaries Survey" xfId="17310"/>
    <cellStyle name="RowTitles-Detail 2 2 4 2 3" xfId="17311"/>
    <cellStyle name="RowTitles-Detail 2 2 4 2 3 2" xfId="17312"/>
    <cellStyle name="RowTitles-Detail 2 2 4 2 3 2 2" xfId="17313"/>
    <cellStyle name="RowTitles-Detail 2 2 4 2 3 2_Tertiary Salaries Survey" xfId="17314"/>
    <cellStyle name="RowTitles-Detail 2 2 4 2 3 3" xfId="17315"/>
    <cellStyle name="RowTitles-Detail 2 2 4 2 3_Tertiary Salaries Survey" xfId="17316"/>
    <cellStyle name="RowTitles-Detail 2 2 4 2 4" xfId="17317"/>
    <cellStyle name="RowTitles-Detail 2 2 4 2 5" xfId="17318"/>
    <cellStyle name="RowTitles-Detail 2 2 4 2_Tertiary Salaries Survey" xfId="17319"/>
    <cellStyle name="RowTitles-Detail 2 2 4 3" xfId="17320"/>
    <cellStyle name="RowTitles-Detail 2 2 4 3 2" xfId="17321"/>
    <cellStyle name="RowTitles-Detail 2 2 4 3 2 2" xfId="17322"/>
    <cellStyle name="RowTitles-Detail 2 2 4 3 2 2 2" xfId="17323"/>
    <cellStyle name="RowTitles-Detail 2 2 4 3 2 2_Tertiary Salaries Survey" xfId="17324"/>
    <cellStyle name="RowTitles-Detail 2 2 4 3 2 3" xfId="17325"/>
    <cellStyle name="RowTitles-Detail 2 2 4 3 2_Tertiary Salaries Survey" xfId="17326"/>
    <cellStyle name="RowTitles-Detail 2 2 4 3 3" xfId="17327"/>
    <cellStyle name="RowTitles-Detail 2 2 4 3 3 2" xfId="17328"/>
    <cellStyle name="RowTitles-Detail 2 2 4 3 3 2 2" xfId="17329"/>
    <cellStyle name="RowTitles-Detail 2 2 4 3 3 2_Tertiary Salaries Survey" xfId="17330"/>
    <cellStyle name="RowTitles-Detail 2 2 4 3 3 3" xfId="17331"/>
    <cellStyle name="RowTitles-Detail 2 2 4 3 3_Tertiary Salaries Survey" xfId="17332"/>
    <cellStyle name="RowTitles-Detail 2 2 4 3 4" xfId="17333"/>
    <cellStyle name="RowTitles-Detail 2 2 4 3 5" xfId="17334"/>
    <cellStyle name="RowTitles-Detail 2 2 4 3 5 2" xfId="17335"/>
    <cellStyle name="RowTitles-Detail 2 2 4 3 5_Tertiary Salaries Survey" xfId="17336"/>
    <cellStyle name="RowTitles-Detail 2 2 4 3 6" xfId="17337"/>
    <cellStyle name="RowTitles-Detail 2 2 4 3_Tertiary Salaries Survey" xfId="17338"/>
    <cellStyle name="RowTitles-Detail 2 2 4 4" xfId="17339"/>
    <cellStyle name="RowTitles-Detail 2 2 4 4 2" xfId="17340"/>
    <cellStyle name="RowTitles-Detail 2 2 4 4 2 2" xfId="17341"/>
    <cellStyle name="RowTitles-Detail 2 2 4 4 2 2 2" xfId="17342"/>
    <cellStyle name="RowTitles-Detail 2 2 4 4 2 2_Tertiary Salaries Survey" xfId="17343"/>
    <cellStyle name="RowTitles-Detail 2 2 4 4 2 3" xfId="17344"/>
    <cellStyle name="RowTitles-Detail 2 2 4 4 2_Tertiary Salaries Survey" xfId="17345"/>
    <cellStyle name="RowTitles-Detail 2 2 4 4 3" xfId="17346"/>
    <cellStyle name="RowTitles-Detail 2 2 4 4 3 2" xfId="17347"/>
    <cellStyle name="RowTitles-Detail 2 2 4 4 3 2 2" xfId="17348"/>
    <cellStyle name="RowTitles-Detail 2 2 4 4 3 2_Tertiary Salaries Survey" xfId="17349"/>
    <cellStyle name="RowTitles-Detail 2 2 4 4 3 3" xfId="17350"/>
    <cellStyle name="RowTitles-Detail 2 2 4 4 3_Tertiary Salaries Survey" xfId="17351"/>
    <cellStyle name="RowTitles-Detail 2 2 4 4 4" xfId="17352"/>
    <cellStyle name="RowTitles-Detail 2 2 4 4 4 2" xfId="17353"/>
    <cellStyle name="RowTitles-Detail 2 2 4 4 4_Tertiary Salaries Survey" xfId="17354"/>
    <cellStyle name="RowTitles-Detail 2 2 4 4 5" xfId="17355"/>
    <cellStyle name="RowTitles-Detail 2 2 4 4_Tertiary Salaries Survey" xfId="17356"/>
    <cellStyle name="RowTitles-Detail 2 2 4 5" xfId="17357"/>
    <cellStyle name="RowTitles-Detail 2 2 4 5 2" xfId="17358"/>
    <cellStyle name="RowTitles-Detail 2 2 4 5 2 2" xfId="17359"/>
    <cellStyle name="RowTitles-Detail 2 2 4 5 2 2 2" xfId="17360"/>
    <cellStyle name="RowTitles-Detail 2 2 4 5 2 2_Tertiary Salaries Survey" xfId="17361"/>
    <cellStyle name="RowTitles-Detail 2 2 4 5 2 3" xfId="17362"/>
    <cellStyle name="RowTitles-Detail 2 2 4 5 2_Tertiary Salaries Survey" xfId="17363"/>
    <cellStyle name="RowTitles-Detail 2 2 4 5 3" xfId="17364"/>
    <cellStyle name="RowTitles-Detail 2 2 4 5 3 2" xfId="17365"/>
    <cellStyle name="RowTitles-Detail 2 2 4 5 3 2 2" xfId="17366"/>
    <cellStyle name="RowTitles-Detail 2 2 4 5 3 2_Tertiary Salaries Survey" xfId="17367"/>
    <cellStyle name="RowTitles-Detail 2 2 4 5 3 3" xfId="17368"/>
    <cellStyle name="RowTitles-Detail 2 2 4 5 3_Tertiary Salaries Survey" xfId="17369"/>
    <cellStyle name="RowTitles-Detail 2 2 4 5 4" xfId="17370"/>
    <cellStyle name="RowTitles-Detail 2 2 4 5 4 2" xfId="17371"/>
    <cellStyle name="RowTitles-Detail 2 2 4 5 4_Tertiary Salaries Survey" xfId="17372"/>
    <cellStyle name="RowTitles-Detail 2 2 4 5 5" xfId="17373"/>
    <cellStyle name="RowTitles-Detail 2 2 4 5_Tertiary Salaries Survey" xfId="17374"/>
    <cellStyle name="RowTitles-Detail 2 2 4 6" xfId="17375"/>
    <cellStyle name="RowTitles-Detail 2 2 4 6 2" xfId="17376"/>
    <cellStyle name="RowTitles-Detail 2 2 4 6 2 2" xfId="17377"/>
    <cellStyle name="RowTitles-Detail 2 2 4 6 2 2 2" xfId="17378"/>
    <cellStyle name="RowTitles-Detail 2 2 4 6 2 2_Tertiary Salaries Survey" xfId="17379"/>
    <cellStyle name="RowTitles-Detail 2 2 4 6 2 3" xfId="17380"/>
    <cellStyle name="RowTitles-Detail 2 2 4 6 2_Tertiary Salaries Survey" xfId="17381"/>
    <cellStyle name="RowTitles-Detail 2 2 4 6 3" xfId="17382"/>
    <cellStyle name="RowTitles-Detail 2 2 4 6 3 2" xfId="17383"/>
    <cellStyle name="RowTitles-Detail 2 2 4 6 3 2 2" xfId="17384"/>
    <cellStyle name="RowTitles-Detail 2 2 4 6 3 2_Tertiary Salaries Survey" xfId="17385"/>
    <cellStyle name="RowTitles-Detail 2 2 4 6 3 3" xfId="17386"/>
    <cellStyle name="RowTitles-Detail 2 2 4 6 3_Tertiary Salaries Survey" xfId="17387"/>
    <cellStyle name="RowTitles-Detail 2 2 4 6 4" xfId="17388"/>
    <cellStyle name="RowTitles-Detail 2 2 4 6 4 2" xfId="17389"/>
    <cellStyle name="RowTitles-Detail 2 2 4 6 4_Tertiary Salaries Survey" xfId="17390"/>
    <cellStyle name="RowTitles-Detail 2 2 4 6 5" xfId="17391"/>
    <cellStyle name="RowTitles-Detail 2 2 4 6_Tertiary Salaries Survey" xfId="17392"/>
    <cellStyle name="RowTitles-Detail 2 2 4 7" xfId="17393"/>
    <cellStyle name="RowTitles-Detail 2 2 4 7 2" xfId="17394"/>
    <cellStyle name="RowTitles-Detail 2 2 4 7 2 2" xfId="17395"/>
    <cellStyle name="RowTitles-Detail 2 2 4 7 2_Tertiary Salaries Survey" xfId="17396"/>
    <cellStyle name="RowTitles-Detail 2 2 4 7 3" xfId="17397"/>
    <cellStyle name="RowTitles-Detail 2 2 4 7_Tertiary Salaries Survey" xfId="17398"/>
    <cellStyle name="RowTitles-Detail 2 2 4 8" xfId="17399"/>
    <cellStyle name="RowTitles-Detail 2 2 4 9" xfId="17400"/>
    <cellStyle name="RowTitles-Detail 2 2 4_STUD aligned by INSTIT" xfId="17401"/>
    <cellStyle name="RowTitles-Detail 2 2 5" xfId="17402"/>
    <cellStyle name="RowTitles-Detail 2 2 5 2" xfId="17403"/>
    <cellStyle name="RowTitles-Detail 2 2 5 2 2" xfId="17404"/>
    <cellStyle name="RowTitles-Detail 2 2 5 2 2 2" xfId="17405"/>
    <cellStyle name="RowTitles-Detail 2 2 5 2 2 2 2" xfId="17406"/>
    <cellStyle name="RowTitles-Detail 2 2 5 2 2 2_Tertiary Salaries Survey" xfId="17407"/>
    <cellStyle name="RowTitles-Detail 2 2 5 2 2 3" xfId="17408"/>
    <cellStyle name="RowTitles-Detail 2 2 5 2 2_Tertiary Salaries Survey" xfId="17409"/>
    <cellStyle name="RowTitles-Detail 2 2 5 2 3" xfId="17410"/>
    <cellStyle name="RowTitles-Detail 2 2 5 2 3 2" xfId="17411"/>
    <cellStyle name="RowTitles-Detail 2 2 5 2 3 2 2" xfId="17412"/>
    <cellStyle name="RowTitles-Detail 2 2 5 2 3 2_Tertiary Salaries Survey" xfId="17413"/>
    <cellStyle name="RowTitles-Detail 2 2 5 2 3 3" xfId="17414"/>
    <cellStyle name="RowTitles-Detail 2 2 5 2 3_Tertiary Salaries Survey" xfId="17415"/>
    <cellStyle name="RowTitles-Detail 2 2 5 2 4" xfId="17416"/>
    <cellStyle name="RowTitles-Detail 2 2 5 2 5" xfId="17417"/>
    <cellStyle name="RowTitles-Detail 2 2 5 2 5 2" xfId="17418"/>
    <cellStyle name="RowTitles-Detail 2 2 5 2 5_Tertiary Salaries Survey" xfId="17419"/>
    <cellStyle name="RowTitles-Detail 2 2 5 2 6" xfId="17420"/>
    <cellStyle name="RowTitles-Detail 2 2 5 2_Tertiary Salaries Survey" xfId="17421"/>
    <cellStyle name="RowTitles-Detail 2 2 5 3" xfId="17422"/>
    <cellStyle name="RowTitles-Detail 2 2 5 3 2" xfId="17423"/>
    <cellStyle name="RowTitles-Detail 2 2 5 3 2 2" xfId="17424"/>
    <cellStyle name="RowTitles-Detail 2 2 5 3 2 2 2" xfId="17425"/>
    <cellStyle name="RowTitles-Detail 2 2 5 3 2 2_Tertiary Salaries Survey" xfId="17426"/>
    <cellStyle name="RowTitles-Detail 2 2 5 3 2 3" xfId="17427"/>
    <cellStyle name="RowTitles-Detail 2 2 5 3 2_Tertiary Salaries Survey" xfId="17428"/>
    <cellStyle name="RowTitles-Detail 2 2 5 3 3" xfId="17429"/>
    <cellStyle name="RowTitles-Detail 2 2 5 3 3 2" xfId="17430"/>
    <cellStyle name="RowTitles-Detail 2 2 5 3 3 2 2" xfId="17431"/>
    <cellStyle name="RowTitles-Detail 2 2 5 3 3 2_Tertiary Salaries Survey" xfId="17432"/>
    <cellStyle name="RowTitles-Detail 2 2 5 3 3 3" xfId="17433"/>
    <cellStyle name="RowTitles-Detail 2 2 5 3 3_Tertiary Salaries Survey" xfId="17434"/>
    <cellStyle name="RowTitles-Detail 2 2 5 3 4" xfId="17435"/>
    <cellStyle name="RowTitles-Detail 2 2 5 3 5" xfId="17436"/>
    <cellStyle name="RowTitles-Detail 2 2 5 3_Tertiary Salaries Survey" xfId="17437"/>
    <cellStyle name="RowTitles-Detail 2 2 5 4" xfId="17438"/>
    <cellStyle name="RowTitles-Detail 2 2 5 4 2" xfId="17439"/>
    <cellStyle name="RowTitles-Detail 2 2 5 4 2 2" xfId="17440"/>
    <cellStyle name="RowTitles-Detail 2 2 5 4 2 2 2" xfId="17441"/>
    <cellStyle name="RowTitles-Detail 2 2 5 4 2 2_Tertiary Salaries Survey" xfId="17442"/>
    <cellStyle name="RowTitles-Detail 2 2 5 4 2 3" xfId="17443"/>
    <cellStyle name="RowTitles-Detail 2 2 5 4 2_Tertiary Salaries Survey" xfId="17444"/>
    <cellStyle name="RowTitles-Detail 2 2 5 4 3" xfId="17445"/>
    <cellStyle name="RowTitles-Detail 2 2 5 4 3 2" xfId="17446"/>
    <cellStyle name="RowTitles-Detail 2 2 5 4 3 2 2" xfId="17447"/>
    <cellStyle name="RowTitles-Detail 2 2 5 4 3 2_Tertiary Salaries Survey" xfId="17448"/>
    <cellStyle name="RowTitles-Detail 2 2 5 4 3 3" xfId="17449"/>
    <cellStyle name="RowTitles-Detail 2 2 5 4 3_Tertiary Salaries Survey" xfId="17450"/>
    <cellStyle name="RowTitles-Detail 2 2 5 4 4" xfId="17451"/>
    <cellStyle name="RowTitles-Detail 2 2 5 4 4 2" xfId="17452"/>
    <cellStyle name="RowTitles-Detail 2 2 5 4 4_Tertiary Salaries Survey" xfId="17453"/>
    <cellStyle name="RowTitles-Detail 2 2 5 4 5" xfId="17454"/>
    <cellStyle name="RowTitles-Detail 2 2 5 4_Tertiary Salaries Survey" xfId="17455"/>
    <cellStyle name="RowTitles-Detail 2 2 5 5" xfId="17456"/>
    <cellStyle name="RowTitles-Detail 2 2 5 5 2" xfId="17457"/>
    <cellStyle name="RowTitles-Detail 2 2 5 5 2 2" xfId="17458"/>
    <cellStyle name="RowTitles-Detail 2 2 5 5 2 2 2" xfId="17459"/>
    <cellStyle name="RowTitles-Detail 2 2 5 5 2 2_Tertiary Salaries Survey" xfId="17460"/>
    <cellStyle name="RowTitles-Detail 2 2 5 5 2 3" xfId="17461"/>
    <cellStyle name="RowTitles-Detail 2 2 5 5 2_Tertiary Salaries Survey" xfId="17462"/>
    <cellStyle name="RowTitles-Detail 2 2 5 5 3" xfId="17463"/>
    <cellStyle name="RowTitles-Detail 2 2 5 5 3 2" xfId="17464"/>
    <cellStyle name="RowTitles-Detail 2 2 5 5 3 2 2" xfId="17465"/>
    <cellStyle name="RowTitles-Detail 2 2 5 5 3 2_Tertiary Salaries Survey" xfId="17466"/>
    <cellStyle name="RowTitles-Detail 2 2 5 5 3 3" xfId="17467"/>
    <cellStyle name="RowTitles-Detail 2 2 5 5 3_Tertiary Salaries Survey" xfId="17468"/>
    <cellStyle name="RowTitles-Detail 2 2 5 5 4" xfId="17469"/>
    <cellStyle name="RowTitles-Detail 2 2 5 5 4 2" xfId="17470"/>
    <cellStyle name="RowTitles-Detail 2 2 5 5 4_Tertiary Salaries Survey" xfId="17471"/>
    <cellStyle name="RowTitles-Detail 2 2 5 5 5" xfId="17472"/>
    <cellStyle name="RowTitles-Detail 2 2 5 5_Tertiary Salaries Survey" xfId="17473"/>
    <cellStyle name="RowTitles-Detail 2 2 5 6" xfId="17474"/>
    <cellStyle name="RowTitles-Detail 2 2 5 6 2" xfId="17475"/>
    <cellStyle name="RowTitles-Detail 2 2 5 6 2 2" xfId="17476"/>
    <cellStyle name="RowTitles-Detail 2 2 5 6 2 2 2" xfId="17477"/>
    <cellStyle name="RowTitles-Detail 2 2 5 6 2 2_Tertiary Salaries Survey" xfId="17478"/>
    <cellStyle name="RowTitles-Detail 2 2 5 6 2 3" xfId="17479"/>
    <cellStyle name="RowTitles-Detail 2 2 5 6 2_Tertiary Salaries Survey" xfId="17480"/>
    <cellStyle name="RowTitles-Detail 2 2 5 6 3" xfId="17481"/>
    <cellStyle name="RowTitles-Detail 2 2 5 6 3 2" xfId="17482"/>
    <cellStyle name="RowTitles-Detail 2 2 5 6 3 2 2" xfId="17483"/>
    <cellStyle name="RowTitles-Detail 2 2 5 6 3 2_Tertiary Salaries Survey" xfId="17484"/>
    <cellStyle name="RowTitles-Detail 2 2 5 6 3 3" xfId="17485"/>
    <cellStyle name="RowTitles-Detail 2 2 5 6 3_Tertiary Salaries Survey" xfId="17486"/>
    <cellStyle name="RowTitles-Detail 2 2 5 6 4" xfId="17487"/>
    <cellStyle name="RowTitles-Detail 2 2 5 6 4 2" xfId="17488"/>
    <cellStyle name="RowTitles-Detail 2 2 5 6 4_Tertiary Salaries Survey" xfId="17489"/>
    <cellStyle name="RowTitles-Detail 2 2 5 6 5" xfId="17490"/>
    <cellStyle name="RowTitles-Detail 2 2 5 6_Tertiary Salaries Survey" xfId="17491"/>
    <cellStyle name="RowTitles-Detail 2 2 5 7" xfId="17492"/>
    <cellStyle name="RowTitles-Detail 2 2 5 7 2" xfId="17493"/>
    <cellStyle name="RowTitles-Detail 2 2 5 7 2 2" xfId="17494"/>
    <cellStyle name="RowTitles-Detail 2 2 5 7 2_Tertiary Salaries Survey" xfId="17495"/>
    <cellStyle name="RowTitles-Detail 2 2 5 7 3" xfId="17496"/>
    <cellStyle name="RowTitles-Detail 2 2 5 7_Tertiary Salaries Survey" xfId="17497"/>
    <cellStyle name="RowTitles-Detail 2 2 5 8" xfId="17498"/>
    <cellStyle name="RowTitles-Detail 2 2 5 8 2" xfId="17499"/>
    <cellStyle name="RowTitles-Detail 2 2 5 8 2 2" xfId="17500"/>
    <cellStyle name="RowTitles-Detail 2 2 5 8 2_Tertiary Salaries Survey" xfId="17501"/>
    <cellStyle name="RowTitles-Detail 2 2 5 8 3" xfId="17502"/>
    <cellStyle name="RowTitles-Detail 2 2 5 8_Tertiary Salaries Survey" xfId="17503"/>
    <cellStyle name="RowTitles-Detail 2 2 5 9" xfId="17504"/>
    <cellStyle name="RowTitles-Detail 2 2 5_STUD aligned by INSTIT" xfId="17505"/>
    <cellStyle name="RowTitles-Detail 2 2 6" xfId="17506"/>
    <cellStyle name="RowTitles-Detail 2 2 6 2" xfId="17507"/>
    <cellStyle name="RowTitles-Detail 2 2 6 2 2" xfId="17508"/>
    <cellStyle name="RowTitles-Detail 2 2 6 2 2 2" xfId="17509"/>
    <cellStyle name="RowTitles-Detail 2 2 6 2 2 2 2" xfId="17510"/>
    <cellStyle name="RowTitles-Detail 2 2 6 2 2 2_Tertiary Salaries Survey" xfId="17511"/>
    <cellStyle name="RowTitles-Detail 2 2 6 2 2 3" xfId="17512"/>
    <cellStyle name="RowTitles-Detail 2 2 6 2 2_Tertiary Salaries Survey" xfId="17513"/>
    <cellStyle name="RowTitles-Detail 2 2 6 2 3" xfId="17514"/>
    <cellStyle name="RowTitles-Detail 2 2 6 2 3 2" xfId="17515"/>
    <cellStyle name="RowTitles-Detail 2 2 6 2 3 2 2" xfId="17516"/>
    <cellStyle name="RowTitles-Detail 2 2 6 2 3 2_Tertiary Salaries Survey" xfId="17517"/>
    <cellStyle name="RowTitles-Detail 2 2 6 2 3 3" xfId="17518"/>
    <cellStyle name="RowTitles-Detail 2 2 6 2 3_Tertiary Salaries Survey" xfId="17519"/>
    <cellStyle name="RowTitles-Detail 2 2 6 2 4" xfId="17520"/>
    <cellStyle name="RowTitles-Detail 2 2 6 2 5" xfId="17521"/>
    <cellStyle name="RowTitles-Detail 2 2 6 2 5 2" xfId="17522"/>
    <cellStyle name="RowTitles-Detail 2 2 6 2 5_Tertiary Salaries Survey" xfId="17523"/>
    <cellStyle name="RowTitles-Detail 2 2 6 2 6" xfId="17524"/>
    <cellStyle name="RowTitles-Detail 2 2 6 2_Tertiary Salaries Survey" xfId="17525"/>
    <cellStyle name="RowTitles-Detail 2 2 6 3" xfId="17526"/>
    <cellStyle name="RowTitles-Detail 2 2 6 3 2" xfId="17527"/>
    <cellStyle name="RowTitles-Detail 2 2 6 3 2 2" xfId="17528"/>
    <cellStyle name="RowTitles-Detail 2 2 6 3 2 2 2" xfId="17529"/>
    <cellStyle name="RowTitles-Detail 2 2 6 3 2 2_Tertiary Salaries Survey" xfId="17530"/>
    <cellStyle name="RowTitles-Detail 2 2 6 3 2 3" xfId="17531"/>
    <cellStyle name="RowTitles-Detail 2 2 6 3 2_Tertiary Salaries Survey" xfId="17532"/>
    <cellStyle name="RowTitles-Detail 2 2 6 3 3" xfId="17533"/>
    <cellStyle name="RowTitles-Detail 2 2 6 3 3 2" xfId="17534"/>
    <cellStyle name="RowTitles-Detail 2 2 6 3 3 2 2" xfId="17535"/>
    <cellStyle name="RowTitles-Detail 2 2 6 3 3 2_Tertiary Salaries Survey" xfId="17536"/>
    <cellStyle name="RowTitles-Detail 2 2 6 3 3 3" xfId="17537"/>
    <cellStyle name="RowTitles-Detail 2 2 6 3 3_Tertiary Salaries Survey" xfId="17538"/>
    <cellStyle name="RowTitles-Detail 2 2 6 3 4" xfId="17539"/>
    <cellStyle name="RowTitles-Detail 2 2 6 3 5" xfId="17540"/>
    <cellStyle name="RowTitles-Detail 2 2 6 3_Tertiary Salaries Survey" xfId="17541"/>
    <cellStyle name="RowTitles-Detail 2 2 6 4" xfId="17542"/>
    <cellStyle name="RowTitles-Detail 2 2 6 4 2" xfId="17543"/>
    <cellStyle name="RowTitles-Detail 2 2 6 4 2 2" xfId="17544"/>
    <cellStyle name="RowTitles-Detail 2 2 6 4 2 2 2" xfId="17545"/>
    <cellStyle name="RowTitles-Detail 2 2 6 4 2 2_Tertiary Salaries Survey" xfId="17546"/>
    <cellStyle name="RowTitles-Detail 2 2 6 4 2 3" xfId="17547"/>
    <cellStyle name="RowTitles-Detail 2 2 6 4 2_Tertiary Salaries Survey" xfId="17548"/>
    <cellStyle name="RowTitles-Detail 2 2 6 4 3" xfId="17549"/>
    <cellStyle name="RowTitles-Detail 2 2 6 4 3 2" xfId="17550"/>
    <cellStyle name="RowTitles-Detail 2 2 6 4 3 2 2" xfId="17551"/>
    <cellStyle name="RowTitles-Detail 2 2 6 4 3 2_Tertiary Salaries Survey" xfId="17552"/>
    <cellStyle name="RowTitles-Detail 2 2 6 4 3 3" xfId="17553"/>
    <cellStyle name="RowTitles-Detail 2 2 6 4 3_Tertiary Salaries Survey" xfId="17554"/>
    <cellStyle name="RowTitles-Detail 2 2 6 4 4" xfId="17555"/>
    <cellStyle name="RowTitles-Detail 2 2 6 4 5" xfId="17556"/>
    <cellStyle name="RowTitles-Detail 2 2 6 4 5 2" xfId="17557"/>
    <cellStyle name="RowTitles-Detail 2 2 6 4 5_Tertiary Salaries Survey" xfId="17558"/>
    <cellStyle name="RowTitles-Detail 2 2 6 4 6" xfId="17559"/>
    <cellStyle name="RowTitles-Detail 2 2 6 4_Tertiary Salaries Survey" xfId="17560"/>
    <cellStyle name="RowTitles-Detail 2 2 6 5" xfId="17561"/>
    <cellStyle name="RowTitles-Detail 2 2 6 5 2" xfId="17562"/>
    <cellStyle name="RowTitles-Detail 2 2 6 5 2 2" xfId="17563"/>
    <cellStyle name="RowTitles-Detail 2 2 6 5 2 2 2" xfId="17564"/>
    <cellStyle name="RowTitles-Detail 2 2 6 5 2 2_Tertiary Salaries Survey" xfId="17565"/>
    <cellStyle name="RowTitles-Detail 2 2 6 5 2 3" xfId="17566"/>
    <cellStyle name="RowTitles-Detail 2 2 6 5 2_Tertiary Salaries Survey" xfId="17567"/>
    <cellStyle name="RowTitles-Detail 2 2 6 5 3" xfId="17568"/>
    <cellStyle name="RowTitles-Detail 2 2 6 5 3 2" xfId="17569"/>
    <cellStyle name="RowTitles-Detail 2 2 6 5 3 2 2" xfId="17570"/>
    <cellStyle name="RowTitles-Detail 2 2 6 5 3 2_Tertiary Salaries Survey" xfId="17571"/>
    <cellStyle name="RowTitles-Detail 2 2 6 5 3 3" xfId="17572"/>
    <cellStyle name="RowTitles-Detail 2 2 6 5 3_Tertiary Salaries Survey" xfId="17573"/>
    <cellStyle name="RowTitles-Detail 2 2 6 5 4" xfId="17574"/>
    <cellStyle name="RowTitles-Detail 2 2 6 5 4 2" xfId="17575"/>
    <cellStyle name="RowTitles-Detail 2 2 6 5 4_Tertiary Salaries Survey" xfId="17576"/>
    <cellStyle name="RowTitles-Detail 2 2 6 5 5" xfId="17577"/>
    <cellStyle name="RowTitles-Detail 2 2 6 5_Tertiary Salaries Survey" xfId="17578"/>
    <cellStyle name="RowTitles-Detail 2 2 6 6" xfId="17579"/>
    <cellStyle name="RowTitles-Detail 2 2 6 6 2" xfId="17580"/>
    <cellStyle name="RowTitles-Detail 2 2 6 6 2 2" xfId="17581"/>
    <cellStyle name="RowTitles-Detail 2 2 6 6 2 2 2" xfId="17582"/>
    <cellStyle name="RowTitles-Detail 2 2 6 6 2 2_Tertiary Salaries Survey" xfId="17583"/>
    <cellStyle name="RowTitles-Detail 2 2 6 6 2 3" xfId="17584"/>
    <cellStyle name="RowTitles-Detail 2 2 6 6 2_Tertiary Salaries Survey" xfId="17585"/>
    <cellStyle name="RowTitles-Detail 2 2 6 6 3" xfId="17586"/>
    <cellStyle name="RowTitles-Detail 2 2 6 6 3 2" xfId="17587"/>
    <cellStyle name="RowTitles-Detail 2 2 6 6 3 2 2" xfId="17588"/>
    <cellStyle name="RowTitles-Detail 2 2 6 6 3 2_Tertiary Salaries Survey" xfId="17589"/>
    <cellStyle name="RowTitles-Detail 2 2 6 6 3 3" xfId="17590"/>
    <cellStyle name="RowTitles-Detail 2 2 6 6 3_Tertiary Salaries Survey" xfId="17591"/>
    <cellStyle name="RowTitles-Detail 2 2 6 6 4" xfId="17592"/>
    <cellStyle name="RowTitles-Detail 2 2 6 6 4 2" xfId="17593"/>
    <cellStyle name="RowTitles-Detail 2 2 6 6 4_Tertiary Salaries Survey" xfId="17594"/>
    <cellStyle name="RowTitles-Detail 2 2 6 6 5" xfId="17595"/>
    <cellStyle name="RowTitles-Detail 2 2 6 6_Tertiary Salaries Survey" xfId="17596"/>
    <cellStyle name="RowTitles-Detail 2 2 6 7" xfId="17597"/>
    <cellStyle name="RowTitles-Detail 2 2 6 7 2" xfId="17598"/>
    <cellStyle name="RowTitles-Detail 2 2 6 7 2 2" xfId="17599"/>
    <cellStyle name="RowTitles-Detail 2 2 6 7 2_Tertiary Salaries Survey" xfId="17600"/>
    <cellStyle name="RowTitles-Detail 2 2 6 7 3" xfId="17601"/>
    <cellStyle name="RowTitles-Detail 2 2 6 7_Tertiary Salaries Survey" xfId="17602"/>
    <cellStyle name="RowTitles-Detail 2 2 6 8" xfId="17603"/>
    <cellStyle name="RowTitles-Detail 2 2 6 9" xfId="17604"/>
    <cellStyle name="RowTitles-Detail 2 2 6_STUD aligned by INSTIT" xfId="17605"/>
    <cellStyle name="RowTitles-Detail 2 2 7" xfId="17606"/>
    <cellStyle name="RowTitles-Detail 2 2 7 2" xfId="17607"/>
    <cellStyle name="RowTitles-Detail 2 2 7 2 2" xfId="17608"/>
    <cellStyle name="RowTitles-Detail 2 2 7 2 2 2" xfId="17609"/>
    <cellStyle name="RowTitles-Detail 2 2 7 2 2_Tertiary Salaries Survey" xfId="17610"/>
    <cellStyle name="RowTitles-Detail 2 2 7 2 3" xfId="17611"/>
    <cellStyle name="RowTitles-Detail 2 2 7 2_Tertiary Salaries Survey" xfId="17612"/>
    <cellStyle name="RowTitles-Detail 2 2 7 3" xfId="17613"/>
    <cellStyle name="RowTitles-Detail 2 2 7 3 2" xfId="17614"/>
    <cellStyle name="RowTitles-Detail 2 2 7 3 2 2" xfId="17615"/>
    <cellStyle name="RowTitles-Detail 2 2 7 3 2_Tertiary Salaries Survey" xfId="17616"/>
    <cellStyle name="RowTitles-Detail 2 2 7 3 3" xfId="17617"/>
    <cellStyle name="RowTitles-Detail 2 2 7 3_Tertiary Salaries Survey" xfId="17618"/>
    <cellStyle name="RowTitles-Detail 2 2 7 4" xfId="17619"/>
    <cellStyle name="RowTitles-Detail 2 2 7 5" xfId="17620"/>
    <cellStyle name="RowTitles-Detail 2 2 7 5 2" xfId="17621"/>
    <cellStyle name="RowTitles-Detail 2 2 7 5_Tertiary Salaries Survey" xfId="17622"/>
    <cellStyle name="RowTitles-Detail 2 2 7 6" xfId="17623"/>
    <cellStyle name="RowTitles-Detail 2 2 7_Tertiary Salaries Survey" xfId="17624"/>
    <cellStyle name="RowTitles-Detail 2 2 8" xfId="17625"/>
    <cellStyle name="RowTitles-Detail 2 2 8 2" xfId="17626"/>
    <cellStyle name="RowTitles-Detail 2 2 8 2 2" xfId="17627"/>
    <cellStyle name="RowTitles-Detail 2 2 8 2 2 2" xfId="17628"/>
    <cellStyle name="RowTitles-Detail 2 2 8 2 2_Tertiary Salaries Survey" xfId="17629"/>
    <cellStyle name="RowTitles-Detail 2 2 8 2 3" xfId="17630"/>
    <cellStyle name="RowTitles-Detail 2 2 8 2_Tertiary Salaries Survey" xfId="17631"/>
    <cellStyle name="RowTitles-Detail 2 2 8 3" xfId="17632"/>
    <cellStyle name="RowTitles-Detail 2 2 8 3 2" xfId="17633"/>
    <cellStyle name="RowTitles-Detail 2 2 8 3 2 2" xfId="17634"/>
    <cellStyle name="RowTitles-Detail 2 2 8 3 2_Tertiary Salaries Survey" xfId="17635"/>
    <cellStyle name="RowTitles-Detail 2 2 8 3 3" xfId="17636"/>
    <cellStyle name="RowTitles-Detail 2 2 8 3_Tertiary Salaries Survey" xfId="17637"/>
    <cellStyle name="RowTitles-Detail 2 2 8 4" xfId="17638"/>
    <cellStyle name="RowTitles-Detail 2 2 8 5" xfId="17639"/>
    <cellStyle name="RowTitles-Detail 2 2 8_Tertiary Salaries Survey" xfId="17640"/>
    <cellStyle name="RowTitles-Detail 2 2 9" xfId="17641"/>
    <cellStyle name="RowTitles-Detail 2 2 9 2" xfId="17642"/>
    <cellStyle name="RowTitles-Detail 2 2 9 2 2" xfId="17643"/>
    <cellStyle name="RowTitles-Detail 2 2 9 2 2 2" xfId="17644"/>
    <cellStyle name="RowTitles-Detail 2 2 9 2 2_Tertiary Salaries Survey" xfId="17645"/>
    <cellStyle name="RowTitles-Detail 2 2 9 2 3" xfId="17646"/>
    <cellStyle name="RowTitles-Detail 2 2 9 2_Tertiary Salaries Survey" xfId="17647"/>
    <cellStyle name="RowTitles-Detail 2 2 9 3" xfId="17648"/>
    <cellStyle name="RowTitles-Detail 2 2 9 3 2" xfId="17649"/>
    <cellStyle name="RowTitles-Detail 2 2 9 3 2 2" xfId="17650"/>
    <cellStyle name="RowTitles-Detail 2 2 9 3 2_Tertiary Salaries Survey" xfId="17651"/>
    <cellStyle name="RowTitles-Detail 2 2 9 3 3" xfId="17652"/>
    <cellStyle name="RowTitles-Detail 2 2 9 3_Tertiary Salaries Survey" xfId="17653"/>
    <cellStyle name="RowTitles-Detail 2 2 9 4" xfId="17654"/>
    <cellStyle name="RowTitles-Detail 2 2 9 5" xfId="17655"/>
    <cellStyle name="RowTitles-Detail 2 2 9 5 2" xfId="17656"/>
    <cellStyle name="RowTitles-Detail 2 2 9 5_Tertiary Salaries Survey" xfId="17657"/>
    <cellStyle name="RowTitles-Detail 2 2 9 6" xfId="17658"/>
    <cellStyle name="RowTitles-Detail 2 2 9_Tertiary Salaries Survey" xfId="17659"/>
    <cellStyle name="RowTitles-Detail 2 2_STUD aligned by INSTIT" xfId="17660"/>
    <cellStyle name="RowTitles-Detail 2 3" xfId="17661"/>
    <cellStyle name="RowTitles-Detail 2 3 10" xfId="17662"/>
    <cellStyle name="RowTitles-Detail 2 3 10 2" xfId="17663"/>
    <cellStyle name="RowTitles-Detail 2 3 10 2 2" xfId="17664"/>
    <cellStyle name="RowTitles-Detail 2 3 10 2 2 2" xfId="17665"/>
    <cellStyle name="RowTitles-Detail 2 3 10 2 2_Tertiary Salaries Survey" xfId="17666"/>
    <cellStyle name="RowTitles-Detail 2 3 10 2 3" xfId="17667"/>
    <cellStyle name="RowTitles-Detail 2 3 10 2_Tertiary Salaries Survey" xfId="17668"/>
    <cellStyle name="RowTitles-Detail 2 3 10 3" xfId="17669"/>
    <cellStyle name="RowTitles-Detail 2 3 10 3 2" xfId="17670"/>
    <cellStyle name="RowTitles-Detail 2 3 10 3 2 2" xfId="17671"/>
    <cellStyle name="RowTitles-Detail 2 3 10 3 2_Tertiary Salaries Survey" xfId="17672"/>
    <cellStyle name="RowTitles-Detail 2 3 10 3 3" xfId="17673"/>
    <cellStyle name="RowTitles-Detail 2 3 10 3_Tertiary Salaries Survey" xfId="17674"/>
    <cellStyle name="RowTitles-Detail 2 3 10 4" xfId="17675"/>
    <cellStyle name="RowTitles-Detail 2 3 10 4 2" xfId="17676"/>
    <cellStyle name="RowTitles-Detail 2 3 10 4_Tertiary Salaries Survey" xfId="17677"/>
    <cellStyle name="RowTitles-Detail 2 3 10 5" xfId="17678"/>
    <cellStyle name="RowTitles-Detail 2 3 10_Tertiary Salaries Survey" xfId="17679"/>
    <cellStyle name="RowTitles-Detail 2 3 11" xfId="17680"/>
    <cellStyle name="RowTitles-Detail 2 3 11 2" xfId="17681"/>
    <cellStyle name="RowTitles-Detail 2 3 11 2 2" xfId="17682"/>
    <cellStyle name="RowTitles-Detail 2 3 11 2 2 2" xfId="17683"/>
    <cellStyle name="RowTitles-Detail 2 3 11 2 2_Tertiary Salaries Survey" xfId="17684"/>
    <cellStyle name="RowTitles-Detail 2 3 11 2 3" xfId="17685"/>
    <cellStyle name="RowTitles-Detail 2 3 11 2_Tertiary Salaries Survey" xfId="17686"/>
    <cellStyle name="RowTitles-Detail 2 3 11 3" xfId="17687"/>
    <cellStyle name="RowTitles-Detail 2 3 11 3 2" xfId="17688"/>
    <cellStyle name="RowTitles-Detail 2 3 11 3 2 2" xfId="17689"/>
    <cellStyle name="RowTitles-Detail 2 3 11 3 2_Tertiary Salaries Survey" xfId="17690"/>
    <cellStyle name="RowTitles-Detail 2 3 11 3 3" xfId="17691"/>
    <cellStyle name="RowTitles-Detail 2 3 11 3_Tertiary Salaries Survey" xfId="17692"/>
    <cellStyle name="RowTitles-Detail 2 3 11 4" xfId="17693"/>
    <cellStyle name="RowTitles-Detail 2 3 11 4 2" xfId="17694"/>
    <cellStyle name="RowTitles-Detail 2 3 11 4_Tertiary Salaries Survey" xfId="17695"/>
    <cellStyle name="RowTitles-Detail 2 3 11 5" xfId="17696"/>
    <cellStyle name="RowTitles-Detail 2 3 11_Tertiary Salaries Survey" xfId="17697"/>
    <cellStyle name="RowTitles-Detail 2 3 12" xfId="17698"/>
    <cellStyle name="RowTitles-Detail 2 3 12 2" xfId="17699"/>
    <cellStyle name="RowTitles-Detail 2 3 12 2 2" xfId="17700"/>
    <cellStyle name="RowTitles-Detail 2 3 12 2_Tertiary Salaries Survey" xfId="17701"/>
    <cellStyle name="RowTitles-Detail 2 3 12 3" xfId="17702"/>
    <cellStyle name="RowTitles-Detail 2 3 12_Tertiary Salaries Survey" xfId="17703"/>
    <cellStyle name="RowTitles-Detail 2 3 13" xfId="17704"/>
    <cellStyle name="RowTitles-Detail 2 3 14" xfId="17705"/>
    <cellStyle name="RowTitles-Detail 2 3 15" xfId="17706"/>
    <cellStyle name="RowTitles-Detail 2 3 2" xfId="17707"/>
    <cellStyle name="RowTitles-Detail 2 3 2 10" xfId="17708"/>
    <cellStyle name="RowTitles-Detail 2 3 2 10 2" xfId="17709"/>
    <cellStyle name="RowTitles-Detail 2 3 2 10 2 2" xfId="17710"/>
    <cellStyle name="RowTitles-Detail 2 3 2 10 2 2 2" xfId="17711"/>
    <cellStyle name="RowTitles-Detail 2 3 2 10 2 2_Tertiary Salaries Survey" xfId="17712"/>
    <cellStyle name="RowTitles-Detail 2 3 2 10 2 3" xfId="17713"/>
    <cellStyle name="RowTitles-Detail 2 3 2 10 2_Tertiary Salaries Survey" xfId="17714"/>
    <cellStyle name="RowTitles-Detail 2 3 2 10 3" xfId="17715"/>
    <cellStyle name="RowTitles-Detail 2 3 2 10 3 2" xfId="17716"/>
    <cellStyle name="RowTitles-Detail 2 3 2 10 3 2 2" xfId="17717"/>
    <cellStyle name="RowTitles-Detail 2 3 2 10 3 2_Tertiary Salaries Survey" xfId="17718"/>
    <cellStyle name="RowTitles-Detail 2 3 2 10 3 3" xfId="17719"/>
    <cellStyle name="RowTitles-Detail 2 3 2 10 3_Tertiary Salaries Survey" xfId="17720"/>
    <cellStyle name="RowTitles-Detail 2 3 2 10 4" xfId="17721"/>
    <cellStyle name="RowTitles-Detail 2 3 2 10 4 2" xfId="17722"/>
    <cellStyle name="RowTitles-Detail 2 3 2 10 4_Tertiary Salaries Survey" xfId="17723"/>
    <cellStyle name="RowTitles-Detail 2 3 2 10 5" xfId="17724"/>
    <cellStyle name="RowTitles-Detail 2 3 2 10_Tertiary Salaries Survey" xfId="17725"/>
    <cellStyle name="RowTitles-Detail 2 3 2 11" xfId="17726"/>
    <cellStyle name="RowTitles-Detail 2 3 2 11 2" xfId="17727"/>
    <cellStyle name="RowTitles-Detail 2 3 2 11 2 2" xfId="17728"/>
    <cellStyle name="RowTitles-Detail 2 3 2 11 2_Tertiary Salaries Survey" xfId="17729"/>
    <cellStyle name="RowTitles-Detail 2 3 2 11 3" xfId="17730"/>
    <cellStyle name="RowTitles-Detail 2 3 2 11_Tertiary Salaries Survey" xfId="17731"/>
    <cellStyle name="RowTitles-Detail 2 3 2 12" xfId="17732"/>
    <cellStyle name="RowTitles-Detail 2 3 2 13" xfId="17733"/>
    <cellStyle name="RowTitles-Detail 2 3 2 2" xfId="17734"/>
    <cellStyle name="RowTitles-Detail 2 3 2 2 10" xfId="17735"/>
    <cellStyle name="RowTitles-Detail 2 3 2 2 10 2" xfId="17736"/>
    <cellStyle name="RowTitles-Detail 2 3 2 2 10 2 2" xfId="17737"/>
    <cellStyle name="RowTitles-Detail 2 3 2 2 10 2_Tertiary Salaries Survey" xfId="17738"/>
    <cellStyle name="RowTitles-Detail 2 3 2 2 10 3" xfId="17739"/>
    <cellStyle name="RowTitles-Detail 2 3 2 2 10_Tertiary Salaries Survey" xfId="17740"/>
    <cellStyle name="RowTitles-Detail 2 3 2 2 11" xfId="17741"/>
    <cellStyle name="RowTitles-Detail 2 3 2 2 12" xfId="17742"/>
    <cellStyle name="RowTitles-Detail 2 3 2 2 2" xfId="17743"/>
    <cellStyle name="RowTitles-Detail 2 3 2 2 2 2" xfId="17744"/>
    <cellStyle name="RowTitles-Detail 2 3 2 2 2 2 2" xfId="17745"/>
    <cellStyle name="RowTitles-Detail 2 3 2 2 2 2 2 2" xfId="17746"/>
    <cellStyle name="RowTitles-Detail 2 3 2 2 2 2 2 2 2" xfId="17747"/>
    <cellStyle name="RowTitles-Detail 2 3 2 2 2 2 2 2_Tertiary Salaries Survey" xfId="17748"/>
    <cellStyle name="RowTitles-Detail 2 3 2 2 2 2 2 3" xfId="17749"/>
    <cellStyle name="RowTitles-Detail 2 3 2 2 2 2 2_Tertiary Salaries Survey" xfId="17750"/>
    <cellStyle name="RowTitles-Detail 2 3 2 2 2 2 3" xfId="17751"/>
    <cellStyle name="RowTitles-Detail 2 3 2 2 2 2 3 2" xfId="17752"/>
    <cellStyle name="RowTitles-Detail 2 3 2 2 2 2 3 2 2" xfId="17753"/>
    <cellStyle name="RowTitles-Detail 2 3 2 2 2 2 3 2_Tertiary Salaries Survey" xfId="17754"/>
    <cellStyle name="RowTitles-Detail 2 3 2 2 2 2 3 3" xfId="17755"/>
    <cellStyle name="RowTitles-Detail 2 3 2 2 2 2 3_Tertiary Salaries Survey" xfId="17756"/>
    <cellStyle name="RowTitles-Detail 2 3 2 2 2 2 4" xfId="17757"/>
    <cellStyle name="RowTitles-Detail 2 3 2 2 2 2 5" xfId="17758"/>
    <cellStyle name="RowTitles-Detail 2 3 2 2 2 2_Tertiary Salaries Survey" xfId="17759"/>
    <cellStyle name="RowTitles-Detail 2 3 2 2 2 3" xfId="17760"/>
    <cellStyle name="RowTitles-Detail 2 3 2 2 2 3 2" xfId="17761"/>
    <cellStyle name="RowTitles-Detail 2 3 2 2 2 3 2 2" xfId="17762"/>
    <cellStyle name="RowTitles-Detail 2 3 2 2 2 3 2 2 2" xfId="17763"/>
    <cellStyle name="RowTitles-Detail 2 3 2 2 2 3 2 2_Tertiary Salaries Survey" xfId="17764"/>
    <cellStyle name="RowTitles-Detail 2 3 2 2 2 3 2 3" xfId="17765"/>
    <cellStyle name="RowTitles-Detail 2 3 2 2 2 3 2_Tertiary Salaries Survey" xfId="17766"/>
    <cellStyle name="RowTitles-Detail 2 3 2 2 2 3 3" xfId="17767"/>
    <cellStyle name="RowTitles-Detail 2 3 2 2 2 3 3 2" xfId="17768"/>
    <cellStyle name="RowTitles-Detail 2 3 2 2 2 3 3 2 2" xfId="17769"/>
    <cellStyle name="RowTitles-Detail 2 3 2 2 2 3 3 2_Tertiary Salaries Survey" xfId="17770"/>
    <cellStyle name="RowTitles-Detail 2 3 2 2 2 3 3 3" xfId="17771"/>
    <cellStyle name="RowTitles-Detail 2 3 2 2 2 3 3_Tertiary Salaries Survey" xfId="17772"/>
    <cellStyle name="RowTitles-Detail 2 3 2 2 2 3 4" xfId="17773"/>
    <cellStyle name="RowTitles-Detail 2 3 2 2 2 3 5" xfId="17774"/>
    <cellStyle name="RowTitles-Detail 2 3 2 2 2 3 5 2" xfId="17775"/>
    <cellStyle name="RowTitles-Detail 2 3 2 2 2 3 5_Tertiary Salaries Survey" xfId="17776"/>
    <cellStyle name="RowTitles-Detail 2 3 2 2 2 3 6" xfId="17777"/>
    <cellStyle name="RowTitles-Detail 2 3 2 2 2 3_Tertiary Salaries Survey" xfId="17778"/>
    <cellStyle name="RowTitles-Detail 2 3 2 2 2 4" xfId="17779"/>
    <cellStyle name="RowTitles-Detail 2 3 2 2 2 4 2" xfId="17780"/>
    <cellStyle name="RowTitles-Detail 2 3 2 2 2 4 2 2" xfId="17781"/>
    <cellStyle name="RowTitles-Detail 2 3 2 2 2 4 2 2 2" xfId="17782"/>
    <cellStyle name="RowTitles-Detail 2 3 2 2 2 4 2 2_Tertiary Salaries Survey" xfId="17783"/>
    <cellStyle name="RowTitles-Detail 2 3 2 2 2 4 2 3" xfId="17784"/>
    <cellStyle name="RowTitles-Detail 2 3 2 2 2 4 2_Tertiary Salaries Survey" xfId="17785"/>
    <cellStyle name="RowTitles-Detail 2 3 2 2 2 4 3" xfId="17786"/>
    <cellStyle name="RowTitles-Detail 2 3 2 2 2 4 3 2" xfId="17787"/>
    <cellStyle name="RowTitles-Detail 2 3 2 2 2 4 3 2 2" xfId="17788"/>
    <cellStyle name="RowTitles-Detail 2 3 2 2 2 4 3 2_Tertiary Salaries Survey" xfId="17789"/>
    <cellStyle name="RowTitles-Detail 2 3 2 2 2 4 3 3" xfId="17790"/>
    <cellStyle name="RowTitles-Detail 2 3 2 2 2 4 3_Tertiary Salaries Survey" xfId="17791"/>
    <cellStyle name="RowTitles-Detail 2 3 2 2 2 4 4" xfId="17792"/>
    <cellStyle name="RowTitles-Detail 2 3 2 2 2 4 4 2" xfId="17793"/>
    <cellStyle name="RowTitles-Detail 2 3 2 2 2 4 4_Tertiary Salaries Survey" xfId="17794"/>
    <cellStyle name="RowTitles-Detail 2 3 2 2 2 4 5" xfId="17795"/>
    <cellStyle name="RowTitles-Detail 2 3 2 2 2 4_Tertiary Salaries Survey" xfId="17796"/>
    <cellStyle name="RowTitles-Detail 2 3 2 2 2 5" xfId="17797"/>
    <cellStyle name="RowTitles-Detail 2 3 2 2 2 5 2" xfId="17798"/>
    <cellStyle name="RowTitles-Detail 2 3 2 2 2 5 2 2" xfId="17799"/>
    <cellStyle name="RowTitles-Detail 2 3 2 2 2 5 2 2 2" xfId="17800"/>
    <cellStyle name="RowTitles-Detail 2 3 2 2 2 5 2 2_Tertiary Salaries Survey" xfId="17801"/>
    <cellStyle name="RowTitles-Detail 2 3 2 2 2 5 2 3" xfId="17802"/>
    <cellStyle name="RowTitles-Detail 2 3 2 2 2 5 2_Tertiary Salaries Survey" xfId="17803"/>
    <cellStyle name="RowTitles-Detail 2 3 2 2 2 5 3" xfId="17804"/>
    <cellStyle name="RowTitles-Detail 2 3 2 2 2 5 3 2" xfId="17805"/>
    <cellStyle name="RowTitles-Detail 2 3 2 2 2 5 3 2 2" xfId="17806"/>
    <cellStyle name="RowTitles-Detail 2 3 2 2 2 5 3 2_Tertiary Salaries Survey" xfId="17807"/>
    <cellStyle name="RowTitles-Detail 2 3 2 2 2 5 3 3" xfId="17808"/>
    <cellStyle name="RowTitles-Detail 2 3 2 2 2 5 3_Tertiary Salaries Survey" xfId="17809"/>
    <cellStyle name="RowTitles-Detail 2 3 2 2 2 5 4" xfId="17810"/>
    <cellStyle name="RowTitles-Detail 2 3 2 2 2 5 4 2" xfId="17811"/>
    <cellStyle name="RowTitles-Detail 2 3 2 2 2 5 4_Tertiary Salaries Survey" xfId="17812"/>
    <cellStyle name="RowTitles-Detail 2 3 2 2 2 5 5" xfId="17813"/>
    <cellStyle name="RowTitles-Detail 2 3 2 2 2 5_Tertiary Salaries Survey" xfId="17814"/>
    <cellStyle name="RowTitles-Detail 2 3 2 2 2 6" xfId="17815"/>
    <cellStyle name="RowTitles-Detail 2 3 2 2 2 6 2" xfId="17816"/>
    <cellStyle name="RowTitles-Detail 2 3 2 2 2 6 2 2" xfId="17817"/>
    <cellStyle name="RowTitles-Detail 2 3 2 2 2 6 2 2 2" xfId="17818"/>
    <cellStyle name="RowTitles-Detail 2 3 2 2 2 6 2 2_Tertiary Salaries Survey" xfId="17819"/>
    <cellStyle name="RowTitles-Detail 2 3 2 2 2 6 2 3" xfId="17820"/>
    <cellStyle name="RowTitles-Detail 2 3 2 2 2 6 2_Tertiary Salaries Survey" xfId="17821"/>
    <cellStyle name="RowTitles-Detail 2 3 2 2 2 6 3" xfId="17822"/>
    <cellStyle name="RowTitles-Detail 2 3 2 2 2 6 3 2" xfId="17823"/>
    <cellStyle name="RowTitles-Detail 2 3 2 2 2 6 3 2 2" xfId="17824"/>
    <cellStyle name="RowTitles-Detail 2 3 2 2 2 6 3 2_Tertiary Salaries Survey" xfId="17825"/>
    <cellStyle name="RowTitles-Detail 2 3 2 2 2 6 3 3" xfId="17826"/>
    <cellStyle name="RowTitles-Detail 2 3 2 2 2 6 3_Tertiary Salaries Survey" xfId="17827"/>
    <cellStyle name="RowTitles-Detail 2 3 2 2 2 6 4" xfId="17828"/>
    <cellStyle name="RowTitles-Detail 2 3 2 2 2 6 4 2" xfId="17829"/>
    <cellStyle name="RowTitles-Detail 2 3 2 2 2 6 4_Tertiary Salaries Survey" xfId="17830"/>
    <cellStyle name="RowTitles-Detail 2 3 2 2 2 6 5" xfId="17831"/>
    <cellStyle name="RowTitles-Detail 2 3 2 2 2 6_Tertiary Salaries Survey" xfId="17832"/>
    <cellStyle name="RowTitles-Detail 2 3 2 2 2 7" xfId="17833"/>
    <cellStyle name="RowTitles-Detail 2 3 2 2 2 7 2" xfId="17834"/>
    <cellStyle name="RowTitles-Detail 2 3 2 2 2 7 2 2" xfId="17835"/>
    <cellStyle name="RowTitles-Detail 2 3 2 2 2 7 2_Tertiary Salaries Survey" xfId="17836"/>
    <cellStyle name="RowTitles-Detail 2 3 2 2 2 7 3" xfId="17837"/>
    <cellStyle name="RowTitles-Detail 2 3 2 2 2 7_Tertiary Salaries Survey" xfId="17838"/>
    <cellStyle name="RowTitles-Detail 2 3 2 2 2 8" xfId="17839"/>
    <cellStyle name="RowTitles-Detail 2 3 2 2 2 9" xfId="17840"/>
    <cellStyle name="RowTitles-Detail 2 3 2 2 2_STUD aligned by INSTIT" xfId="17841"/>
    <cellStyle name="RowTitles-Detail 2 3 2 2 3" xfId="17842"/>
    <cellStyle name="RowTitles-Detail 2 3 2 2 3 2" xfId="17843"/>
    <cellStyle name="RowTitles-Detail 2 3 2 2 3 2 2" xfId="17844"/>
    <cellStyle name="RowTitles-Detail 2 3 2 2 3 2 2 2" xfId="17845"/>
    <cellStyle name="RowTitles-Detail 2 3 2 2 3 2 2 2 2" xfId="17846"/>
    <cellStyle name="RowTitles-Detail 2 3 2 2 3 2 2 2_Tertiary Salaries Survey" xfId="17847"/>
    <cellStyle name="RowTitles-Detail 2 3 2 2 3 2 2 3" xfId="17848"/>
    <cellStyle name="RowTitles-Detail 2 3 2 2 3 2 2_Tertiary Salaries Survey" xfId="17849"/>
    <cellStyle name="RowTitles-Detail 2 3 2 2 3 2 3" xfId="17850"/>
    <cellStyle name="RowTitles-Detail 2 3 2 2 3 2 3 2" xfId="17851"/>
    <cellStyle name="RowTitles-Detail 2 3 2 2 3 2 3 2 2" xfId="17852"/>
    <cellStyle name="RowTitles-Detail 2 3 2 2 3 2 3 2_Tertiary Salaries Survey" xfId="17853"/>
    <cellStyle name="RowTitles-Detail 2 3 2 2 3 2 3 3" xfId="17854"/>
    <cellStyle name="RowTitles-Detail 2 3 2 2 3 2 3_Tertiary Salaries Survey" xfId="17855"/>
    <cellStyle name="RowTitles-Detail 2 3 2 2 3 2 4" xfId="17856"/>
    <cellStyle name="RowTitles-Detail 2 3 2 2 3 2 5" xfId="17857"/>
    <cellStyle name="RowTitles-Detail 2 3 2 2 3 2 5 2" xfId="17858"/>
    <cellStyle name="RowTitles-Detail 2 3 2 2 3 2 5_Tertiary Salaries Survey" xfId="17859"/>
    <cellStyle name="RowTitles-Detail 2 3 2 2 3 2 6" xfId="17860"/>
    <cellStyle name="RowTitles-Detail 2 3 2 2 3 2_Tertiary Salaries Survey" xfId="17861"/>
    <cellStyle name="RowTitles-Detail 2 3 2 2 3 3" xfId="17862"/>
    <cellStyle name="RowTitles-Detail 2 3 2 2 3 3 2" xfId="17863"/>
    <cellStyle name="RowTitles-Detail 2 3 2 2 3 3 2 2" xfId="17864"/>
    <cellStyle name="RowTitles-Detail 2 3 2 2 3 3 2 2 2" xfId="17865"/>
    <cellStyle name="RowTitles-Detail 2 3 2 2 3 3 2 2_Tertiary Salaries Survey" xfId="17866"/>
    <cellStyle name="RowTitles-Detail 2 3 2 2 3 3 2 3" xfId="17867"/>
    <cellStyle name="RowTitles-Detail 2 3 2 2 3 3 2_Tertiary Salaries Survey" xfId="17868"/>
    <cellStyle name="RowTitles-Detail 2 3 2 2 3 3 3" xfId="17869"/>
    <cellStyle name="RowTitles-Detail 2 3 2 2 3 3 3 2" xfId="17870"/>
    <cellStyle name="RowTitles-Detail 2 3 2 2 3 3 3 2 2" xfId="17871"/>
    <cellStyle name="RowTitles-Detail 2 3 2 2 3 3 3 2_Tertiary Salaries Survey" xfId="17872"/>
    <cellStyle name="RowTitles-Detail 2 3 2 2 3 3 3 3" xfId="17873"/>
    <cellStyle name="RowTitles-Detail 2 3 2 2 3 3 3_Tertiary Salaries Survey" xfId="17874"/>
    <cellStyle name="RowTitles-Detail 2 3 2 2 3 3 4" xfId="17875"/>
    <cellStyle name="RowTitles-Detail 2 3 2 2 3 3 5" xfId="17876"/>
    <cellStyle name="RowTitles-Detail 2 3 2 2 3 3_Tertiary Salaries Survey" xfId="17877"/>
    <cellStyle name="RowTitles-Detail 2 3 2 2 3 4" xfId="17878"/>
    <cellStyle name="RowTitles-Detail 2 3 2 2 3 4 2" xfId="17879"/>
    <cellStyle name="RowTitles-Detail 2 3 2 2 3 4 2 2" xfId="17880"/>
    <cellStyle name="RowTitles-Detail 2 3 2 2 3 4 2 2 2" xfId="17881"/>
    <cellStyle name="RowTitles-Detail 2 3 2 2 3 4 2 2_Tertiary Salaries Survey" xfId="17882"/>
    <cellStyle name="RowTitles-Detail 2 3 2 2 3 4 2 3" xfId="17883"/>
    <cellStyle name="RowTitles-Detail 2 3 2 2 3 4 2_Tertiary Salaries Survey" xfId="17884"/>
    <cellStyle name="RowTitles-Detail 2 3 2 2 3 4 3" xfId="17885"/>
    <cellStyle name="RowTitles-Detail 2 3 2 2 3 4 3 2" xfId="17886"/>
    <cellStyle name="RowTitles-Detail 2 3 2 2 3 4 3 2 2" xfId="17887"/>
    <cellStyle name="RowTitles-Detail 2 3 2 2 3 4 3 2_Tertiary Salaries Survey" xfId="17888"/>
    <cellStyle name="RowTitles-Detail 2 3 2 2 3 4 3 3" xfId="17889"/>
    <cellStyle name="RowTitles-Detail 2 3 2 2 3 4 3_Tertiary Salaries Survey" xfId="17890"/>
    <cellStyle name="RowTitles-Detail 2 3 2 2 3 4 4" xfId="17891"/>
    <cellStyle name="RowTitles-Detail 2 3 2 2 3 4 4 2" xfId="17892"/>
    <cellStyle name="RowTitles-Detail 2 3 2 2 3 4 4_Tertiary Salaries Survey" xfId="17893"/>
    <cellStyle name="RowTitles-Detail 2 3 2 2 3 4 5" xfId="17894"/>
    <cellStyle name="RowTitles-Detail 2 3 2 2 3 4_Tertiary Salaries Survey" xfId="17895"/>
    <cellStyle name="RowTitles-Detail 2 3 2 2 3 5" xfId="17896"/>
    <cellStyle name="RowTitles-Detail 2 3 2 2 3 5 2" xfId="17897"/>
    <cellStyle name="RowTitles-Detail 2 3 2 2 3 5 2 2" xfId="17898"/>
    <cellStyle name="RowTitles-Detail 2 3 2 2 3 5 2 2 2" xfId="17899"/>
    <cellStyle name="RowTitles-Detail 2 3 2 2 3 5 2 2_Tertiary Salaries Survey" xfId="17900"/>
    <cellStyle name="RowTitles-Detail 2 3 2 2 3 5 2 3" xfId="17901"/>
    <cellStyle name="RowTitles-Detail 2 3 2 2 3 5 2_Tertiary Salaries Survey" xfId="17902"/>
    <cellStyle name="RowTitles-Detail 2 3 2 2 3 5 3" xfId="17903"/>
    <cellStyle name="RowTitles-Detail 2 3 2 2 3 5 3 2" xfId="17904"/>
    <cellStyle name="RowTitles-Detail 2 3 2 2 3 5 3 2 2" xfId="17905"/>
    <cellStyle name="RowTitles-Detail 2 3 2 2 3 5 3 2_Tertiary Salaries Survey" xfId="17906"/>
    <cellStyle name="RowTitles-Detail 2 3 2 2 3 5 3 3" xfId="17907"/>
    <cellStyle name="RowTitles-Detail 2 3 2 2 3 5 3_Tertiary Salaries Survey" xfId="17908"/>
    <cellStyle name="RowTitles-Detail 2 3 2 2 3 5 4" xfId="17909"/>
    <cellStyle name="RowTitles-Detail 2 3 2 2 3 5 4 2" xfId="17910"/>
    <cellStyle name="RowTitles-Detail 2 3 2 2 3 5 4_Tertiary Salaries Survey" xfId="17911"/>
    <cellStyle name="RowTitles-Detail 2 3 2 2 3 5 5" xfId="17912"/>
    <cellStyle name="RowTitles-Detail 2 3 2 2 3 5_Tertiary Salaries Survey" xfId="17913"/>
    <cellStyle name="RowTitles-Detail 2 3 2 2 3 6" xfId="17914"/>
    <cellStyle name="RowTitles-Detail 2 3 2 2 3 6 2" xfId="17915"/>
    <cellStyle name="RowTitles-Detail 2 3 2 2 3 6 2 2" xfId="17916"/>
    <cellStyle name="RowTitles-Detail 2 3 2 2 3 6 2 2 2" xfId="17917"/>
    <cellStyle name="RowTitles-Detail 2 3 2 2 3 6 2 2_Tertiary Salaries Survey" xfId="17918"/>
    <cellStyle name="RowTitles-Detail 2 3 2 2 3 6 2 3" xfId="17919"/>
    <cellStyle name="RowTitles-Detail 2 3 2 2 3 6 2_Tertiary Salaries Survey" xfId="17920"/>
    <cellStyle name="RowTitles-Detail 2 3 2 2 3 6 3" xfId="17921"/>
    <cellStyle name="RowTitles-Detail 2 3 2 2 3 6 3 2" xfId="17922"/>
    <cellStyle name="RowTitles-Detail 2 3 2 2 3 6 3 2 2" xfId="17923"/>
    <cellStyle name="RowTitles-Detail 2 3 2 2 3 6 3 2_Tertiary Salaries Survey" xfId="17924"/>
    <cellStyle name="RowTitles-Detail 2 3 2 2 3 6 3 3" xfId="17925"/>
    <cellStyle name="RowTitles-Detail 2 3 2 2 3 6 3_Tertiary Salaries Survey" xfId="17926"/>
    <cellStyle name="RowTitles-Detail 2 3 2 2 3 6 4" xfId="17927"/>
    <cellStyle name="RowTitles-Detail 2 3 2 2 3 6 4 2" xfId="17928"/>
    <cellStyle name="RowTitles-Detail 2 3 2 2 3 6 4_Tertiary Salaries Survey" xfId="17929"/>
    <cellStyle name="RowTitles-Detail 2 3 2 2 3 6 5" xfId="17930"/>
    <cellStyle name="RowTitles-Detail 2 3 2 2 3 6_Tertiary Salaries Survey" xfId="17931"/>
    <cellStyle name="RowTitles-Detail 2 3 2 2 3 7" xfId="17932"/>
    <cellStyle name="RowTitles-Detail 2 3 2 2 3 7 2" xfId="17933"/>
    <cellStyle name="RowTitles-Detail 2 3 2 2 3 7 2 2" xfId="17934"/>
    <cellStyle name="RowTitles-Detail 2 3 2 2 3 7 2_Tertiary Salaries Survey" xfId="17935"/>
    <cellStyle name="RowTitles-Detail 2 3 2 2 3 7 3" xfId="17936"/>
    <cellStyle name="RowTitles-Detail 2 3 2 2 3 7_Tertiary Salaries Survey" xfId="17937"/>
    <cellStyle name="RowTitles-Detail 2 3 2 2 3 8" xfId="17938"/>
    <cellStyle name="RowTitles-Detail 2 3 2 2 3 8 2" xfId="17939"/>
    <cellStyle name="RowTitles-Detail 2 3 2 2 3 8 2 2" xfId="17940"/>
    <cellStyle name="RowTitles-Detail 2 3 2 2 3 8 2_Tertiary Salaries Survey" xfId="17941"/>
    <cellStyle name="RowTitles-Detail 2 3 2 2 3 8 3" xfId="17942"/>
    <cellStyle name="RowTitles-Detail 2 3 2 2 3 8_Tertiary Salaries Survey" xfId="17943"/>
    <cellStyle name="RowTitles-Detail 2 3 2 2 3 9" xfId="17944"/>
    <cellStyle name="RowTitles-Detail 2 3 2 2 3_STUD aligned by INSTIT" xfId="17945"/>
    <cellStyle name="RowTitles-Detail 2 3 2 2 4" xfId="17946"/>
    <cellStyle name="RowTitles-Detail 2 3 2 2 4 2" xfId="17947"/>
    <cellStyle name="RowTitles-Detail 2 3 2 2 4 2 2" xfId="17948"/>
    <cellStyle name="RowTitles-Detail 2 3 2 2 4 2 2 2" xfId="17949"/>
    <cellStyle name="RowTitles-Detail 2 3 2 2 4 2 2 2 2" xfId="17950"/>
    <cellStyle name="RowTitles-Detail 2 3 2 2 4 2 2 2_Tertiary Salaries Survey" xfId="17951"/>
    <cellStyle name="RowTitles-Detail 2 3 2 2 4 2 2 3" xfId="17952"/>
    <cellStyle name="RowTitles-Detail 2 3 2 2 4 2 2_Tertiary Salaries Survey" xfId="17953"/>
    <cellStyle name="RowTitles-Detail 2 3 2 2 4 2 3" xfId="17954"/>
    <cellStyle name="RowTitles-Detail 2 3 2 2 4 2 3 2" xfId="17955"/>
    <cellStyle name="RowTitles-Detail 2 3 2 2 4 2 3 2 2" xfId="17956"/>
    <cellStyle name="RowTitles-Detail 2 3 2 2 4 2 3 2_Tertiary Salaries Survey" xfId="17957"/>
    <cellStyle name="RowTitles-Detail 2 3 2 2 4 2 3 3" xfId="17958"/>
    <cellStyle name="RowTitles-Detail 2 3 2 2 4 2 3_Tertiary Salaries Survey" xfId="17959"/>
    <cellStyle name="RowTitles-Detail 2 3 2 2 4 2 4" xfId="17960"/>
    <cellStyle name="RowTitles-Detail 2 3 2 2 4 2 5" xfId="17961"/>
    <cellStyle name="RowTitles-Detail 2 3 2 2 4 2 5 2" xfId="17962"/>
    <cellStyle name="RowTitles-Detail 2 3 2 2 4 2 5_Tertiary Salaries Survey" xfId="17963"/>
    <cellStyle name="RowTitles-Detail 2 3 2 2 4 2 6" xfId="17964"/>
    <cellStyle name="RowTitles-Detail 2 3 2 2 4 2_Tertiary Salaries Survey" xfId="17965"/>
    <cellStyle name="RowTitles-Detail 2 3 2 2 4 3" xfId="17966"/>
    <cellStyle name="RowTitles-Detail 2 3 2 2 4 3 2" xfId="17967"/>
    <cellStyle name="RowTitles-Detail 2 3 2 2 4 3 2 2" xfId="17968"/>
    <cellStyle name="RowTitles-Detail 2 3 2 2 4 3 2 2 2" xfId="17969"/>
    <cellStyle name="RowTitles-Detail 2 3 2 2 4 3 2 2_Tertiary Salaries Survey" xfId="17970"/>
    <cellStyle name="RowTitles-Detail 2 3 2 2 4 3 2 3" xfId="17971"/>
    <cellStyle name="RowTitles-Detail 2 3 2 2 4 3 2_Tertiary Salaries Survey" xfId="17972"/>
    <cellStyle name="RowTitles-Detail 2 3 2 2 4 3 3" xfId="17973"/>
    <cellStyle name="RowTitles-Detail 2 3 2 2 4 3 3 2" xfId="17974"/>
    <cellStyle name="RowTitles-Detail 2 3 2 2 4 3 3 2 2" xfId="17975"/>
    <cellStyle name="RowTitles-Detail 2 3 2 2 4 3 3 2_Tertiary Salaries Survey" xfId="17976"/>
    <cellStyle name="RowTitles-Detail 2 3 2 2 4 3 3 3" xfId="17977"/>
    <cellStyle name="RowTitles-Detail 2 3 2 2 4 3 3_Tertiary Salaries Survey" xfId="17978"/>
    <cellStyle name="RowTitles-Detail 2 3 2 2 4 3 4" xfId="17979"/>
    <cellStyle name="RowTitles-Detail 2 3 2 2 4 3 5" xfId="17980"/>
    <cellStyle name="RowTitles-Detail 2 3 2 2 4 3_Tertiary Salaries Survey" xfId="17981"/>
    <cellStyle name="RowTitles-Detail 2 3 2 2 4 4" xfId="17982"/>
    <cellStyle name="RowTitles-Detail 2 3 2 2 4 4 2" xfId="17983"/>
    <cellStyle name="RowTitles-Detail 2 3 2 2 4 4 2 2" xfId="17984"/>
    <cellStyle name="RowTitles-Detail 2 3 2 2 4 4 2 2 2" xfId="17985"/>
    <cellStyle name="RowTitles-Detail 2 3 2 2 4 4 2 2_Tertiary Salaries Survey" xfId="17986"/>
    <cellStyle name="RowTitles-Detail 2 3 2 2 4 4 2 3" xfId="17987"/>
    <cellStyle name="RowTitles-Detail 2 3 2 2 4 4 2_Tertiary Salaries Survey" xfId="17988"/>
    <cellStyle name="RowTitles-Detail 2 3 2 2 4 4 3" xfId="17989"/>
    <cellStyle name="RowTitles-Detail 2 3 2 2 4 4 3 2" xfId="17990"/>
    <cellStyle name="RowTitles-Detail 2 3 2 2 4 4 3 2 2" xfId="17991"/>
    <cellStyle name="RowTitles-Detail 2 3 2 2 4 4 3 2_Tertiary Salaries Survey" xfId="17992"/>
    <cellStyle name="RowTitles-Detail 2 3 2 2 4 4 3 3" xfId="17993"/>
    <cellStyle name="RowTitles-Detail 2 3 2 2 4 4 3_Tertiary Salaries Survey" xfId="17994"/>
    <cellStyle name="RowTitles-Detail 2 3 2 2 4 4 4" xfId="17995"/>
    <cellStyle name="RowTitles-Detail 2 3 2 2 4 4 5" xfId="17996"/>
    <cellStyle name="RowTitles-Detail 2 3 2 2 4 4 5 2" xfId="17997"/>
    <cellStyle name="RowTitles-Detail 2 3 2 2 4 4 5_Tertiary Salaries Survey" xfId="17998"/>
    <cellStyle name="RowTitles-Detail 2 3 2 2 4 4 6" xfId="17999"/>
    <cellStyle name="RowTitles-Detail 2 3 2 2 4 4_Tertiary Salaries Survey" xfId="18000"/>
    <cellStyle name="RowTitles-Detail 2 3 2 2 4 5" xfId="18001"/>
    <cellStyle name="RowTitles-Detail 2 3 2 2 4 5 2" xfId="18002"/>
    <cellStyle name="RowTitles-Detail 2 3 2 2 4 5 2 2" xfId="18003"/>
    <cellStyle name="RowTitles-Detail 2 3 2 2 4 5 2 2 2" xfId="18004"/>
    <cellStyle name="RowTitles-Detail 2 3 2 2 4 5 2 2_Tertiary Salaries Survey" xfId="18005"/>
    <cellStyle name="RowTitles-Detail 2 3 2 2 4 5 2 3" xfId="18006"/>
    <cellStyle name="RowTitles-Detail 2 3 2 2 4 5 2_Tertiary Salaries Survey" xfId="18007"/>
    <cellStyle name="RowTitles-Detail 2 3 2 2 4 5 3" xfId="18008"/>
    <cellStyle name="RowTitles-Detail 2 3 2 2 4 5 3 2" xfId="18009"/>
    <cellStyle name="RowTitles-Detail 2 3 2 2 4 5 3 2 2" xfId="18010"/>
    <cellStyle name="RowTitles-Detail 2 3 2 2 4 5 3 2_Tertiary Salaries Survey" xfId="18011"/>
    <cellStyle name="RowTitles-Detail 2 3 2 2 4 5 3 3" xfId="18012"/>
    <cellStyle name="RowTitles-Detail 2 3 2 2 4 5 3_Tertiary Salaries Survey" xfId="18013"/>
    <cellStyle name="RowTitles-Detail 2 3 2 2 4 5 4" xfId="18014"/>
    <cellStyle name="RowTitles-Detail 2 3 2 2 4 5 4 2" xfId="18015"/>
    <cellStyle name="RowTitles-Detail 2 3 2 2 4 5 4_Tertiary Salaries Survey" xfId="18016"/>
    <cellStyle name="RowTitles-Detail 2 3 2 2 4 5 5" xfId="18017"/>
    <cellStyle name="RowTitles-Detail 2 3 2 2 4 5_Tertiary Salaries Survey" xfId="18018"/>
    <cellStyle name="RowTitles-Detail 2 3 2 2 4 6" xfId="18019"/>
    <cellStyle name="RowTitles-Detail 2 3 2 2 4 6 2" xfId="18020"/>
    <cellStyle name="RowTitles-Detail 2 3 2 2 4 6 2 2" xfId="18021"/>
    <cellStyle name="RowTitles-Detail 2 3 2 2 4 6 2 2 2" xfId="18022"/>
    <cellStyle name="RowTitles-Detail 2 3 2 2 4 6 2 2_Tertiary Salaries Survey" xfId="18023"/>
    <cellStyle name="RowTitles-Detail 2 3 2 2 4 6 2 3" xfId="18024"/>
    <cellStyle name="RowTitles-Detail 2 3 2 2 4 6 2_Tertiary Salaries Survey" xfId="18025"/>
    <cellStyle name="RowTitles-Detail 2 3 2 2 4 6 3" xfId="18026"/>
    <cellStyle name="RowTitles-Detail 2 3 2 2 4 6 3 2" xfId="18027"/>
    <cellStyle name="RowTitles-Detail 2 3 2 2 4 6 3 2 2" xfId="18028"/>
    <cellStyle name="RowTitles-Detail 2 3 2 2 4 6 3 2_Tertiary Salaries Survey" xfId="18029"/>
    <cellStyle name="RowTitles-Detail 2 3 2 2 4 6 3 3" xfId="18030"/>
    <cellStyle name="RowTitles-Detail 2 3 2 2 4 6 3_Tertiary Salaries Survey" xfId="18031"/>
    <cellStyle name="RowTitles-Detail 2 3 2 2 4 6 4" xfId="18032"/>
    <cellStyle name="RowTitles-Detail 2 3 2 2 4 6 4 2" xfId="18033"/>
    <cellStyle name="RowTitles-Detail 2 3 2 2 4 6 4_Tertiary Salaries Survey" xfId="18034"/>
    <cellStyle name="RowTitles-Detail 2 3 2 2 4 6 5" xfId="18035"/>
    <cellStyle name="RowTitles-Detail 2 3 2 2 4 6_Tertiary Salaries Survey" xfId="18036"/>
    <cellStyle name="RowTitles-Detail 2 3 2 2 4 7" xfId="18037"/>
    <cellStyle name="RowTitles-Detail 2 3 2 2 4 7 2" xfId="18038"/>
    <cellStyle name="RowTitles-Detail 2 3 2 2 4 7 2 2" xfId="18039"/>
    <cellStyle name="RowTitles-Detail 2 3 2 2 4 7 2_Tertiary Salaries Survey" xfId="18040"/>
    <cellStyle name="RowTitles-Detail 2 3 2 2 4 7 3" xfId="18041"/>
    <cellStyle name="RowTitles-Detail 2 3 2 2 4 7_Tertiary Salaries Survey" xfId="18042"/>
    <cellStyle name="RowTitles-Detail 2 3 2 2 4 8" xfId="18043"/>
    <cellStyle name="RowTitles-Detail 2 3 2 2 4 9" xfId="18044"/>
    <cellStyle name="RowTitles-Detail 2 3 2 2 4_STUD aligned by INSTIT" xfId="18045"/>
    <cellStyle name="RowTitles-Detail 2 3 2 2 5" xfId="18046"/>
    <cellStyle name="RowTitles-Detail 2 3 2 2 5 2" xfId="18047"/>
    <cellStyle name="RowTitles-Detail 2 3 2 2 5 2 2" xfId="18048"/>
    <cellStyle name="RowTitles-Detail 2 3 2 2 5 2 2 2" xfId="18049"/>
    <cellStyle name="RowTitles-Detail 2 3 2 2 5 2 2_Tertiary Salaries Survey" xfId="18050"/>
    <cellStyle name="RowTitles-Detail 2 3 2 2 5 2 3" xfId="18051"/>
    <cellStyle name="RowTitles-Detail 2 3 2 2 5 2_Tertiary Salaries Survey" xfId="18052"/>
    <cellStyle name="RowTitles-Detail 2 3 2 2 5 3" xfId="18053"/>
    <cellStyle name="RowTitles-Detail 2 3 2 2 5 3 2" xfId="18054"/>
    <cellStyle name="RowTitles-Detail 2 3 2 2 5 3 2 2" xfId="18055"/>
    <cellStyle name="RowTitles-Detail 2 3 2 2 5 3 2_Tertiary Salaries Survey" xfId="18056"/>
    <cellStyle name="RowTitles-Detail 2 3 2 2 5 3 3" xfId="18057"/>
    <cellStyle name="RowTitles-Detail 2 3 2 2 5 3_Tertiary Salaries Survey" xfId="18058"/>
    <cellStyle name="RowTitles-Detail 2 3 2 2 5 4" xfId="18059"/>
    <cellStyle name="RowTitles-Detail 2 3 2 2 5 5" xfId="18060"/>
    <cellStyle name="RowTitles-Detail 2 3 2 2 5 5 2" xfId="18061"/>
    <cellStyle name="RowTitles-Detail 2 3 2 2 5 5_Tertiary Salaries Survey" xfId="18062"/>
    <cellStyle name="RowTitles-Detail 2 3 2 2 5 6" xfId="18063"/>
    <cellStyle name="RowTitles-Detail 2 3 2 2 5_Tertiary Salaries Survey" xfId="18064"/>
    <cellStyle name="RowTitles-Detail 2 3 2 2 6" xfId="18065"/>
    <cellStyle name="RowTitles-Detail 2 3 2 2 6 2" xfId="18066"/>
    <cellStyle name="RowTitles-Detail 2 3 2 2 6 2 2" xfId="18067"/>
    <cellStyle name="RowTitles-Detail 2 3 2 2 6 2 2 2" xfId="18068"/>
    <cellStyle name="RowTitles-Detail 2 3 2 2 6 2 2_Tertiary Salaries Survey" xfId="18069"/>
    <cellStyle name="RowTitles-Detail 2 3 2 2 6 2 3" xfId="18070"/>
    <cellStyle name="RowTitles-Detail 2 3 2 2 6 2_Tertiary Salaries Survey" xfId="18071"/>
    <cellStyle name="RowTitles-Detail 2 3 2 2 6 3" xfId="18072"/>
    <cellStyle name="RowTitles-Detail 2 3 2 2 6 3 2" xfId="18073"/>
    <cellStyle name="RowTitles-Detail 2 3 2 2 6 3 2 2" xfId="18074"/>
    <cellStyle name="RowTitles-Detail 2 3 2 2 6 3 2_Tertiary Salaries Survey" xfId="18075"/>
    <cellStyle name="RowTitles-Detail 2 3 2 2 6 3 3" xfId="18076"/>
    <cellStyle name="RowTitles-Detail 2 3 2 2 6 3_Tertiary Salaries Survey" xfId="18077"/>
    <cellStyle name="RowTitles-Detail 2 3 2 2 6 4" xfId="18078"/>
    <cellStyle name="RowTitles-Detail 2 3 2 2 6 5" xfId="18079"/>
    <cellStyle name="RowTitles-Detail 2 3 2 2 6_Tertiary Salaries Survey" xfId="18080"/>
    <cellStyle name="RowTitles-Detail 2 3 2 2 7" xfId="18081"/>
    <cellStyle name="RowTitles-Detail 2 3 2 2 7 2" xfId="18082"/>
    <cellStyle name="RowTitles-Detail 2 3 2 2 7 2 2" xfId="18083"/>
    <cellStyle name="RowTitles-Detail 2 3 2 2 7 2 2 2" xfId="18084"/>
    <cellStyle name="RowTitles-Detail 2 3 2 2 7 2 2_Tertiary Salaries Survey" xfId="18085"/>
    <cellStyle name="RowTitles-Detail 2 3 2 2 7 2 3" xfId="18086"/>
    <cellStyle name="RowTitles-Detail 2 3 2 2 7 2_Tertiary Salaries Survey" xfId="18087"/>
    <cellStyle name="RowTitles-Detail 2 3 2 2 7 3" xfId="18088"/>
    <cellStyle name="RowTitles-Detail 2 3 2 2 7 3 2" xfId="18089"/>
    <cellStyle name="RowTitles-Detail 2 3 2 2 7 3 2 2" xfId="18090"/>
    <cellStyle name="RowTitles-Detail 2 3 2 2 7 3 2_Tertiary Salaries Survey" xfId="18091"/>
    <cellStyle name="RowTitles-Detail 2 3 2 2 7 3 3" xfId="18092"/>
    <cellStyle name="RowTitles-Detail 2 3 2 2 7 3_Tertiary Salaries Survey" xfId="18093"/>
    <cellStyle name="RowTitles-Detail 2 3 2 2 7 4" xfId="18094"/>
    <cellStyle name="RowTitles-Detail 2 3 2 2 7 5" xfId="18095"/>
    <cellStyle name="RowTitles-Detail 2 3 2 2 7 5 2" xfId="18096"/>
    <cellStyle name="RowTitles-Detail 2 3 2 2 7 5_Tertiary Salaries Survey" xfId="18097"/>
    <cellStyle name="RowTitles-Detail 2 3 2 2 7 6" xfId="18098"/>
    <cellStyle name="RowTitles-Detail 2 3 2 2 7_Tertiary Salaries Survey" xfId="18099"/>
    <cellStyle name="RowTitles-Detail 2 3 2 2 8" xfId="18100"/>
    <cellStyle name="RowTitles-Detail 2 3 2 2 8 2" xfId="18101"/>
    <cellStyle name="RowTitles-Detail 2 3 2 2 8 2 2" xfId="18102"/>
    <cellStyle name="RowTitles-Detail 2 3 2 2 8 2 2 2" xfId="18103"/>
    <cellStyle name="RowTitles-Detail 2 3 2 2 8 2 2_Tertiary Salaries Survey" xfId="18104"/>
    <cellStyle name="RowTitles-Detail 2 3 2 2 8 2 3" xfId="18105"/>
    <cellStyle name="RowTitles-Detail 2 3 2 2 8 2_Tertiary Salaries Survey" xfId="18106"/>
    <cellStyle name="RowTitles-Detail 2 3 2 2 8 3" xfId="18107"/>
    <cellStyle name="RowTitles-Detail 2 3 2 2 8 3 2" xfId="18108"/>
    <cellStyle name="RowTitles-Detail 2 3 2 2 8 3 2 2" xfId="18109"/>
    <cellStyle name="RowTitles-Detail 2 3 2 2 8 3 2_Tertiary Salaries Survey" xfId="18110"/>
    <cellStyle name="RowTitles-Detail 2 3 2 2 8 3 3" xfId="18111"/>
    <cellStyle name="RowTitles-Detail 2 3 2 2 8 3_Tertiary Salaries Survey" xfId="18112"/>
    <cellStyle name="RowTitles-Detail 2 3 2 2 8 4" xfId="18113"/>
    <cellStyle name="RowTitles-Detail 2 3 2 2 8 4 2" xfId="18114"/>
    <cellStyle name="RowTitles-Detail 2 3 2 2 8 4_Tertiary Salaries Survey" xfId="18115"/>
    <cellStyle name="RowTitles-Detail 2 3 2 2 8 5" xfId="18116"/>
    <cellStyle name="RowTitles-Detail 2 3 2 2 8_Tertiary Salaries Survey" xfId="18117"/>
    <cellStyle name="RowTitles-Detail 2 3 2 2 9" xfId="18118"/>
    <cellStyle name="RowTitles-Detail 2 3 2 2 9 2" xfId="18119"/>
    <cellStyle name="RowTitles-Detail 2 3 2 2 9 2 2" xfId="18120"/>
    <cellStyle name="RowTitles-Detail 2 3 2 2 9 2 2 2" xfId="18121"/>
    <cellStyle name="RowTitles-Detail 2 3 2 2 9 2 2_Tertiary Salaries Survey" xfId="18122"/>
    <cellStyle name="RowTitles-Detail 2 3 2 2 9 2 3" xfId="18123"/>
    <cellStyle name="RowTitles-Detail 2 3 2 2 9 2_Tertiary Salaries Survey" xfId="18124"/>
    <cellStyle name="RowTitles-Detail 2 3 2 2 9 3" xfId="18125"/>
    <cellStyle name="RowTitles-Detail 2 3 2 2 9 3 2" xfId="18126"/>
    <cellStyle name="RowTitles-Detail 2 3 2 2 9 3 2 2" xfId="18127"/>
    <cellStyle name="RowTitles-Detail 2 3 2 2 9 3 2_Tertiary Salaries Survey" xfId="18128"/>
    <cellStyle name="RowTitles-Detail 2 3 2 2 9 3 3" xfId="18129"/>
    <cellStyle name="RowTitles-Detail 2 3 2 2 9 3_Tertiary Salaries Survey" xfId="18130"/>
    <cellStyle name="RowTitles-Detail 2 3 2 2 9 4" xfId="18131"/>
    <cellStyle name="RowTitles-Detail 2 3 2 2 9 4 2" xfId="18132"/>
    <cellStyle name="RowTitles-Detail 2 3 2 2 9 4_Tertiary Salaries Survey" xfId="18133"/>
    <cellStyle name="RowTitles-Detail 2 3 2 2 9 5" xfId="18134"/>
    <cellStyle name="RowTitles-Detail 2 3 2 2 9_Tertiary Salaries Survey" xfId="18135"/>
    <cellStyle name="RowTitles-Detail 2 3 2 2_STUD aligned by INSTIT" xfId="18136"/>
    <cellStyle name="RowTitles-Detail 2 3 2 3" xfId="18137"/>
    <cellStyle name="RowTitles-Detail 2 3 2 3 2" xfId="18138"/>
    <cellStyle name="RowTitles-Detail 2 3 2 3 2 2" xfId="18139"/>
    <cellStyle name="RowTitles-Detail 2 3 2 3 2 2 2" xfId="18140"/>
    <cellStyle name="RowTitles-Detail 2 3 2 3 2 2 2 2" xfId="18141"/>
    <cellStyle name="RowTitles-Detail 2 3 2 3 2 2 2_Tertiary Salaries Survey" xfId="18142"/>
    <cellStyle name="RowTitles-Detail 2 3 2 3 2 2 3" xfId="18143"/>
    <cellStyle name="RowTitles-Detail 2 3 2 3 2 2_Tertiary Salaries Survey" xfId="18144"/>
    <cellStyle name="RowTitles-Detail 2 3 2 3 2 3" xfId="18145"/>
    <cellStyle name="RowTitles-Detail 2 3 2 3 2 3 2" xfId="18146"/>
    <cellStyle name="RowTitles-Detail 2 3 2 3 2 3 2 2" xfId="18147"/>
    <cellStyle name="RowTitles-Detail 2 3 2 3 2 3 2_Tertiary Salaries Survey" xfId="18148"/>
    <cellStyle name="RowTitles-Detail 2 3 2 3 2 3 3" xfId="18149"/>
    <cellStyle name="RowTitles-Detail 2 3 2 3 2 3_Tertiary Salaries Survey" xfId="18150"/>
    <cellStyle name="RowTitles-Detail 2 3 2 3 2 4" xfId="18151"/>
    <cellStyle name="RowTitles-Detail 2 3 2 3 2 5" xfId="18152"/>
    <cellStyle name="RowTitles-Detail 2 3 2 3 2_Tertiary Salaries Survey" xfId="18153"/>
    <cellStyle name="RowTitles-Detail 2 3 2 3 3" xfId="18154"/>
    <cellStyle name="RowTitles-Detail 2 3 2 3 3 2" xfId="18155"/>
    <cellStyle name="RowTitles-Detail 2 3 2 3 3 2 2" xfId="18156"/>
    <cellStyle name="RowTitles-Detail 2 3 2 3 3 2 2 2" xfId="18157"/>
    <cellStyle name="RowTitles-Detail 2 3 2 3 3 2 2_Tertiary Salaries Survey" xfId="18158"/>
    <cellStyle name="RowTitles-Detail 2 3 2 3 3 2 3" xfId="18159"/>
    <cellStyle name="RowTitles-Detail 2 3 2 3 3 2_Tertiary Salaries Survey" xfId="18160"/>
    <cellStyle name="RowTitles-Detail 2 3 2 3 3 3" xfId="18161"/>
    <cellStyle name="RowTitles-Detail 2 3 2 3 3 3 2" xfId="18162"/>
    <cellStyle name="RowTitles-Detail 2 3 2 3 3 3 2 2" xfId="18163"/>
    <cellStyle name="RowTitles-Detail 2 3 2 3 3 3 2_Tertiary Salaries Survey" xfId="18164"/>
    <cellStyle name="RowTitles-Detail 2 3 2 3 3 3 3" xfId="18165"/>
    <cellStyle name="RowTitles-Detail 2 3 2 3 3 3_Tertiary Salaries Survey" xfId="18166"/>
    <cellStyle name="RowTitles-Detail 2 3 2 3 3 4" xfId="18167"/>
    <cellStyle name="RowTitles-Detail 2 3 2 3 3 5" xfId="18168"/>
    <cellStyle name="RowTitles-Detail 2 3 2 3 3 5 2" xfId="18169"/>
    <cellStyle name="RowTitles-Detail 2 3 2 3 3 5_Tertiary Salaries Survey" xfId="18170"/>
    <cellStyle name="RowTitles-Detail 2 3 2 3 3 6" xfId="18171"/>
    <cellStyle name="RowTitles-Detail 2 3 2 3 3_Tertiary Salaries Survey" xfId="18172"/>
    <cellStyle name="RowTitles-Detail 2 3 2 3 4" xfId="18173"/>
    <cellStyle name="RowTitles-Detail 2 3 2 3 4 2" xfId="18174"/>
    <cellStyle name="RowTitles-Detail 2 3 2 3 4 2 2" xfId="18175"/>
    <cellStyle name="RowTitles-Detail 2 3 2 3 4 2 2 2" xfId="18176"/>
    <cellStyle name="RowTitles-Detail 2 3 2 3 4 2 2_Tertiary Salaries Survey" xfId="18177"/>
    <cellStyle name="RowTitles-Detail 2 3 2 3 4 2 3" xfId="18178"/>
    <cellStyle name="RowTitles-Detail 2 3 2 3 4 2_Tertiary Salaries Survey" xfId="18179"/>
    <cellStyle name="RowTitles-Detail 2 3 2 3 4 3" xfId="18180"/>
    <cellStyle name="RowTitles-Detail 2 3 2 3 4 3 2" xfId="18181"/>
    <cellStyle name="RowTitles-Detail 2 3 2 3 4 3 2 2" xfId="18182"/>
    <cellStyle name="RowTitles-Detail 2 3 2 3 4 3 2_Tertiary Salaries Survey" xfId="18183"/>
    <cellStyle name="RowTitles-Detail 2 3 2 3 4 3 3" xfId="18184"/>
    <cellStyle name="RowTitles-Detail 2 3 2 3 4 3_Tertiary Salaries Survey" xfId="18185"/>
    <cellStyle name="RowTitles-Detail 2 3 2 3 4 4" xfId="18186"/>
    <cellStyle name="RowTitles-Detail 2 3 2 3 4 4 2" xfId="18187"/>
    <cellStyle name="RowTitles-Detail 2 3 2 3 4 4_Tertiary Salaries Survey" xfId="18188"/>
    <cellStyle name="RowTitles-Detail 2 3 2 3 4 5" xfId="18189"/>
    <cellStyle name="RowTitles-Detail 2 3 2 3 4_Tertiary Salaries Survey" xfId="18190"/>
    <cellStyle name="RowTitles-Detail 2 3 2 3 5" xfId="18191"/>
    <cellStyle name="RowTitles-Detail 2 3 2 3 5 2" xfId="18192"/>
    <cellStyle name="RowTitles-Detail 2 3 2 3 5 2 2" xfId="18193"/>
    <cellStyle name="RowTitles-Detail 2 3 2 3 5 2 2 2" xfId="18194"/>
    <cellStyle name="RowTitles-Detail 2 3 2 3 5 2 2_Tertiary Salaries Survey" xfId="18195"/>
    <cellStyle name="RowTitles-Detail 2 3 2 3 5 2 3" xfId="18196"/>
    <cellStyle name="RowTitles-Detail 2 3 2 3 5 2_Tertiary Salaries Survey" xfId="18197"/>
    <cellStyle name="RowTitles-Detail 2 3 2 3 5 3" xfId="18198"/>
    <cellStyle name="RowTitles-Detail 2 3 2 3 5 3 2" xfId="18199"/>
    <cellStyle name="RowTitles-Detail 2 3 2 3 5 3 2 2" xfId="18200"/>
    <cellStyle name="RowTitles-Detail 2 3 2 3 5 3 2_Tertiary Salaries Survey" xfId="18201"/>
    <cellStyle name="RowTitles-Detail 2 3 2 3 5 3 3" xfId="18202"/>
    <cellStyle name="RowTitles-Detail 2 3 2 3 5 3_Tertiary Salaries Survey" xfId="18203"/>
    <cellStyle name="RowTitles-Detail 2 3 2 3 5 4" xfId="18204"/>
    <cellStyle name="RowTitles-Detail 2 3 2 3 5 4 2" xfId="18205"/>
    <cellStyle name="RowTitles-Detail 2 3 2 3 5 4_Tertiary Salaries Survey" xfId="18206"/>
    <cellStyle name="RowTitles-Detail 2 3 2 3 5 5" xfId="18207"/>
    <cellStyle name="RowTitles-Detail 2 3 2 3 5_Tertiary Salaries Survey" xfId="18208"/>
    <cellStyle name="RowTitles-Detail 2 3 2 3 6" xfId="18209"/>
    <cellStyle name="RowTitles-Detail 2 3 2 3 6 2" xfId="18210"/>
    <cellStyle name="RowTitles-Detail 2 3 2 3 6 2 2" xfId="18211"/>
    <cellStyle name="RowTitles-Detail 2 3 2 3 6 2 2 2" xfId="18212"/>
    <cellStyle name="RowTitles-Detail 2 3 2 3 6 2 2_Tertiary Salaries Survey" xfId="18213"/>
    <cellStyle name="RowTitles-Detail 2 3 2 3 6 2 3" xfId="18214"/>
    <cellStyle name="RowTitles-Detail 2 3 2 3 6 2_Tertiary Salaries Survey" xfId="18215"/>
    <cellStyle name="RowTitles-Detail 2 3 2 3 6 3" xfId="18216"/>
    <cellStyle name="RowTitles-Detail 2 3 2 3 6 3 2" xfId="18217"/>
    <cellStyle name="RowTitles-Detail 2 3 2 3 6 3 2 2" xfId="18218"/>
    <cellStyle name="RowTitles-Detail 2 3 2 3 6 3 2_Tertiary Salaries Survey" xfId="18219"/>
    <cellStyle name="RowTitles-Detail 2 3 2 3 6 3 3" xfId="18220"/>
    <cellStyle name="RowTitles-Detail 2 3 2 3 6 3_Tertiary Salaries Survey" xfId="18221"/>
    <cellStyle name="RowTitles-Detail 2 3 2 3 6 4" xfId="18222"/>
    <cellStyle name="RowTitles-Detail 2 3 2 3 6 4 2" xfId="18223"/>
    <cellStyle name="RowTitles-Detail 2 3 2 3 6 4_Tertiary Salaries Survey" xfId="18224"/>
    <cellStyle name="RowTitles-Detail 2 3 2 3 6 5" xfId="18225"/>
    <cellStyle name="RowTitles-Detail 2 3 2 3 6_Tertiary Salaries Survey" xfId="18226"/>
    <cellStyle name="RowTitles-Detail 2 3 2 3 7" xfId="18227"/>
    <cellStyle name="RowTitles-Detail 2 3 2 3 7 2" xfId="18228"/>
    <cellStyle name="RowTitles-Detail 2 3 2 3 7 2 2" xfId="18229"/>
    <cellStyle name="RowTitles-Detail 2 3 2 3 7 2_Tertiary Salaries Survey" xfId="18230"/>
    <cellStyle name="RowTitles-Detail 2 3 2 3 7 3" xfId="18231"/>
    <cellStyle name="RowTitles-Detail 2 3 2 3 7_Tertiary Salaries Survey" xfId="18232"/>
    <cellStyle name="RowTitles-Detail 2 3 2 3 8" xfId="18233"/>
    <cellStyle name="RowTitles-Detail 2 3 2 3 9" xfId="18234"/>
    <cellStyle name="RowTitles-Detail 2 3 2 3_STUD aligned by INSTIT" xfId="18235"/>
    <cellStyle name="RowTitles-Detail 2 3 2 4" xfId="18236"/>
    <cellStyle name="RowTitles-Detail 2 3 2 4 2" xfId="18237"/>
    <cellStyle name="RowTitles-Detail 2 3 2 4 2 2" xfId="18238"/>
    <cellStyle name="RowTitles-Detail 2 3 2 4 2 2 2" xfId="18239"/>
    <cellStyle name="RowTitles-Detail 2 3 2 4 2 2 2 2" xfId="18240"/>
    <cellStyle name="RowTitles-Detail 2 3 2 4 2 2 2_Tertiary Salaries Survey" xfId="18241"/>
    <cellStyle name="RowTitles-Detail 2 3 2 4 2 2 3" xfId="18242"/>
    <cellStyle name="RowTitles-Detail 2 3 2 4 2 2_Tertiary Salaries Survey" xfId="18243"/>
    <cellStyle name="RowTitles-Detail 2 3 2 4 2 3" xfId="18244"/>
    <cellStyle name="RowTitles-Detail 2 3 2 4 2 3 2" xfId="18245"/>
    <cellStyle name="RowTitles-Detail 2 3 2 4 2 3 2 2" xfId="18246"/>
    <cellStyle name="RowTitles-Detail 2 3 2 4 2 3 2_Tertiary Salaries Survey" xfId="18247"/>
    <cellStyle name="RowTitles-Detail 2 3 2 4 2 3 3" xfId="18248"/>
    <cellStyle name="RowTitles-Detail 2 3 2 4 2 3_Tertiary Salaries Survey" xfId="18249"/>
    <cellStyle name="RowTitles-Detail 2 3 2 4 2 4" xfId="18250"/>
    <cellStyle name="RowTitles-Detail 2 3 2 4 2 5" xfId="18251"/>
    <cellStyle name="RowTitles-Detail 2 3 2 4 2 5 2" xfId="18252"/>
    <cellStyle name="RowTitles-Detail 2 3 2 4 2 5_Tertiary Salaries Survey" xfId="18253"/>
    <cellStyle name="RowTitles-Detail 2 3 2 4 2 6" xfId="18254"/>
    <cellStyle name="RowTitles-Detail 2 3 2 4 2_Tertiary Salaries Survey" xfId="18255"/>
    <cellStyle name="RowTitles-Detail 2 3 2 4 3" xfId="18256"/>
    <cellStyle name="RowTitles-Detail 2 3 2 4 3 2" xfId="18257"/>
    <cellStyle name="RowTitles-Detail 2 3 2 4 3 2 2" xfId="18258"/>
    <cellStyle name="RowTitles-Detail 2 3 2 4 3 2 2 2" xfId="18259"/>
    <cellStyle name="RowTitles-Detail 2 3 2 4 3 2 2_Tertiary Salaries Survey" xfId="18260"/>
    <cellStyle name="RowTitles-Detail 2 3 2 4 3 2 3" xfId="18261"/>
    <cellStyle name="RowTitles-Detail 2 3 2 4 3 2_Tertiary Salaries Survey" xfId="18262"/>
    <cellStyle name="RowTitles-Detail 2 3 2 4 3 3" xfId="18263"/>
    <cellStyle name="RowTitles-Detail 2 3 2 4 3 3 2" xfId="18264"/>
    <cellStyle name="RowTitles-Detail 2 3 2 4 3 3 2 2" xfId="18265"/>
    <cellStyle name="RowTitles-Detail 2 3 2 4 3 3 2_Tertiary Salaries Survey" xfId="18266"/>
    <cellStyle name="RowTitles-Detail 2 3 2 4 3 3 3" xfId="18267"/>
    <cellStyle name="RowTitles-Detail 2 3 2 4 3 3_Tertiary Salaries Survey" xfId="18268"/>
    <cellStyle name="RowTitles-Detail 2 3 2 4 3 4" xfId="18269"/>
    <cellStyle name="RowTitles-Detail 2 3 2 4 3 5" xfId="18270"/>
    <cellStyle name="RowTitles-Detail 2 3 2 4 3_Tertiary Salaries Survey" xfId="18271"/>
    <cellStyle name="RowTitles-Detail 2 3 2 4 4" xfId="18272"/>
    <cellStyle name="RowTitles-Detail 2 3 2 4 4 2" xfId="18273"/>
    <cellStyle name="RowTitles-Detail 2 3 2 4 4 2 2" xfId="18274"/>
    <cellStyle name="RowTitles-Detail 2 3 2 4 4 2 2 2" xfId="18275"/>
    <cellStyle name="RowTitles-Detail 2 3 2 4 4 2 2_Tertiary Salaries Survey" xfId="18276"/>
    <cellStyle name="RowTitles-Detail 2 3 2 4 4 2 3" xfId="18277"/>
    <cellStyle name="RowTitles-Detail 2 3 2 4 4 2_Tertiary Salaries Survey" xfId="18278"/>
    <cellStyle name="RowTitles-Detail 2 3 2 4 4 3" xfId="18279"/>
    <cellStyle name="RowTitles-Detail 2 3 2 4 4 3 2" xfId="18280"/>
    <cellStyle name="RowTitles-Detail 2 3 2 4 4 3 2 2" xfId="18281"/>
    <cellStyle name="RowTitles-Detail 2 3 2 4 4 3 2_Tertiary Salaries Survey" xfId="18282"/>
    <cellStyle name="RowTitles-Detail 2 3 2 4 4 3 3" xfId="18283"/>
    <cellStyle name="RowTitles-Detail 2 3 2 4 4 3_Tertiary Salaries Survey" xfId="18284"/>
    <cellStyle name="RowTitles-Detail 2 3 2 4 4 4" xfId="18285"/>
    <cellStyle name="RowTitles-Detail 2 3 2 4 4 4 2" xfId="18286"/>
    <cellStyle name="RowTitles-Detail 2 3 2 4 4 4_Tertiary Salaries Survey" xfId="18287"/>
    <cellStyle name="RowTitles-Detail 2 3 2 4 4 5" xfId="18288"/>
    <cellStyle name="RowTitles-Detail 2 3 2 4 4_Tertiary Salaries Survey" xfId="18289"/>
    <cellStyle name="RowTitles-Detail 2 3 2 4 5" xfId="18290"/>
    <cellStyle name="RowTitles-Detail 2 3 2 4 5 2" xfId="18291"/>
    <cellStyle name="RowTitles-Detail 2 3 2 4 5 2 2" xfId="18292"/>
    <cellStyle name="RowTitles-Detail 2 3 2 4 5 2 2 2" xfId="18293"/>
    <cellStyle name="RowTitles-Detail 2 3 2 4 5 2 2_Tertiary Salaries Survey" xfId="18294"/>
    <cellStyle name="RowTitles-Detail 2 3 2 4 5 2 3" xfId="18295"/>
    <cellStyle name="RowTitles-Detail 2 3 2 4 5 2_Tertiary Salaries Survey" xfId="18296"/>
    <cellStyle name="RowTitles-Detail 2 3 2 4 5 3" xfId="18297"/>
    <cellStyle name="RowTitles-Detail 2 3 2 4 5 3 2" xfId="18298"/>
    <cellStyle name="RowTitles-Detail 2 3 2 4 5 3 2 2" xfId="18299"/>
    <cellStyle name="RowTitles-Detail 2 3 2 4 5 3 2_Tertiary Salaries Survey" xfId="18300"/>
    <cellStyle name="RowTitles-Detail 2 3 2 4 5 3 3" xfId="18301"/>
    <cellStyle name="RowTitles-Detail 2 3 2 4 5 3_Tertiary Salaries Survey" xfId="18302"/>
    <cellStyle name="RowTitles-Detail 2 3 2 4 5 4" xfId="18303"/>
    <cellStyle name="RowTitles-Detail 2 3 2 4 5 4 2" xfId="18304"/>
    <cellStyle name="RowTitles-Detail 2 3 2 4 5 4_Tertiary Salaries Survey" xfId="18305"/>
    <cellStyle name="RowTitles-Detail 2 3 2 4 5 5" xfId="18306"/>
    <cellStyle name="RowTitles-Detail 2 3 2 4 5_Tertiary Salaries Survey" xfId="18307"/>
    <cellStyle name="RowTitles-Detail 2 3 2 4 6" xfId="18308"/>
    <cellStyle name="RowTitles-Detail 2 3 2 4 6 2" xfId="18309"/>
    <cellStyle name="RowTitles-Detail 2 3 2 4 6 2 2" xfId="18310"/>
    <cellStyle name="RowTitles-Detail 2 3 2 4 6 2 2 2" xfId="18311"/>
    <cellStyle name="RowTitles-Detail 2 3 2 4 6 2 2_Tertiary Salaries Survey" xfId="18312"/>
    <cellStyle name="RowTitles-Detail 2 3 2 4 6 2 3" xfId="18313"/>
    <cellStyle name="RowTitles-Detail 2 3 2 4 6 2_Tertiary Salaries Survey" xfId="18314"/>
    <cellStyle name="RowTitles-Detail 2 3 2 4 6 3" xfId="18315"/>
    <cellStyle name="RowTitles-Detail 2 3 2 4 6 3 2" xfId="18316"/>
    <cellStyle name="RowTitles-Detail 2 3 2 4 6 3 2 2" xfId="18317"/>
    <cellStyle name="RowTitles-Detail 2 3 2 4 6 3 2_Tertiary Salaries Survey" xfId="18318"/>
    <cellStyle name="RowTitles-Detail 2 3 2 4 6 3 3" xfId="18319"/>
    <cellStyle name="RowTitles-Detail 2 3 2 4 6 3_Tertiary Salaries Survey" xfId="18320"/>
    <cellStyle name="RowTitles-Detail 2 3 2 4 6 4" xfId="18321"/>
    <cellStyle name="RowTitles-Detail 2 3 2 4 6 4 2" xfId="18322"/>
    <cellStyle name="RowTitles-Detail 2 3 2 4 6 4_Tertiary Salaries Survey" xfId="18323"/>
    <cellStyle name="RowTitles-Detail 2 3 2 4 6 5" xfId="18324"/>
    <cellStyle name="RowTitles-Detail 2 3 2 4 6_Tertiary Salaries Survey" xfId="18325"/>
    <cellStyle name="RowTitles-Detail 2 3 2 4 7" xfId="18326"/>
    <cellStyle name="RowTitles-Detail 2 3 2 4 7 2" xfId="18327"/>
    <cellStyle name="RowTitles-Detail 2 3 2 4 7 2 2" xfId="18328"/>
    <cellStyle name="RowTitles-Detail 2 3 2 4 7 2_Tertiary Salaries Survey" xfId="18329"/>
    <cellStyle name="RowTitles-Detail 2 3 2 4 7 3" xfId="18330"/>
    <cellStyle name="RowTitles-Detail 2 3 2 4 7_Tertiary Salaries Survey" xfId="18331"/>
    <cellStyle name="RowTitles-Detail 2 3 2 4 8" xfId="18332"/>
    <cellStyle name="RowTitles-Detail 2 3 2 4 8 2" xfId="18333"/>
    <cellStyle name="RowTitles-Detail 2 3 2 4 8 2 2" xfId="18334"/>
    <cellStyle name="RowTitles-Detail 2 3 2 4 8 2_Tertiary Salaries Survey" xfId="18335"/>
    <cellStyle name="RowTitles-Detail 2 3 2 4 8 3" xfId="18336"/>
    <cellStyle name="RowTitles-Detail 2 3 2 4 8_Tertiary Salaries Survey" xfId="18337"/>
    <cellStyle name="RowTitles-Detail 2 3 2 4 9" xfId="18338"/>
    <cellStyle name="RowTitles-Detail 2 3 2 4_STUD aligned by INSTIT" xfId="18339"/>
    <cellStyle name="RowTitles-Detail 2 3 2 5" xfId="18340"/>
    <cellStyle name="RowTitles-Detail 2 3 2 5 2" xfId="18341"/>
    <cellStyle name="RowTitles-Detail 2 3 2 5 2 2" xfId="18342"/>
    <cellStyle name="RowTitles-Detail 2 3 2 5 2 2 2" xfId="18343"/>
    <cellStyle name="RowTitles-Detail 2 3 2 5 2 2 2 2" xfId="18344"/>
    <cellStyle name="RowTitles-Detail 2 3 2 5 2 2 2_Tertiary Salaries Survey" xfId="18345"/>
    <cellStyle name="RowTitles-Detail 2 3 2 5 2 2 3" xfId="18346"/>
    <cellStyle name="RowTitles-Detail 2 3 2 5 2 2_Tertiary Salaries Survey" xfId="18347"/>
    <cellStyle name="RowTitles-Detail 2 3 2 5 2 3" xfId="18348"/>
    <cellStyle name="RowTitles-Detail 2 3 2 5 2 3 2" xfId="18349"/>
    <cellStyle name="RowTitles-Detail 2 3 2 5 2 3 2 2" xfId="18350"/>
    <cellStyle name="RowTitles-Detail 2 3 2 5 2 3 2_Tertiary Salaries Survey" xfId="18351"/>
    <cellStyle name="RowTitles-Detail 2 3 2 5 2 3 3" xfId="18352"/>
    <cellStyle name="RowTitles-Detail 2 3 2 5 2 3_Tertiary Salaries Survey" xfId="18353"/>
    <cellStyle name="RowTitles-Detail 2 3 2 5 2 4" xfId="18354"/>
    <cellStyle name="RowTitles-Detail 2 3 2 5 2 5" xfId="18355"/>
    <cellStyle name="RowTitles-Detail 2 3 2 5 2 5 2" xfId="18356"/>
    <cellStyle name="RowTitles-Detail 2 3 2 5 2 5_Tertiary Salaries Survey" xfId="18357"/>
    <cellStyle name="RowTitles-Detail 2 3 2 5 2 6" xfId="18358"/>
    <cellStyle name="RowTitles-Detail 2 3 2 5 2_Tertiary Salaries Survey" xfId="18359"/>
    <cellStyle name="RowTitles-Detail 2 3 2 5 3" xfId="18360"/>
    <cellStyle name="RowTitles-Detail 2 3 2 5 3 2" xfId="18361"/>
    <cellStyle name="RowTitles-Detail 2 3 2 5 3 2 2" xfId="18362"/>
    <cellStyle name="RowTitles-Detail 2 3 2 5 3 2 2 2" xfId="18363"/>
    <cellStyle name="RowTitles-Detail 2 3 2 5 3 2 2_Tertiary Salaries Survey" xfId="18364"/>
    <cellStyle name="RowTitles-Detail 2 3 2 5 3 2 3" xfId="18365"/>
    <cellStyle name="RowTitles-Detail 2 3 2 5 3 2_Tertiary Salaries Survey" xfId="18366"/>
    <cellStyle name="RowTitles-Detail 2 3 2 5 3 3" xfId="18367"/>
    <cellStyle name="RowTitles-Detail 2 3 2 5 3 3 2" xfId="18368"/>
    <cellStyle name="RowTitles-Detail 2 3 2 5 3 3 2 2" xfId="18369"/>
    <cellStyle name="RowTitles-Detail 2 3 2 5 3 3 2_Tertiary Salaries Survey" xfId="18370"/>
    <cellStyle name="RowTitles-Detail 2 3 2 5 3 3 3" xfId="18371"/>
    <cellStyle name="RowTitles-Detail 2 3 2 5 3 3_Tertiary Salaries Survey" xfId="18372"/>
    <cellStyle name="RowTitles-Detail 2 3 2 5 3 4" xfId="18373"/>
    <cellStyle name="RowTitles-Detail 2 3 2 5 3 5" xfId="18374"/>
    <cellStyle name="RowTitles-Detail 2 3 2 5 3_Tertiary Salaries Survey" xfId="18375"/>
    <cellStyle name="RowTitles-Detail 2 3 2 5 4" xfId="18376"/>
    <cellStyle name="RowTitles-Detail 2 3 2 5 4 2" xfId="18377"/>
    <cellStyle name="RowTitles-Detail 2 3 2 5 4 2 2" xfId="18378"/>
    <cellStyle name="RowTitles-Detail 2 3 2 5 4 2 2 2" xfId="18379"/>
    <cellStyle name="RowTitles-Detail 2 3 2 5 4 2 2_Tertiary Salaries Survey" xfId="18380"/>
    <cellStyle name="RowTitles-Detail 2 3 2 5 4 2 3" xfId="18381"/>
    <cellStyle name="RowTitles-Detail 2 3 2 5 4 2_Tertiary Salaries Survey" xfId="18382"/>
    <cellStyle name="RowTitles-Detail 2 3 2 5 4 3" xfId="18383"/>
    <cellStyle name="RowTitles-Detail 2 3 2 5 4 3 2" xfId="18384"/>
    <cellStyle name="RowTitles-Detail 2 3 2 5 4 3 2 2" xfId="18385"/>
    <cellStyle name="RowTitles-Detail 2 3 2 5 4 3 2_Tertiary Salaries Survey" xfId="18386"/>
    <cellStyle name="RowTitles-Detail 2 3 2 5 4 3 3" xfId="18387"/>
    <cellStyle name="RowTitles-Detail 2 3 2 5 4 3_Tertiary Salaries Survey" xfId="18388"/>
    <cellStyle name="RowTitles-Detail 2 3 2 5 4 4" xfId="18389"/>
    <cellStyle name="RowTitles-Detail 2 3 2 5 4 5" xfId="18390"/>
    <cellStyle name="RowTitles-Detail 2 3 2 5 4 5 2" xfId="18391"/>
    <cellStyle name="RowTitles-Detail 2 3 2 5 4 5_Tertiary Salaries Survey" xfId="18392"/>
    <cellStyle name="RowTitles-Detail 2 3 2 5 4 6" xfId="18393"/>
    <cellStyle name="RowTitles-Detail 2 3 2 5 4_Tertiary Salaries Survey" xfId="18394"/>
    <cellStyle name="RowTitles-Detail 2 3 2 5 5" xfId="18395"/>
    <cellStyle name="RowTitles-Detail 2 3 2 5 5 2" xfId="18396"/>
    <cellStyle name="RowTitles-Detail 2 3 2 5 5 2 2" xfId="18397"/>
    <cellStyle name="RowTitles-Detail 2 3 2 5 5 2 2 2" xfId="18398"/>
    <cellStyle name="RowTitles-Detail 2 3 2 5 5 2 2_Tertiary Salaries Survey" xfId="18399"/>
    <cellStyle name="RowTitles-Detail 2 3 2 5 5 2 3" xfId="18400"/>
    <cellStyle name="RowTitles-Detail 2 3 2 5 5 2_Tertiary Salaries Survey" xfId="18401"/>
    <cellStyle name="RowTitles-Detail 2 3 2 5 5 3" xfId="18402"/>
    <cellStyle name="RowTitles-Detail 2 3 2 5 5 3 2" xfId="18403"/>
    <cellStyle name="RowTitles-Detail 2 3 2 5 5 3 2 2" xfId="18404"/>
    <cellStyle name="RowTitles-Detail 2 3 2 5 5 3 2_Tertiary Salaries Survey" xfId="18405"/>
    <cellStyle name="RowTitles-Detail 2 3 2 5 5 3 3" xfId="18406"/>
    <cellStyle name="RowTitles-Detail 2 3 2 5 5 3_Tertiary Salaries Survey" xfId="18407"/>
    <cellStyle name="RowTitles-Detail 2 3 2 5 5 4" xfId="18408"/>
    <cellStyle name="RowTitles-Detail 2 3 2 5 5 4 2" xfId="18409"/>
    <cellStyle name="RowTitles-Detail 2 3 2 5 5 4_Tertiary Salaries Survey" xfId="18410"/>
    <cellStyle name="RowTitles-Detail 2 3 2 5 5 5" xfId="18411"/>
    <cellStyle name="RowTitles-Detail 2 3 2 5 5_Tertiary Salaries Survey" xfId="18412"/>
    <cellStyle name="RowTitles-Detail 2 3 2 5 6" xfId="18413"/>
    <cellStyle name="RowTitles-Detail 2 3 2 5 6 2" xfId="18414"/>
    <cellStyle name="RowTitles-Detail 2 3 2 5 6 2 2" xfId="18415"/>
    <cellStyle name="RowTitles-Detail 2 3 2 5 6 2 2 2" xfId="18416"/>
    <cellStyle name="RowTitles-Detail 2 3 2 5 6 2 2_Tertiary Salaries Survey" xfId="18417"/>
    <cellStyle name="RowTitles-Detail 2 3 2 5 6 2 3" xfId="18418"/>
    <cellStyle name="RowTitles-Detail 2 3 2 5 6 2_Tertiary Salaries Survey" xfId="18419"/>
    <cellStyle name="RowTitles-Detail 2 3 2 5 6 3" xfId="18420"/>
    <cellStyle name="RowTitles-Detail 2 3 2 5 6 3 2" xfId="18421"/>
    <cellStyle name="RowTitles-Detail 2 3 2 5 6 3 2 2" xfId="18422"/>
    <cellStyle name="RowTitles-Detail 2 3 2 5 6 3 2_Tertiary Salaries Survey" xfId="18423"/>
    <cellStyle name="RowTitles-Detail 2 3 2 5 6 3 3" xfId="18424"/>
    <cellStyle name="RowTitles-Detail 2 3 2 5 6 3_Tertiary Salaries Survey" xfId="18425"/>
    <cellStyle name="RowTitles-Detail 2 3 2 5 6 4" xfId="18426"/>
    <cellStyle name="RowTitles-Detail 2 3 2 5 6 4 2" xfId="18427"/>
    <cellStyle name="RowTitles-Detail 2 3 2 5 6 4_Tertiary Salaries Survey" xfId="18428"/>
    <cellStyle name="RowTitles-Detail 2 3 2 5 6 5" xfId="18429"/>
    <cellStyle name="RowTitles-Detail 2 3 2 5 6_Tertiary Salaries Survey" xfId="18430"/>
    <cellStyle name="RowTitles-Detail 2 3 2 5 7" xfId="18431"/>
    <cellStyle name="RowTitles-Detail 2 3 2 5 7 2" xfId="18432"/>
    <cellStyle name="RowTitles-Detail 2 3 2 5 7 2 2" xfId="18433"/>
    <cellStyle name="RowTitles-Detail 2 3 2 5 7 2_Tertiary Salaries Survey" xfId="18434"/>
    <cellStyle name="RowTitles-Detail 2 3 2 5 7 3" xfId="18435"/>
    <cellStyle name="RowTitles-Detail 2 3 2 5 7_Tertiary Salaries Survey" xfId="18436"/>
    <cellStyle name="RowTitles-Detail 2 3 2 5 8" xfId="18437"/>
    <cellStyle name="RowTitles-Detail 2 3 2 5 9" xfId="18438"/>
    <cellStyle name="RowTitles-Detail 2 3 2 5_STUD aligned by INSTIT" xfId="18439"/>
    <cellStyle name="RowTitles-Detail 2 3 2 6" xfId="18440"/>
    <cellStyle name="RowTitles-Detail 2 3 2 6 2" xfId="18441"/>
    <cellStyle name="RowTitles-Detail 2 3 2 6 2 2" xfId="18442"/>
    <cellStyle name="RowTitles-Detail 2 3 2 6 2 2 2" xfId="18443"/>
    <cellStyle name="RowTitles-Detail 2 3 2 6 2 2_Tertiary Salaries Survey" xfId="18444"/>
    <cellStyle name="RowTitles-Detail 2 3 2 6 2 3" xfId="18445"/>
    <cellStyle name="RowTitles-Detail 2 3 2 6 2_Tertiary Salaries Survey" xfId="18446"/>
    <cellStyle name="RowTitles-Detail 2 3 2 6 3" xfId="18447"/>
    <cellStyle name="RowTitles-Detail 2 3 2 6 3 2" xfId="18448"/>
    <cellStyle name="RowTitles-Detail 2 3 2 6 3 2 2" xfId="18449"/>
    <cellStyle name="RowTitles-Detail 2 3 2 6 3 2_Tertiary Salaries Survey" xfId="18450"/>
    <cellStyle name="RowTitles-Detail 2 3 2 6 3 3" xfId="18451"/>
    <cellStyle name="RowTitles-Detail 2 3 2 6 3_Tertiary Salaries Survey" xfId="18452"/>
    <cellStyle name="RowTitles-Detail 2 3 2 6 4" xfId="18453"/>
    <cellStyle name="RowTitles-Detail 2 3 2 6 5" xfId="18454"/>
    <cellStyle name="RowTitles-Detail 2 3 2 6 5 2" xfId="18455"/>
    <cellStyle name="RowTitles-Detail 2 3 2 6 5_Tertiary Salaries Survey" xfId="18456"/>
    <cellStyle name="RowTitles-Detail 2 3 2 6 6" xfId="18457"/>
    <cellStyle name="RowTitles-Detail 2 3 2 6_Tertiary Salaries Survey" xfId="18458"/>
    <cellStyle name="RowTitles-Detail 2 3 2 7" xfId="18459"/>
    <cellStyle name="RowTitles-Detail 2 3 2 7 2" xfId="18460"/>
    <cellStyle name="RowTitles-Detail 2 3 2 7 2 2" xfId="18461"/>
    <cellStyle name="RowTitles-Detail 2 3 2 7 2 2 2" xfId="18462"/>
    <cellStyle name="RowTitles-Detail 2 3 2 7 2 2_Tertiary Salaries Survey" xfId="18463"/>
    <cellStyle name="RowTitles-Detail 2 3 2 7 2 3" xfId="18464"/>
    <cellStyle name="RowTitles-Detail 2 3 2 7 2_Tertiary Salaries Survey" xfId="18465"/>
    <cellStyle name="RowTitles-Detail 2 3 2 7 3" xfId="18466"/>
    <cellStyle name="RowTitles-Detail 2 3 2 7 3 2" xfId="18467"/>
    <cellStyle name="RowTitles-Detail 2 3 2 7 3 2 2" xfId="18468"/>
    <cellStyle name="RowTitles-Detail 2 3 2 7 3 2_Tertiary Salaries Survey" xfId="18469"/>
    <cellStyle name="RowTitles-Detail 2 3 2 7 3 3" xfId="18470"/>
    <cellStyle name="RowTitles-Detail 2 3 2 7 3_Tertiary Salaries Survey" xfId="18471"/>
    <cellStyle name="RowTitles-Detail 2 3 2 7 4" xfId="18472"/>
    <cellStyle name="RowTitles-Detail 2 3 2 7 5" xfId="18473"/>
    <cellStyle name="RowTitles-Detail 2 3 2 7_Tertiary Salaries Survey" xfId="18474"/>
    <cellStyle name="RowTitles-Detail 2 3 2 8" xfId="18475"/>
    <cellStyle name="RowTitles-Detail 2 3 2 8 2" xfId="18476"/>
    <cellStyle name="RowTitles-Detail 2 3 2 8 2 2" xfId="18477"/>
    <cellStyle name="RowTitles-Detail 2 3 2 8 2 2 2" xfId="18478"/>
    <cellStyle name="RowTitles-Detail 2 3 2 8 2 2_Tertiary Salaries Survey" xfId="18479"/>
    <cellStyle name="RowTitles-Detail 2 3 2 8 2 3" xfId="18480"/>
    <cellStyle name="RowTitles-Detail 2 3 2 8 2_Tertiary Salaries Survey" xfId="18481"/>
    <cellStyle name="RowTitles-Detail 2 3 2 8 3" xfId="18482"/>
    <cellStyle name="RowTitles-Detail 2 3 2 8 3 2" xfId="18483"/>
    <cellStyle name="RowTitles-Detail 2 3 2 8 3 2 2" xfId="18484"/>
    <cellStyle name="RowTitles-Detail 2 3 2 8 3 2_Tertiary Salaries Survey" xfId="18485"/>
    <cellStyle name="RowTitles-Detail 2 3 2 8 3 3" xfId="18486"/>
    <cellStyle name="RowTitles-Detail 2 3 2 8 3_Tertiary Salaries Survey" xfId="18487"/>
    <cellStyle name="RowTitles-Detail 2 3 2 8 4" xfId="18488"/>
    <cellStyle name="RowTitles-Detail 2 3 2 8 5" xfId="18489"/>
    <cellStyle name="RowTitles-Detail 2 3 2 8 5 2" xfId="18490"/>
    <cellStyle name="RowTitles-Detail 2 3 2 8 5_Tertiary Salaries Survey" xfId="18491"/>
    <cellStyle name="RowTitles-Detail 2 3 2 8 6" xfId="18492"/>
    <cellStyle name="RowTitles-Detail 2 3 2 8_Tertiary Salaries Survey" xfId="18493"/>
    <cellStyle name="RowTitles-Detail 2 3 2 9" xfId="18494"/>
    <cellStyle name="RowTitles-Detail 2 3 2 9 2" xfId="18495"/>
    <cellStyle name="RowTitles-Detail 2 3 2 9 2 2" xfId="18496"/>
    <cellStyle name="RowTitles-Detail 2 3 2 9 2 2 2" xfId="18497"/>
    <cellStyle name="RowTitles-Detail 2 3 2 9 2 2_Tertiary Salaries Survey" xfId="18498"/>
    <cellStyle name="RowTitles-Detail 2 3 2 9 2 3" xfId="18499"/>
    <cellStyle name="RowTitles-Detail 2 3 2 9 2_Tertiary Salaries Survey" xfId="18500"/>
    <cellStyle name="RowTitles-Detail 2 3 2 9 3" xfId="18501"/>
    <cellStyle name="RowTitles-Detail 2 3 2 9 3 2" xfId="18502"/>
    <cellStyle name="RowTitles-Detail 2 3 2 9 3 2 2" xfId="18503"/>
    <cellStyle name="RowTitles-Detail 2 3 2 9 3 2_Tertiary Salaries Survey" xfId="18504"/>
    <cellStyle name="RowTitles-Detail 2 3 2 9 3 3" xfId="18505"/>
    <cellStyle name="RowTitles-Detail 2 3 2 9 3_Tertiary Salaries Survey" xfId="18506"/>
    <cellStyle name="RowTitles-Detail 2 3 2 9 4" xfId="18507"/>
    <cellStyle name="RowTitles-Detail 2 3 2 9 4 2" xfId="18508"/>
    <cellStyle name="RowTitles-Detail 2 3 2 9 4_Tertiary Salaries Survey" xfId="18509"/>
    <cellStyle name="RowTitles-Detail 2 3 2 9 5" xfId="18510"/>
    <cellStyle name="RowTitles-Detail 2 3 2 9_Tertiary Salaries Survey" xfId="18511"/>
    <cellStyle name="RowTitles-Detail 2 3 2_STUD aligned by INSTIT" xfId="18512"/>
    <cellStyle name="RowTitles-Detail 2 3 3" xfId="18513"/>
    <cellStyle name="RowTitles-Detail 2 3 3 10" xfId="18514"/>
    <cellStyle name="RowTitles-Detail 2 3 3 10 2" xfId="18515"/>
    <cellStyle name="RowTitles-Detail 2 3 3 10 2 2" xfId="18516"/>
    <cellStyle name="RowTitles-Detail 2 3 3 10 2_Tertiary Salaries Survey" xfId="18517"/>
    <cellStyle name="RowTitles-Detail 2 3 3 10 3" xfId="18518"/>
    <cellStyle name="RowTitles-Detail 2 3 3 10_Tertiary Salaries Survey" xfId="18519"/>
    <cellStyle name="RowTitles-Detail 2 3 3 11" xfId="18520"/>
    <cellStyle name="RowTitles-Detail 2 3 3 12" xfId="18521"/>
    <cellStyle name="RowTitles-Detail 2 3 3 2" xfId="18522"/>
    <cellStyle name="RowTitles-Detail 2 3 3 2 2" xfId="18523"/>
    <cellStyle name="RowTitles-Detail 2 3 3 2 2 2" xfId="18524"/>
    <cellStyle name="RowTitles-Detail 2 3 3 2 2 2 2" xfId="18525"/>
    <cellStyle name="RowTitles-Detail 2 3 3 2 2 2 2 2" xfId="18526"/>
    <cellStyle name="RowTitles-Detail 2 3 3 2 2 2 2_Tertiary Salaries Survey" xfId="18527"/>
    <cellStyle name="RowTitles-Detail 2 3 3 2 2 2 3" xfId="18528"/>
    <cellStyle name="RowTitles-Detail 2 3 3 2 2 2_Tertiary Salaries Survey" xfId="18529"/>
    <cellStyle name="RowTitles-Detail 2 3 3 2 2 3" xfId="18530"/>
    <cellStyle name="RowTitles-Detail 2 3 3 2 2 3 2" xfId="18531"/>
    <cellStyle name="RowTitles-Detail 2 3 3 2 2 3 2 2" xfId="18532"/>
    <cellStyle name="RowTitles-Detail 2 3 3 2 2 3 2_Tertiary Salaries Survey" xfId="18533"/>
    <cellStyle name="RowTitles-Detail 2 3 3 2 2 3 3" xfId="18534"/>
    <cellStyle name="RowTitles-Detail 2 3 3 2 2 3_Tertiary Salaries Survey" xfId="18535"/>
    <cellStyle name="RowTitles-Detail 2 3 3 2 2 4" xfId="18536"/>
    <cellStyle name="RowTitles-Detail 2 3 3 2 2 5" xfId="18537"/>
    <cellStyle name="RowTitles-Detail 2 3 3 2 2_Tertiary Salaries Survey" xfId="18538"/>
    <cellStyle name="RowTitles-Detail 2 3 3 2 3" xfId="18539"/>
    <cellStyle name="RowTitles-Detail 2 3 3 2 3 2" xfId="18540"/>
    <cellStyle name="RowTitles-Detail 2 3 3 2 3 2 2" xfId="18541"/>
    <cellStyle name="RowTitles-Detail 2 3 3 2 3 2 2 2" xfId="18542"/>
    <cellStyle name="RowTitles-Detail 2 3 3 2 3 2 2_Tertiary Salaries Survey" xfId="18543"/>
    <cellStyle name="RowTitles-Detail 2 3 3 2 3 2 3" xfId="18544"/>
    <cellStyle name="RowTitles-Detail 2 3 3 2 3 2_Tertiary Salaries Survey" xfId="18545"/>
    <cellStyle name="RowTitles-Detail 2 3 3 2 3 3" xfId="18546"/>
    <cellStyle name="RowTitles-Detail 2 3 3 2 3 3 2" xfId="18547"/>
    <cellStyle name="RowTitles-Detail 2 3 3 2 3 3 2 2" xfId="18548"/>
    <cellStyle name="RowTitles-Detail 2 3 3 2 3 3 2_Tertiary Salaries Survey" xfId="18549"/>
    <cellStyle name="RowTitles-Detail 2 3 3 2 3 3 3" xfId="18550"/>
    <cellStyle name="RowTitles-Detail 2 3 3 2 3 3_Tertiary Salaries Survey" xfId="18551"/>
    <cellStyle name="RowTitles-Detail 2 3 3 2 3 4" xfId="18552"/>
    <cellStyle name="RowTitles-Detail 2 3 3 2 3 5" xfId="18553"/>
    <cellStyle name="RowTitles-Detail 2 3 3 2 3 5 2" xfId="18554"/>
    <cellStyle name="RowTitles-Detail 2 3 3 2 3 5_Tertiary Salaries Survey" xfId="18555"/>
    <cellStyle name="RowTitles-Detail 2 3 3 2 3 6" xfId="18556"/>
    <cellStyle name="RowTitles-Detail 2 3 3 2 3_Tertiary Salaries Survey" xfId="18557"/>
    <cellStyle name="RowTitles-Detail 2 3 3 2 4" xfId="18558"/>
    <cellStyle name="RowTitles-Detail 2 3 3 2 4 2" xfId="18559"/>
    <cellStyle name="RowTitles-Detail 2 3 3 2 4 2 2" xfId="18560"/>
    <cellStyle name="RowTitles-Detail 2 3 3 2 4 2 2 2" xfId="18561"/>
    <cellStyle name="RowTitles-Detail 2 3 3 2 4 2 2_Tertiary Salaries Survey" xfId="18562"/>
    <cellStyle name="RowTitles-Detail 2 3 3 2 4 2 3" xfId="18563"/>
    <cellStyle name="RowTitles-Detail 2 3 3 2 4 2_Tertiary Salaries Survey" xfId="18564"/>
    <cellStyle name="RowTitles-Detail 2 3 3 2 4 3" xfId="18565"/>
    <cellStyle name="RowTitles-Detail 2 3 3 2 4 3 2" xfId="18566"/>
    <cellStyle name="RowTitles-Detail 2 3 3 2 4 3 2 2" xfId="18567"/>
    <cellStyle name="RowTitles-Detail 2 3 3 2 4 3 2_Tertiary Salaries Survey" xfId="18568"/>
    <cellStyle name="RowTitles-Detail 2 3 3 2 4 3 3" xfId="18569"/>
    <cellStyle name="RowTitles-Detail 2 3 3 2 4 3_Tertiary Salaries Survey" xfId="18570"/>
    <cellStyle name="RowTitles-Detail 2 3 3 2 4 4" xfId="18571"/>
    <cellStyle name="RowTitles-Detail 2 3 3 2 4 4 2" xfId="18572"/>
    <cellStyle name="RowTitles-Detail 2 3 3 2 4 4_Tertiary Salaries Survey" xfId="18573"/>
    <cellStyle name="RowTitles-Detail 2 3 3 2 4 5" xfId="18574"/>
    <cellStyle name="RowTitles-Detail 2 3 3 2 4_Tertiary Salaries Survey" xfId="18575"/>
    <cellStyle name="RowTitles-Detail 2 3 3 2 5" xfId="18576"/>
    <cellStyle name="RowTitles-Detail 2 3 3 2 5 2" xfId="18577"/>
    <cellStyle name="RowTitles-Detail 2 3 3 2 5 2 2" xfId="18578"/>
    <cellStyle name="RowTitles-Detail 2 3 3 2 5 2 2 2" xfId="18579"/>
    <cellStyle name="RowTitles-Detail 2 3 3 2 5 2 2_Tertiary Salaries Survey" xfId="18580"/>
    <cellStyle name="RowTitles-Detail 2 3 3 2 5 2 3" xfId="18581"/>
    <cellStyle name="RowTitles-Detail 2 3 3 2 5 2_Tertiary Salaries Survey" xfId="18582"/>
    <cellStyle name="RowTitles-Detail 2 3 3 2 5 3" xfId="18583"/>
    <cellStyle name="RowTitles-Detail 2 3 3 2 5 3 2" xfId="18584"/>
    <cellStyle name="RowTitles-Detail 2 3 3 2 5 3 2 2" xfId="18585"/>
    <cellStyle name="RowTitles-Detail 2 3 3 2 5 3 2_Tertiary Salaries Survey" xfId="18586"/>
    <cellStyle name="RowTitles-Detail 2 3 3 2 5 3 3" xfId="18587"/>
    <cellStyle name="RowTitles-Detail 2 3 3 2 5 3_Tertiary Salaries Survey" xfId="18588"/>
    <cellStyle name="RowTitles-Detail 2 3 3 2 5 4" xfId="18589"/>
    <cellStyle name="RowTitles-Detail 2 3 3 2 5 4 2" xfId="18590"/>
    <cellStyle name="RowTitles-Detail 2 3 3 2 5 4_Tertiary Salaries Survey" xfId="18591"/>
    <cellStyle name="RowTitles-Detail 2 3 3 2 5 5" xfId="18592"/>
    <cellStyle name="RowTitles-Detail 2 3 3 2 5_Tertiary Salaries Survey" xfId="18593"/>
    <cellStyle name="RowTitles-Detail 2 3 3 2 6" xfId="18594"/>
    <cellStyle name="RowTitles-Detail 2 3 3 2 6 2" xfId="18595"/>
    <cellStyle name="RowTitles-Detail 2 3 3 2 6 2 2" xfId="18596"/>
    <cellStyle name="RowTitles-Detail 2 3 3 2 6 2 2 2" xfId="18597"/>
    <cellStyle name="RowTitles-Detail 2 3 3 2 6 2 2_Tertiary Salaries Survey" xfId="18598"/>
    <cellStyle name="RowTitles-Detail 2 3 3 2 6 2 3" xfId="18599"/>
    <cellStyle name="RowTitles-Detail 2 3 3 2 6 2_Tertiary Salaries Survey" xfId="18600"/>
    <cellStyle name="RowTitles-Detail 2 3 3 2 6 3" xfId="18601"/>
    <cellStyle name="RowTitles-Detail 2 3 3 2 6 3 2" xfId="18602"/>
    <cellStyle name="RowTitles-Detail 2 3 3 2 6 3 2 2" xfId="18603"/>
    <cellStyle name="RowTitles-Detail 2 3 3 2 6 3 2_Tertiary Salaries Survey" xfId="18604"/>
    <cellStyle name="RowTitles-Detail 2 3 3 2 6 3 3" xfId="18605"/>
    <cellStyle name="RowTitles-Detail 2 3 3 2 6 3_Tertiary Salaries Survey" xfId="18606"/>
    <cellStyle name="RowTitles-Detail 2 3 3 2 6 4" xfId="18607"/>
    <cellStyle name="RowTitles-Detail 2 3 3 2 6 4 2" xfId="18608"/>
    <cellStyle name="RowTitles-Detail 2 3 3 2 6 4_Tertiary Salaries Survey" xfId="18609"/>
    <cellStyle name="RowTitles-Detail 2 3 3 2 6 5" xfId="18610"/>
    <cellStyle name="RowTitles-Detail 2 3 3 2 6_Tertiary Salaries Survey" xfId="18611"/>
    <cellStyle name="RowTitles-Detail 2 3 3 2 7" xfId="18612"/>
    <cellStyle name="RowTitles-Detail 2 3 3 2 7 2" xfId="18613"/>
    <cellStyle name="RowTitles-Detail 2 3 3 2 7 2 2" xfId="18614"/>
    <cellStyle name="RowTitles-Detail 2 3 3 2 7 2_Tertiary Salaries Survey" xfId="18615"/>
    <cellStyle name="RowTitles-Detail 2 3 3 2 7 3" xfId="18616"/>
    <cellStyle name="RowTitles-Detail 2 3 3 2 7_Tertiary Salaries Survey" xfId="18617"/>
    <cellStyle name="RowTitles-Detail 2 3 3 2 8" xfId="18618"/>
    <cellStyle name="RowTitles-Detail 2 3 3 2 9" xfId="18619"/>
    <cellStyle name="RowTitles-Detail 2 3 3 2_STUD aligned by INSTIT" xfId="18620"/>
    <cellStyle name="RowTitles-Detail 2 3 3 3" xfId="18621"/>
    <cellStyle name="RowTitles-Detail 2 3 3 3 2" xfId="18622"/>
    <cellStyle name="RowTitles-Detail 2 3 3 3 2 2" xfId="18623"/>
    <cellStyle name="RowTitles-Detail 2 3 3 3 2 2 2" xfId="18624"/>
    <cellStyle name="RowTitles-Detail 2 3 3 3 2 2 2 2" xfId="18625"/>
    <cellStyle name="RowTitles-Detail 2 3 3 3 2 2 2_Tertiary Salaries Survey" xfId="18626"/>
    <cellStyle name="RowTitles-Detail 2 3 3 3 2 2 3" xfId="18627"/>
    <cellStyle name="RowTitles-Detail 2 3 3 3 2 2_Tertiary Salaries Survey" xfId="18628"/>
    <cellStyle name="RowTitles-Detail 2 3 3 3 2 3" xfId="18629"/>
    <cellStyle name="RowTitles-Detail 2 3 3 3 2 3 2" xfId="18630"/>
    <cellStyle name="RowTitles-Detail 2 3 3 3 2 3 2 2" xfId="18631"/>
    <cellStyle name="RowTitles-Detail 2 3 3 3 2 3 2_Tertiary Salaries Survey" xfId="18632"/>
    <cellStyle name="RowTitles-Detail 2 3 3 3 2 3 3" xfId="18633"/>
    <cellStyle name="RowTitles-Detail 2 3 3 3 2 3_Tertiary Salaries Survey" xfId="18634"/>
    <cellStyle name="RowTitles-Detail 2 3 3 3 2 4" xfId="18635"/>
    <cellStyle name="RowTitles-Detail 2 3 3 3 2 5" xfId="18636"/>
    <cellStyle name="RowTitles-Detail 2 3 3 3 2 5 2" xfId="18637"/>
    <cellStyle name="RowTitles-Detail 2 3 3 3 2 5_Tertiary Salaries Survey" xfId="18638"/>
    <cellStyle name="RowTitles-Detail 2 3 3 3 2 6" xfId="18639"/>
    <cellStyle name="RowTitles-Detail 2 3 3 3 2_Tertiary Salaries Survey" xfId="18640"/>
    <cellStyle name="RowTitles-Detail 2 3 3 3 3" xfId="18641"/>
    <cellStyle name="RowTitles-Detail 2 3 3 3 3 2" xfId="18642"/>
    <cellStyle name="RowTitles-Detail 2 3 3 3 3 2 2" xfId="18643"/>
    <cellStyle name="RowTitles-Detail 2 3 3 3 3 2 2 2" xfId="18644"/>
    <cellStyle name="RowTitles-Detail 2 3 3 3 3 2 2_Tertiary Salaries Survey" xfId="18645"/>
    <cellStyle name="RowTitles-Detail 2 3 3 3 3 2 3" xfId="18646"/>
    <cellStyle name="RowTitles-Detail 2 3 3 3 3 2_Tertiary Salaries Survey" xfId="18647"/>
    <cellStyle name="RowTitles-Detail 2 3 3 3 3 3" xfId="18648"/>
    <cellStyle name="RowTitles-Detail 2 3 3 3 3 3 2" xfId="18649"/>
    <cellStyle name="RowTitles-Detail 2 3 3 3 3 3 2 2" xfId="18650"/>
    <cellStyle name="RowTitles-Detail 2 3 3 3 3 3 2_Tertiary Salaries Survey" xfId="18651"/>
    <cellStyle name="RowTitles-Detail 2 3 3 3 3 3 3" xfId="18652"/>
    <cellStyle name="RowTitles-Detail 2 3 3 3 3 3_Tertiary Salaries Survey" xfId="18653"/>
    <cellStyle name="RowTitles-Detail 2 3 3 3 3 4" xfId="18654"/>
    <cellStyle name="RowTitles-Detail 2 3 3 3 3 5" xfId="18655"/>
    <cellStyle name="RowTitles-Detail 2 3 3 3 3_Tertiary Salaries Survey" xfId="18656"/>
    <cellStyle name="RowTitles-Detail 2 3 3 3 4" xfId="18657"/>
    <cellStyle name="RowTitles-Detail 2 3 3 3 4 2" xfId="18658"/>
    <cellStyle name="RowTitles-Detail 2 3 3 3 4 2 2" xfId="18659"/>
    <cellStyle name="RowTitles-Detail 2 3 3 3 4 2 2 2" xfId="18660"/>
    <cellStyle name="RowTitles-Detail 2 3 3 3 4 2 2_Tertiary Salaries Survey" xfId="18661"/>
    <cellStyle name="RowTitles-Detail 2 3 3 3 4 2 3" xfId="18662"/>
    <cellStyle name="RowTitles-Detail 2 3 3 3 4 2_Tertiary Salaries Survey" xfId="18663"/>
    <cellStyle name="RowTitles-Detail 2 3 3 3 4 3" xfId="18664"/>
    <cellStyle name="RowTitles-Detail 2 3 3 3 4 3 2" xfId="18665"/>
    <cellStyle name="RowTitles-Detail 2 3 3 3 4 3 2 2" xfId="18666"/>
    <cellStyle name="RowTitles-Detail 2 3 3 3 4 3 2_Tertiary Salaries Survey" xfId="18667"/>
    <cellStyle name="RowTitles-Detail 2 3 3 3 4 3 3" xfId="18668"/>
    <cellStyle name="RowTitles-Detail 2 3 3 3 4 3_Tertiary Salaries Survey" xfId="18669"/>
    <cellStyle name="RowTitles-Detail 2 3 3 3 4 4" xfId="18670"/>
    <cellStyle name="RowTitles-Detail 2 3 3 3 4 4 2" xfId="18671"/>
    <cellStyle name="RowTitles-Detail 2 3 3 3 4 4_Tertiary Salaries Survey" xfId="18672"/>
    <cellStyle name="RowTitles-Detail 2 3 3 3 4 5" xfId="18673"/>
    <cellStyle name="RowTitles-Detail 2 3 3 3 4_Tertiary Salaries Survey" xfId="18674"/>
    <cellStyle name="RowTitles-Detail 2 3 3 3 5" xfId="18675"/>
    <cellStyle name="RowTitles-Detail 2 3 3 3 5 2" xfId="18676"/>
    <cellStyle name="RowTitles-Detail 2 3 3 3 5 2 2" xfId="18677"/>
    <cellStyle name="RowTitles-Detail 2 3 3 3 5 2 2 2" xfId="18678"/>
    <cellStyle name="RowTitles-Detail 2 3 3 3 5 2 2_Tertiary Salaries Survey" xfId="18679"/>
    <cellStyle name="RowTitles-Detail 2 3 3 3 5 2 3" xfId="18680"/>
    <cellStyle name="RowTitles-Detail 2 3 3 3 5 2_Tertiary Salaries Survey" xfId="18681"/>
    <cellStyle name="RowTitles-Detail 2 3 3 3 5 3" xfId="18682"/>
    <cellStyle name="RowTitles-Detail 2 3 3 3 5 3 2" xfId="18683"/>
    <cellStyle name="RowTitles-Detail 2 3 3 3 5 3 2 2" xfId="18684"/>
    <cellStyle name="RowTitles-Detail 2 3 3 3 5 3 2_Tertiary Salaries Survey" xfId="18685"/>
    <cellStyle name="RowTitles-Detail 2 3 3 3 5 3 3" xfId="18686"/>
    <cellStyle name="RowTitles-Detail 2 3 3 3 5 3_Tertiary Salaries Survey" xfId="18687"/>
    <cellStyle name="RowTitles-Detail 2 3 3 3 5 4" xfId="18688"/>
    <cellStyle name="RowTitles-Detail 2 3 3 3 5 4 2" xfId="18689"/>
    <cellStyle name="RowTitles-Detail 2 3 3 3 5 4_Tertiary Salaries Survey" xfId="18690"/>
    <cellStyle name="RowTitles-Detail 2 3 3 3 5 5" xfId="18691"/>
    <cellStyle name="RowTitles-Detail 2 3 3 3 5_Tertiary Salaries Survey" xfId="18692"/>
    <cellStyle name="RowTitles-Detail 2 3 3 3 6" xfId="18693"/>
    <cellStyle name="RowTitles-Detail 2 3 3 3 6 2" xfId="18694"/>
    <cellStyle name="RowTitles-Detail 2 3 3 3 6 2 2" xfId="18695"/>
    <cellStyle name="RowTitles-Detail 2 3 3 3 6 2 2 2" xfId="18696"/>
    <cellStyle name="RowTitles-Detail 2 3 3 3 6 2 2_Tertiary Salaries Survey" xfId="18697"/>
    <cellStyle name="RowTitles-Detail 2 3 3 3 6 2 3" xfId="18698"/>
    <cellStyle name="RowTitles-Detail 2 3 3 3 6 2_Tertiary Salaries Survey" xfId="18699"/>
    <cellStyle name="RowTitles-Detail 2 3 3 3 6 3" xfId="18700"/>
    <cellStyle name="RowTitles-Detail 2 3 3 3 6 3 2" xfId="18701"/>
    <cellStyle name="RowTitles-Detail 2 3 3 3 6 3 2 2" xfId="18702"/>
    <cellStyle name="RowTitles-Detail 2 3 3 3 6 3 2_Tertiary Salaries Survey" xfId="18703"/>
    <cellStyle name="RowTitles-Detail 2 3 3 3 6 3 3" xfId="18704"/>
    <cellStyle name="RowTitles-Detail 2 3 3 3 6 3_Tertiary Salaries Survey" xfId="18705"/>
    <cellStyle name="RowTitles-Detail 2 3 3 3 6 4" xfId="18706"/>
    <cellStyle name="RowTitles-Detail 2 3 3 3 6 4 2" xfId="18707"/>
    <cellStyle name="RowTitles-Detail 2 3 3 3 6 4_Tertiary Salaries Survey" xfId="18708"/>
    <cellStyle name="RowTitles-Detail 2 3 3 3 6 5" xfId="18709"/>
    <cellStyle name="RowTitles-Detail 2 3 3 3 6_Tertiary Salaries Survey" xfId="18710"/>
    <cellStyle name="RowTitles-Detail 2 3 3 3 7" xfId="18711"/>
    <cellStyle name="RowTitles-Detail 2 3 3 3 7 2" xfId="18712"/>
    <cellStyle name="RowTitles-Detail 2 3 3 3 7 2 2" xfId="18713"/>
    <cellStyle name="RowTitles-Detail 2 3 3 3 7 2_Tertiary Salaries Survey" xfId="18714"/>
    <cellStyle name="RowTitles-Detail 2 3 3 3 7 3" xfId="18715"/>
    <cellStyle name="RowTitles-Detail 2 3 3 3 7_Tertiary Salaries Survey" xfId="18716"/>
    <cellStyle name="RowTitles-Detail 2 3 3 3 8" xfId="18717"/>
    <cellStyle name="RowTitles-Detail 2 3 3 3 8 2" xfId="18718"/>
    <cellStyle name="RowTitles-Detail 2 3 3 3 8 2 2" xfId="18719"/>
    <cellStyle name="RowTitles-Detail 2 3 3 3 8 2_Tertiary Salaries Survey" xfId="18720"/>
    <cellStyle name="RowTitles-Detail 2 3 3 3 8 3" xfId="18721"/>
    <cellStyle name="RowTitles-Detail 2 3 3 3 8_Tertiary Salaries Survey" xfId="18722"/>
    <cellStyle name="RowTitles-Detail 2 3 3 3 9" xfId="18723"/>
    <cellStyle name="RowTitles-Detail 2 3 3 3_STUD aligned by INSTIT" xfId="18724"/>
    <cellStyle name="RowTitles-Detail 2 3 3 4" xfId="18725"/>
    <cellStyle name="RowTitles-Detail 2 3 3 4 2" xfId="18726"/>
    <cellStyle name="RowTitles-Detail 2 3 3 4 2 2" xfId="18727"/>
    <cellStyle name="RowTitles-Detail 2 3 3 4 2 2 2" xfId="18728"/>
    <cellStyle name="RowTitles-Detail 2 3 3 4 2 2 2 2" xfId="18729"/>
    <cellStyle name="RowTitles-Detail 2 3 3 4 2 2 2_Tertiary Salaries Survey" xfId="18730"/>
    <cellStyle name="RowTitles-Detail 2 3 3 4 2 2 3" xfId="18731"/>
    <cellStyle name="RowTitles-Detail 2 3 3 4 2 2_Tertiary Salaries Survey" xfId="18732"/>
    <cellStyle name="RowTitles-Detail 2 3 3 4 2 3" xfId="18733"/>
    <cellStyle name="RowTitles-Detail 2 3 3 4 2 3 2" xfId="18734"/>
    <cellStyle name="RowTitles-Detail 2 3 3 4 2 3 2 2" xfId="18735"/>
    <cellStyle name="RowTitles-Detail 2 3 3 4 2 3 2_Tertiary Salaries Survey" xfId="18736"/>
    <cellStyle name="RowTitles-Detail 2 3 3 4 2 3 3" xfId="18737"/>
    <cellStyle name="RowTitles-Detail 2 3 3 4 2 3_Tertiary Salaries Survey" xfId="18738"/>
    <cellStyle name="RowTitles-Detail 2 3 3 4 2 4" xfId="18739"/>
    <cellStyle name="RowTitles-Detail 2 3 3 4 2 5" xfId="18740"/>
    <cellStyle name="RowTitles-Detail 2 3 3 4 2 5 2" xfId="18741"/>
    <cellStyle name="RowTitles-Detail 2 3 3 4 2 5_Tertiary Salaries Survey" xfId="18742"/>
    <cellStyle name="RowTitles-Detail 2 3 3 4 2 6" xfId="18743"/>
    <cellStyle name="RowTitles-Detail 2 3 3 4 2_Tertiary Salaries Survey" xfId="18744"/>
    <cellStyle name="RowTitles-Detail 2 3 3 4 3" xfId="18745"/>
    <cellStyle name="RowTitles-Detail 2 3 3 4 3 2" xfId="18746"/>
    <cellStyle name="RowTitles-Detail 2 3 3 4 3 2 2" xfId="18747"/>
    <cellStyle name="RowTitles-Detail 2 3 3 4 3 2 2 2" xfId="18748"/>
    <cellStyle name="RowTitles-Detail 2 3 3 4 3 2 2_Tertiary Salaries Survey" xfId="18749"/>
    <cellStyle name="RowTitles-Detail 2 3 3 4 3 2 3" xfId="18750"/>
    <cellStyle name="RowTitles-Detail 2 3 3 4 3 2_Tertiary Salaries Survey" xfId="18751"/>
    <cellStyle name="RowTitles-Detail 2 3 3 4 3 3" xfId="18752"/>
    <cellStyle name="RowTitles-Detail 2 3 3 4 3 3 2" xfId="18753"/>
    <cellStyle name="RowTitles-Detail 2 3 3 4 3 3 2 2" xfId="18754"/>
    <cellStyle name="RowTitles-Detail 2 3 3 4 3 3 2_Tertiary Salaries Survey" xfId="18755"/>
    <cellStyle name="RowTitles-Detail 2 3 3 4 3 3 3" xfId="18756"/>
    <cellStyle name="RowTitles-Detail 2 3 3 4 3 3_Tertiary Salaries Survey" xfId="18757"/>
    <cellStyle name="RowTitles-Detail 2 3 3 4 3 4" xfId="18758"/>
    <cellStyle name="RowTitles-Detail 2 3 3 4 3 5" xfId="18759"/>
    <cellStyle name="RowTitles-Detail 2 3 3 4 3_Tertiary Salaries Survey" xfId="18760"/>
    <cellStyle name="RowTitles-Detail 2 3 3 4 4" xfId="18761"/>
    <cellStyle name="RowTitles-Detail 2 3 3 4 4 2" xfId="18762"/>
    <cellStyle name="RowTitles-Detail 2 3 3 4 4 2 2" xfId="18763"/>
    <cellStyle name="RowTitles-Detail 2 3 3 4 4 2 2 2" xfId="18764"/>
    <cellStyle name="RowTitles-Detail 2 3 3 4 4 2 2_Tertiary Salaries Survey" xfId="18765"/>
    <cellStyle name="RowTitles-Detail 2 3 3 4 4 2 3" xfId="18766"/>
    <cellStyle name="RowTitles-Detail 2 3 3 4 4 2_Tertiary Salaries Survey" xfId="18767"/>
    <cellStyle name="RowTitles-Detail 2 3 3 4 4 3" xfId="18768"/>
    <cellStyle name="RowTitles-Detail 2 3 3 4 4 3 2" xfId="18769"/>
    <cellStyle name="RowTitles-Detail 2 3 3 4 4 3 2 2" xfId="18770"/>
    <cellStyle name="RowTitles-Detail 2 3 3 4 4 3 2_Tertiary Salaries Survey" xfId="18771"/>
    <cellStyle name="RowTitles-Detail 2 3 3 4 4 3 3" xfId="18772"/>
    <cellStyle name="RowTitles-Detail 2 3 3 4 4 3_Tertiary Salaries Survey" xfId="18773"/>
    <cellStyle name="RowTitles-Detail 2 3 3 4 4 4" xfId="18774"/>
    <cellStyle name="RowTitles-Detail 2 3 3 4 4 5" xfId="18775"/>
    <cellStyle name="RowTitles-Detail 2 3 3 4 4 5 2" xfId="18776"/>
    <cellStyle name="RowTitles-Detail 2 3 3 4 4 5_Tertiary Salaries Survey" xfId="18777"/>
    <cellStyle name="RowTitles-Detail 2 3 3 4 4 6" xfId="18778"/>
    <cellStyle name="RowTitles-Detail 2 3 3 4 4_Tertiary Salaries Survey" xfId="18779"/>
    <cellStyle name="RowTitles-Detail 2 3 3 4 5" xfId="18780"/>
    <cellStyle name="RowTitles-Detail 2 3 3 4 5 2" xfId="18781"/>
    <cellStyle name="RowTitles-Detail 2 3 3 4 5 2 2" xfId="18782"/>
    <cellStyle name="RowTitles-Detail 2 3 3 4 5 2 2 2" xfId="18783"/>
    <cellStyle name="RowTitles-Detail 2 3 3 4 5 2 2_Tertiary Salaries Survey" xfId="18784"/>
    <cellStyle name="RowTitles-Detail 2 3 3 4 5 2 3" xfId="18785"/>
    <cellStyle name="RowTitles-Detail 2 3 3 4 5 2_Tertiary Salaries Survey" xfId="18786"/>
    <cellStyle name="RowTitles-Detail 2 3 3 4 5 3" xfId="18787"/>
    <cellStyle name="RowTitles-Detail 2 3 3 4 5 3 2" xfId="18788"/>
    <cellStyle name="RowTitles-Detail 2 3 3 4 5 3 2 2" xfId="18789"/>
    <cellStyle name="RowTitles-Detail 2 3 3 4 5 3 2_Tertiary Salaries Survey" xfId="18790"/>
    <cellStyle name="RowTitles-Detail 2 3 3 4 5 3 3" xfId="18791"/>
    <cellStyle name="RowTitles-Detail 2 3 3 4 5 3_Tertiary Salaries Survey" xfId="18792"/>
    <cellStyle name="RowTitles-Detail 2 3 3 4 5 4" xfId="18793"/>
    <cellStyle name="RowTitles-Detail 2 3 3 4 5 4 2" xfId="18794"/>
    <cellStyle name="RowTitles-Detail 2 3 3 4 5 4_Tertiary Salaries Survey" xfId="18795"/>
    <cellStyle name="RowTitles-Detail 2 3 3 4 5 5" xfId="18796"/>
    <cellStyle name="RowTitles-Detail 2 3 3 4 5_Tertiary Salaries Survey" xfId="18797"/>
    <cellStyle name="RowTitles-Detail 2 3 3 4 6" xfId="18798"/>
    <cellStyle name="RowTitles-Detail 2 3 3 4 6 2" xfId="18799"/>
    <cellStyle name="RowTitles-Detail 2 3 3 4 6 2 2" xfId="18800"/>
    <cellStyle name="RowTitles-Detail 2 3 3 4 6 2 2 2" xfId="18801"/>
    <cellStyle name="RowTitles-Detail 2 3 3 4 6 2 2_Tertiary Salaries Survey" xfId="18802"/>
    <cellStyle name="RowTitles-Detail 2 3 3 4 6 2 3" xfId="18803"/>
    <cellStyle name="RowTitles-Detail 2 3 3 4 6 2_Tertiary Salaries Survey" xfId="18804"/>
    <cellStyle name="RowTitles-Detail 2 3 3 4 6 3" xfId="18805"/>
    <cellStyle name="RowTitles-Detail 2 3 3 4 6 3 2" xfId="18806"/>
    <cellStyle name="RowTitles-Detail 2 3 3 4 6 3 2 2" xfId="18807"/>
    <cellStyle name="RowTitles-Detail 2 3 3 4 6 3 2_Tertiary Salaries Survey" xfId="18808"/>
    <cellStyle name="RowTitles-Detail 2 3 3 4 6 3 3" xfId="18809"/>
    <cellStyle name="RowTitles-Detail 2 3 3 4 6 3_Tertiary Salaries Survey" xfId="18810"/>
    <cellStyle name="RowTitles-Detail 2 3 3 4 6 4" xfId="18811"/>
    <cellStyle name="RowTitles-Detail 2 3 3 4 6 4 2" xfId="18812"/>
    <cellStyle name="RowTitles-Detail 2 3 3 4 6 4_Tertiary Salaries Survey" xfId="18813"/>
    <cellStyle name="RowTitles-Detail 2 3 3 4 6 5" xfId="18814"/>
    <cellStyle name="RowTitles-Detail 2 3 3 4 6_Tertiary Salaries Survey" xfId="18815"/>
    <cellStyle name="RowTitles-Detail 2 3 3 4 7" xfId="18816"/>
    <cellStyle name="RowTitles-Detail 2 3 3 4 7 2" xfId="18817"/>
    <cellStyle name="RowTitles-Detail 2 3 3 4 7 2 2" xfId="18818"/>
    <cellStyle name="RowTitles-Detail 2 3 3 4 7 2_Tertiary Salaries Survey" xfId="18819"/>
    <cellStyle name="RowTitles-Detail 2 3 3 4 7 3" xfId="18820"/>
    <cellStyle name="RowTitles-Detail 2 3 3 4 7_Tertiary Salaries Survey" xfId="18821"/>
    <cellStyle name="RowTitles-Detail 2 3 3 4 8" xfId="18822"/>
    <cellStyle name="RowTitles-Detail 2 3 3 4 9" xfId="18823"/>
    <cellStyle name="RowTitles-Detail 2 3 3 4_STUD aligned by INSTIT" xfId="18824"/>
    <cellStyle name="RowTitles-Detail 2 3 3 5" xfId="18825"/>
    <cellStyle name="RowTitles-Detail 2 3 3 5 2" xfId="18826"/>
    <cellStyle name="RowTitles-Detail 2 3 3 5 2 2" xfId="18827"/>
    <cellStyle name="RowTitles-Detail 2 3 3 5 2 2 2" xfId="18828"/>
    <cellStyle name="RowTitles-Detail 2 3 3 5 2 2_Tertiary Salaries Survey" xfId="18829"/>
    <cellStyle name="RowTitles-Detail 2 3 3 5 2 3" xfId="18830"/>
    <cellStyle name="RowTitles-Detail 2 3 3 5 2_Tertiary Salaries Survey" xfId="18831"/>
    <cellStyle name="RowTitles-Detail 2 3 3 5 3" xfId="18832"/>
    <cellStyle name="RowTitles-Detail 2 3 3 5 3 2" xfId="18833"/>
    <cellStyle name="RowTitles-Detail 2 3 3 5 3 2 2" xfId="18834"/>
    <cellStyle name="RowTitles-Detail 2 3 3 5 3 2_Tertiary Salaries Survey" xfId="18835"/>
    <cellStyle name="RowTitles-Detail 2 3 3 5 3 3" xfId="18836"/>
    <cellStyle name="RowTitles-Detail 2 3 3 5 3_Tertiary Salaries Survey" xfId="18837"/>
    <cellStyle name="RowTitles-Detail 2 3 3 5 4" xfId="18838"/>
    <cellStyle name="RowTitles-Detail 2 3 3 5 5" xfId="18839"/>
    <cellStyle name="RowTitles-Detail 2 3 3 5 5 2" xfId="18840"/>
    <cellStyle name="RowTitles-Detail 2 3 3 5 5_Tertiary Salaries Survey" xfId="18841"/>
    <cellStyle name="RowTitles-Detail 2 3 3 5 6" xfId="18842"/>
    <cellStyle name="RowTitles-Detail 2 3 3 5_Tertiary Salaries Survey" xfId="18843"/>
    <cellStyle name="RowTitles-Detail 2 3 3 6" xfId="18844"/>
    <cellStyle name="RowTitles-Detail 2 3 3 6 2" xfId="18845"/>
    <cellStyle name="RowTitles-Detail 2 3 3 6 2 2" xfId="18846"/>
    <cellStyle name="RowTitles-Detail 2 3 3 6 2 2 2" xfId="18847"/>
    <cellStyle name="RowTitles-Detail 2 3 3 6 2 2_Tertiary Salaries Survey" xfId="18848"/>
    <cellStyle name="RowTitles-Detail 2 3 3 6 2 3" xfId="18849"/>
    <cellStyle name="RowTitles-Detail 2 3 3 6 2_Tertiary Salaries Survey" xfId="18850"/>
    <cellStyle name="RowTitles-Detail 2 3 3 6 3" xfId="18851"/>
    <cellStyle name="RowTitles-Detail 2 3 3 6 3 2" xfId="18852"/>
    <cellStyle name="RowTitles-Detail 2 3 3 6 3 2 2" xfId="18853"/>
    <cellStyle name="RowTitles-Detail 2 3 3 6 3 2_Tertiary Salaries Survey" xfId="18854"/>
    <cellStyle name="RowTitles-Detail 2 3 3 6 3 3" xfId="18855"/>
    <cellStyle name="RowTitles-Detail 2 3 3 6 3_Tertiary Salaries Survey" xfId="18856"/>
    <cellStyle name="RowTitles-Detail 2 3 3 6 4" xfId="18857"/>
    <cellStyle name="RowTitles-Detail 2 3 3 6 5" xfId="18858"/>
    <cellStyle name="RowTitles-Detail 2 3 3 6_Tertiary Salaries Survey" xfId="18859"/>
    <cellStyle name="RowTitles-Detail 2 3 3 7" xfId="18860"/>
    <cellStyle name="RowTitles-Detail 2 3 3 7 2" xfId="18861"/>
    <cellStyle name="RowTitles-Detail 2 3 3 7 2 2" xfId="18862"/>
    <cellStyle name="RowTitles-Detail 2 3 3 7 2 2 2" xfId="18863"/>
    <cellStyle name="RowTitles-Detail 2 3 3 7 2 2_Tertiary Salaries Survey" xfId="18864"/>
    <cellStyle name="RowTitles-Detail 2 3 3 7 2 3" xfId="18865"/>
    <cellStyle name="RowTitles-Detail 2 3 3 7 2_Tertiary Salaries Survey" xfId="18866"/>
    <cellStyle name="RowTitles-Detail 2 3 3 7 3" xfId="18867"/>
    <cellStyle name="RowTitles-Detail 2 3 3 7 3 2" xfId="18868"/>
    <cellStyle name="RowTitles-Detail 2 3 3 7 3 2 2" xfId="18869"/>
    <cellStyle name="RowTitles-Detail 2 3 3 7 3 2_Tertiary Salaries Survey" xfId="18870"/>
    <cellStyle name="RowTitles-Detail 2 3 3 7 3 3" xfId="18871"/>
    <cellStyle name="RowTitles-Detail 2 3 3 7 3_Tertiary Salaries Survey" xfId="18872"/>
    <cellStyle name="RowTitles-Detail 2 3 3 7 4" xfId="18873"/>
    <cellStyle name="RowTitles-Detail 2 3 3 7 5" xfId="18874"/>
    <cellStyle name="RowTitles-Detail 2 3 3 7 5 2" xfId="18875"/>
    <cellStyle name="RowTitles-Detail 2 3 3 7 5_Tertiary Salaries Survey" xfId="18876"/>
    <cellStyle name="RowTitles-Detail 2 3 3 7 6" xfId="18877"/>
    <cellStyle name="RowTitles-Detail 2 3 3 7_Tertiary Salaries Survey" xfId="18878"/>
    <cellStyle name="RowTitles-Detail 2 3 3 8" xfId="18879"/>
    <cellStyle name="RowTitles-Detail 2 3 3 8 2" xfId="18880"/>
    <cellStyle name="RowTitles-Detail 2 3 3 8 2 2" xfId="18881"/>
    <cellStyle name="RowTitles-Detail 2 3 3 8 2 2 2" xfId="18882"/>
    <cellStyle name="RowTitles-Detail 2 3 3 8 2 2_Tertiary Salaries Survey" xfId="18883"/>
    <cellStyle name="RowTitles-Detail 2 3 3 8 2 3" xfId="18884"/>
    <cellStyle name="RowTitles-Detail 2 3 3 8 2_Tertiary Salaries Survey" xfId="18885"/>
    <cellStyle name="RowTitles-Detail 2 3 3 8 3" xfId="18886"/>
    <cellStyle name="RowTitles-Detail 2 3 3 8 3 2" xfId="18887"/>
    <cellStyle name="RowTitles-Detail 2 3 3 8 3 2 2" xfId="18888"/>
    <cellStyle name="RowTitles-Detail 2 3 3 8 3 2_Tertiary Salaries Survey" xfId="18889"/>
    <cellStyle name="RowTitles-Detail 2 3 3 8 3 3" xfId="18890"/>
    <cellStyle name="RowTitles-Detail 2 3 3 8 3_Tertiary Salaries Survey" xfId="18891"/>
    <cellStyle name="RowTitles-Detail 2 3 3 8 4" xfId="18892"/>
    <cellStyle name="RowTitles-Detail 2 3 3 8 4 2" xfId="18893"/>
    <cellStyle name="RowTitles-Detail 2 3 3 8 4_Tertiary Salaries Survey" xfId="18894"/>
    <cellStyle name="RowTitles-Detail 2 3 3 8 5" xfId="18895"/>
    <cellStyle name="RowTitles-Detail 2 3 3 8_Tertiary Salaries Survey" xfId="18896"/>
    <cellStyle name="RowTitles-Detail 2 3 3 9" xfId="18897"/>
    <cellStyle name="RowTitles-Detail 2 3 3 9 2" xfId="18898"/>
    <cellStyle name="RowTitles-Detail 2 3 3 9 2 2" xfId="18899"/>
    <cellStyle name="RowTitles-Detail 2 3 3 9 2 2 2" xfId="18900"/>
    <cellStyle name="RowTitles-Detail 2 3 3 9 2 2_Tertiary Salaries Survey" xfId="18901"/>
    <cellStyle name="RowTitles-Detail 2 3 3 9 2 3" xfId="18902"/>
    <cellStyle name="RowTitles-Detail 2 3 3 9 2_Tertiary Salaries Survey" xfId="18903"/>
    <cellStyle name="RowTitles-Detail 2 3 3 9 3" xfId="18904"/>
    <cellStyle name="RowTitles-Detail 2 3 3 9 3 2" xfId="18905"/>
    <cellStyle name="RowTitles-Detail 2 3 3 9 3 2 2" xfId="18906"/>
    <cellStyle name="RowTitles-Detail 2 3 3 9 3 2_Tertiary Salaries Survey" xfId="18907"/>
    <cellStyle name="RowTitles-Detail 2 3 3 9 3 3" xfId="18908"/>
    <cellStyle name="RowTitles-Detail 2 3 3 9 3_Tertiary Salaries Survey" xfId="18909"/>
    <cellStyle name="RowTitles-Detail 2 3 3 9 4" xfId="18910"/>
    <cellStyle name="RowTitles-Detail 2 3 3 9 4 2" xfId="18911"/>
    <cellStyle name="RowTitles-Detail 2 3 3 9 4_Tertiary Salaries Survey" xfId="18912"/>
    <cellStyle name="RowTitles-Detail 2 3 3 9 5" xfId="18913"/>
    <cellStyle name="RowTitles-Detail 2 3 3 9_Tertiary Salaries Survey" xfId="18914"/>
    <cellStyle name="RowTitles-Detail 2 3 3_STUD aligned by INSTIT" xfId="18915"/>
    <cellStyle name="RowTitles-Detail 2 3 4" xfId="18916"/>
    <cellStyle name="RowTitles-Detail 2 3 4 2" xfId="18917"/>
    <cellStyle name="RowTitles-Detail 2 3 4 2 2" xfId="18918"/>
    <cellStyle name="RowTitles-Detail 2 3 4 2 2 2" xfId="18919"/>
    <cellStyle name="RowTitles-Detail 2 3 4 2 2 2 2" xfId="18920"/>
    <cellStyle name="RowTitles-Detail 2 3 4 2 2 2_Tertiary Salaries Survey" xfId="18921"/>
    <cellStyle name="RowTitles-Detail 2 3 4 2 2 3" xfId="18922"/>
    <cellStyle name="RowTitles-Detail 2 3 4 2 2_Tertiary Salaries Survey" xfId="18923"/>
    <cellStyle name="RowTitles-Detail 2 3 4 2 3" xfId="18924"/>
    <cellStyle name="RowTitles-Detail 2 3 4 2 3 2" xfId="18925"/>
    <cellStyle name="RowTitles-Detail 2 3 4 2 3 2 2" xfId="18926"/>
    <cellStyle name="RowTitles-Detail 2 3 4 2 3 2_Tertiary Salaries Survey" xfId="18927"/>
    <cellStyle name="RowTitles-Detail 2 3 4 2 3 3" xfId="18928"/>
    <cellStyle name="RowTitles-Detail 2 3 4 2 3_Tertiary Salaries Survey" xfId="18929"/>
    <cellStyle name="RowTitles-Detail 2 3 4 2 4" xfId="18930"/>
    <cellStyle name="RowTitles-Detail 2 3 4 2 5" xfId="18931"/>
    <cellStyle name="RowTitles-Detail 2 3 4 2_Tertiary Salaries Survey" xfId="18932"/>
    <cellStyle name="RowTitles-Detail 2 3 4 3" xfId="18933"/>
    <cellStyle name="RowTitles-Detail 2 3 4 3 2" xfId="18934"/>
    <cellStyle name="RowTitles-Detail 2 3 4 3 2 2" xfId="18935"/>
    <cellStyle name="RowTitles-Detail 2 3 4 3 2 2 2" xfId="18936"/>
    <cellStyle name="RowTitles-Detail 2 3 4 3 2 2_Tertiary Salaries Survey" xfId="18937"/>
    <cellStyle name="RowTitles-Detail 2 3 4 3 2 3" xfId="18938"/>
    <cellStyle name="RowTitles-Detail 2 3 4 3 2_Tertiary Salaries Survey" xfId="18939"/>
    <cellStyle name="RowTitles-Detail 2 3 4 3 3" xfId="18940"/>
    <cellStyle name="RowTitles-Detail 2 3 4 3 3 2" xfId="18941"/>
    <cellStyle name="RowTitles-Detail 2 3 4 3 3 2 2" xfId="18942"/>
    <cellStyle name="RowTitles-Detail 2 3 4 3 3 2_Tertiary Salaries Survey" xfId="18943"/>
    <cellStyle name="RowTitles-Detail 2 3 4 3 3 3" xfId="18944"/>
    <cellStyle name="RowTitles-Detail 2 3 4 3 3_Tertiary Salaries Survey" xfId="18945"/>
    <cellStyle name="RowTitles-Detail 2 3 4 3 4" xfId="18946"/>
    <cellStyle name="RowTitles-Detail 2 3 4 3 5" xfId="18947"/>
    <cellStyle name="RowTitles-Detail 2 3 4 3 5 2" xfId="18948"/>
    <cellStyle name="RowTitles-Detail 2 3 4 3 5_Tertiary Salaries Survey" xfId="18949"/>
    <cellStyle name="RowTitles-Detail 2 3 4 3 6" xfId="18950"/>
    <cellStyle name="RowTitles-Detail 2 3 4 3_Tertiary Salaries Survey" xfId="18951"/>
    <cellStyle name="RowTitles-Detail 2 3 4 4" xfId="18952"/>
    <cellStyle name="RowTitles-Detail 2 3 4 4 2" xfId="18953"/>
    <cellStyle name="RowTitles-Detail 2 3 4 4 2 2" xfId="18954"/>
    <cellStyle name="RowTitles-Detail 2 3 4 4 2 2 2" xfId="18955"/>
    <cellStyle name="RowTitles-Detail 2 3 4 4 2 2_Tertiary Salaries Survey" xfId="18956"/>
    <cellStyle name="RowTitles-Detail 2 3 4 4 2 3" xfId="18957"/>
    <cellStyle name="RowTitles-Detail 2 3 4 4 2_Tertiary Salaries Survey" xfId="18958"/>
    <cellStyle name="RowTitles-Detail 2 3 4 4 3" xfId="18959"/>
    <cellStyle name="RowTitles-Detail 2 3 4 4 3 2" xfId="18960"/>
    <cellStyle name="RowTitles-Detail 2 3 4 4 3 2 2" xfId="18961"/>
    <cellStyle name="RowTitles-Detail 2 3 4 4 3 2_Tertiary Salaries Survey" xfId="18962"/>
    <cellStyle name="RowTitles-Detail 2 3 4 4 3 3" xfId="18963"/>
    <cellStyle name="RowTitles-Detail 2 3 4 4 3_Tertiary Salaries Survey" xfId="18964"/>
    <cellStyle name="RowTitles-Detail 2 3 4 4 4" xfId="18965"/>
    <cellStyle name="RowTitles-Detail 2 3 4 4 4 2" xfId="18966"/>
    <cellStyle name="RowTitles-Detail 2 3 4 4 4_Tertiary Salaries Survey" xfId="18967"/>
    <cellStyle name="RowTitles-Detail 2 3 4 4 5" xfId="18968"/>
    <cellStyle name="RowTitles-Detail 2 3 4 4_Tertiary Salaries Survey" xfId="18969"/>
    <cellStyle name="RowTitles-Detail 2 3 4 5" xfId="18970"/>
    <cellStyle name="RowTitles-Detail 2 3 4 5 2" xfId="18971"/>
    <cellStyle name="RowTitles-Detail 2 3 4 5 2 2" xfId="18972"/>
    <cellStyle name="RowTitles-Detail 2 3 4 5 2 2 2" xfId="18973"/>
    <cellStyle name="RowTitles-Detail 2 3 4 5 2 2_Tertiary Salaries Survey" xfId="18974"/>
    <cellStyle name="RowTitles-Detail 2 3 4 5 2 3" xfId="18975"/>
    <cellStyle name="RowTitles-Detail 2 3 4 5 2_Tertiary Salaries Survey" xfId="18976"/>
    <cellStyle name="RowTitles-Detail 2 3 4 5 3" xfId="18977"/>
    <cellStyle name="RowTitles-Detail 2 3 4 5 3 2" xfId="18978"/>
    <cellStyle name="RowTitles-Detail 2 3 4 5 3 2 2" xfId="18979"/>
    <cellStyle name="RowTitles-Detail 2 3 4 5 3 2_Tertiary Salaries Survey" xfId="18980"/>
    <cellStyle name="RowTitles-Detail 2 3 4 5 3 3" xfId="18981"/>
    <cellStyle name="RowTitles-Detail 2 3 4 5 3_Tertiary Salaries Survey" xfId="18982"/>
    <cellStyle name="RowTitles-Detail 2 3 4 5 4" xfId="18983"/>
    <cellStyle name="RowTitles-Detail 2 3 4 5 4 2" xfId="18984"/>
    <cellStyle name="RowTitles-Detail 2 3 4 5 4_Tertiary Salaries Survey" xfId="18985"/>
    <cellStyle name="RowTitles-Detail 2 3 4 5 5" xfId="18986"/>
    <cellStyle name="RowTitles-Detail 2 3 4 5_Tertiary Salaries Survey" xfId="18987"/>
    <cellStyle name="RowTitles-Detail 2 3 4 6" xfId="18988"/>
    <cellStyle name="RowTitles-Detail 2 3 4 6 2" xfId="18989"/>
    <cellStyle name="RowTitles-Detail 2 3 4 6 2 2" xfId="18990"/>
    <cellStyle name="RowTitles-Detail 2 3 4 6 2 2 2" xfId="18991"/>
    <cellStyle name="RowTitles-Detail 2 3 4 6 2 2_Tertiary Salaries Survey" xfId="18992"/>
    <cellStyle name="RowTitles-Detail 2 3 4 6 2 3" xfId="18993"/>
    <cellStyle name="RowTitles-Detail 2 3 4 6 2_Tertiary Salaries Survey" xfId="18994"/>
    <cellStyle name="RowTitles-Detail 2 3 4 6 3" xfId="18995"/>
    <cellStyle name="RowTitles-Detail 2 3 4 6 3 2" xfId="18996"/>
    <cellStyle name="RowTitles-Detail 2 3 4 6 3 2 2" xfId="18997"/>
    <cellStyle name="RowTitles-Detail 2 3 4 6 3 2_Tertiary Salaries Survey" xfId="18998"/>
    <cellStyle name="RowTitles-Detail 2 3 4 6 3 3" xfId="18999"/>
    <cellStyle name="RowTitles-Detail 2 3 4 6 3_Tertiary Salaries Survey" xfId="19000"/>
    <cellStyle name="RowTitles-Detail 2 3 4 6 4" xfId="19001"/>
    <cellStyle name="RowTitles-Detail 2 3 4 6 4 2" xfId="19002"/>
    <cellStyle name="RowTitles-Detail 2 3 4 6 4_Tertiary Salaries Survey" xfId="19003"/>
    <cellStyle name="RowTitles-Detail 2 3 4 6 5" xfId="19004"/>
    <cellStyle name="RowTitles-Detail 2 3 4 6_Tertiary Salaries Survey" xfId="19005"/>
    <cellStyle name="RowTitles-Detail 2 3 4 7" xfId="19006"/>
    <cellStyle name="RowTitles-Detail 2 3 4 7 2" xfId="19007"/>
    <cellStyle name="RowTitles-Detail 2 3 4 7 2 2" xfId="19008"/>
    <cellStyle name="RowTitles-Detail 2 3 4 7 2_Tertiary Salaries Survey" xfId="19009"/>
    <cellStyle name="RowTitles-Detail 2 3 4 7 3" xfId="19010"/>
    <cellStyle name="RowTitles-Detail 2 3 4 7_Tertiary Salaries Survey" xfId="19011"/>
    <cellStyle name="RowTitles-Detail 2 3 4 8" xfId="19012"/>
    <cellStyle name="RowTitles-Detail 2 3 4 9" xfId="19013"/>
    <cellStyle name="RowTitles-Detail 2 3 4_STUD aligned by INSTIT" xfId="19014"/>
    <cellStyle name="RowTitles-Detail 2 3 5" xfId="19015"/>
    <cellStyle name="RowTitles-Detail 2 3 5 2" xfId="19016"/>
    <cellStyle name="RowTitles-Detail 2 3 5 2 2" xfId="19017"/>
    <cellStyle name="RowTitles-Detail 2 3 5 2 2 2" xfId="19018"/>
    <cellStyle name="RowTitles-Detail 2 3 5 2 2 2 2" xfId="19019"/>
    <cellStyle name="RowTitles-Detail 2 3 5 2 2 2_Tertiary Salaries Survey" xfId="19020"/>
    <cellStyle name="RowTitles-Detail 2 3 5 2 2 3" xfId="19021"/>
    <cellStyle name="RowTitles-Detail 2 3 5 2 2_Tertiary Salaries Survey" xfId="19022"/>
    <cellStyle name="RowTitles-Detail 2 3 5 2 3" xfId="19023"/>
    <cellStyle name="RowTitles-Detail 2 3 5 2 3 2" xfId="19024"/>
    <cellStyle name="RowTitles-Detail 2 3 5 2 3 2 2" xfId="19025"/>
    <cellStyle name="RowTitles-Detail 2 3 5 2 3 2_Tertiary Salaries Survey" xfId="19026"/>
    <cellStyle name="RowTitles-Detail 2 3 5 2 3 3" xfId="19027"/>
    <cellStyle name="RowTitles-Detail 2 3 5 2 3_Tertiary Salaries Survey" xfId="19028"/>
    <cellStyle name="RowTitles-Detail 2 3 5 2 4" xfId="19029"/>
    <cellStyle name="RowTitles-Detail 2 3 5 2 5" xfId="19030"/>
    <cellStyle name="RowTitles-Detail 2 3 5 2 5 2" xfId="19031"/>
    <cellStyle name="RowTitles-Detail 2 3 5 2 5_Tertiary Salaries Survey" xfId="19032"/>
    <cellStyle name="RowTitles-Detail 2 3 5 2 6" xfId="19033"/>
    <cellStyle name="RowTitles-Detail 2 3 5 2_Tertiary Salaries Survey" xfId="19034"/>
    <cellStyle name="RowTitles-Detail 2 3 5 3" xfId="19035"/>
    <cellStyle name="RowTitles-Detail 2 3 5 3 2" xfId="19036"/>
    <cellStyle name="RowTitles-Detail 2 3 5 3 2 2" xfId="19037"/>
    <cellStyle name="RowTitles-Detail 2 3 5 3 2 2 2" xfId="19038"/>
    <cellStyle name="RowTitles-Detail 2 3 5 3 2 2_Tertiary Salaries Survey" xfId="19039"/>
    <cellStyle name="RowTitles-Detail 2 3 5 3 2 3" xfId="19040"/>
    <cellStyle name="RowTitles-Detail 2 3 5 3 2_Tertiary Salaries Survey" xfId="19041"/>
    <cellStyle name="RowTitles-Detail 2 3 5 3 3" xfId="19042"/>
    <cellStyle name="RowTitles-Detail 2 3 5 3 3 2" xfId="19043"/>
    <cellStyle name="RowTitles-Detail 2 3 5 3 3 2 2" xfId="19044"/>
    <cellStyle name="RowTitles-Detail 2 3 5 3 3 2_Tertiary Salaries Survey" xfId="19045"/>
    <cellStyle name="RowTitles-Detail 2 3 5 3 3 3" xfId="19046"/>
    <cellStyle name="RowTitles-Detail 2 3 5 3 3_Tertiary Salaries Survey" xfId="19047"/>
    <cellStyle name="RowTitles-Detail 2 3 5 3 4" xfId="19048"/>
    <cellStyle name="RowTitles-Detail 2 3 5 3 5" xfId="19049"/>
    <cellStyle name="RowTitles-Detail 2 3 5 3_Tertiary Salaries Survey" xfId="19050"/>
    <cellStyle name="RowTitles-Detail 2 3 5 4" xfId="19051"/>
    <cellStyle name="RowTitles-Detail 2 3 5 4 2" xfId="19052"/>
    <cellStyle name="RowTitles-Detail 2 3 5 4 2 2" xfId="19053"/>
    <cellStyle name="RowTitles-Detail 2 3 5 4 2 2 2" xfId="19054"/>
    <cellStyle name="RowTitles-Detail 2 3 5 4 2 2_Tertiary Salaries Survey" xfId="19055"/>
    <cellStyle name="RowTitles-Detail 2 3 5 4 2 3" xfId="19056"/>
    <cellStyle name="RowTitles-Detail 2 3 5 4 2_Tertiary Salaries Survey" xfId="19057"/>
    <cellStyle name="RowTitles-Detail 2 3 5 4 3" xfId="19058"/>
    <cellStyle name="RowTitles-Detail 2 3 5 4 3 2" xfId="19059"/>
    <cellStyle name="RowTitles-Detail 2 3 5 4 3 2 2" xfId="19060"/>
    <cellStyle name="RowTitles-Detail 2 3 5 4 3 2_Tertiary Salaries Survey" xfId="19061"/>
    <cellStyle name="RowTitles-Detail 2 3 5 4 3 3" xfId="19062"/>
    <cellStyle name="RowTitles-Detail 2 3 5 4 3_Tertiary Salaries Survey" xfId="19063"/>
    <cellStyle name="RowTitles-Detail 2 3 5 4 4" xfId="19064"/>
    <cellStyle name="RowTitles-Detail 2 3 5 4 4 2" xfId="19065"/>
    <cellStyle name="RowTitles-Detail 2 3 5 4 4_Tertiary Salaries Survey" xfId="19066"/>
    <cellStyle name="RowTitles-Detail 2 3 5 4 5" xfId="19067"/>
    <cellStyle name="RowTitles-Detail 2 3 5 4_Tertiary Salaries Survey" xfId="19068"/>
    <cellStyle name="RowTitles-Detail 2 3 5 5" xfId="19069"/>
    <cellStyle name="RowTitles-Detail 2 3 5 5 2" xfId="19070"/>
    <cellStyle name="RowTitles-Detail 2 3 5 5 2 2" xfId="19071"/>
    <cellStyle name="RowTitles-Detail 2 3 5 5 2 2 2" xfId="19072"/>
    <cellStyle name="RowTitles-Detail 2 3 5 5 2 2_Tertiary Salaries Survey" xfId="19073"/>
    <cellStyle name="RowTitles-Detail 2 3 5 5 2 3" xfId="19074"/>
    <cellStyle name="RowTitles-Detail 2 3 5 5 2_Tertiary Salaries Survey" xfId="19075"/>
    <cellStyle name="RowTitles-Detail 2 3 5 5 3" xfId="19076"/>
    <cellStyle name="RowTitles-Detail 2 3 5 5 3 2" xfId="19077"/>
    <cellStyle name="RowTitles-Detail 2 3 5 5 3 2 2" xfId="19078"/>
    <cellStyle name="RowTitles-Detail 2 3 5 5 3 2_Tertiary Salaries Survey" xfId="19079"/>
    <cellStyle name="RowTitles-Detail 2 3 5 5 3 3" xfId="19080"/>
    <cellStyle name="RowTitles-Detail 2 3 5 5 3_Tertiary Salaries Survey" xfId="19081"/>
    <cellStyle name="RowTitles-Detail 2 3 5 5 4" xfId="19082"/>
    <cellStyle name="RowTitles-Detail 2 3 5 5 4 2" xfId="19083"/>
    <cellStyle name="RowTitles-Detail 2 3 5 5 4_Tertiary Salaries Survey" xfId="19084"/>
    <cellStyle name="RowTitles-Detail 2 3 5 5 5" xfId="19085"/>
    <cellStyle name="RowTitles-Detail 2 3 5 5_Tertiary Salaries Survey" xfId="19086"/>
    <cellStyle name="RowTitles-Detail 2 3 5 6" xfId="19087"/>
    <cellStyle name="RowTitles-Detail 2 3 5 6 2" xfId="19088"/>
    <cellStyle name="RowTitles-Detail 2 3 5 6 2 2" xfId="19089"/>
    <cellStyle name="RowTitles-Detail 2 3 5 6 2 2 2" xfId="19090"/>
    <cellStyle name="RowTitles-Detail 2 3 5 6 2 2_Tertiary Salaries Survey" xfId="19091"/>
    <cellStyle name="RowTitles-Detail 2 3 5 6 2 3" xfId="19092"/>
    <cellStyle name="RowTitles-Detail 2 3 5 6 2_Tertiary Salaries Survey" xfId="19093"/>
    <cellStyle name="RowTitles-Detail 2 3 5 6 3" xfId="19094"/>
    <cellStyle name="RowTitles-Detail 2 3 5 6 3 2" xfId="19095"/>
    <cellStyle name="RowTitles-Detail 2 3 5 6 3 2 2" xfId="19096"/>
    <cellStyle name="RowTitles-Detail 2 3 5 6 3 2_Tertiary Salaries Survey" xfId="19097"/>
    <cellStyle name="RowTitles-Detail 2 3 5 6 3 3" xfId="19098"/>
    <cellStyle name="RowTitles-Detail 2 3 5 6 3_Tertiary Salaries Survey" xfId="19099"/>
    <cellStyle name="RowTitles-Detail 2 3 5 6 4" xfId="19100"/>
    <cellStyle name="RowTitles-Detail 2 3 5 6 4 2" xfId="19101"/>
    <cellStyle name="RowTitles-Detail 2 3 5 6 4_Tertiary Salaries Survey" xfId="19102"/>
    <cellStyle name="RowTitles-Detail 2 3 5 6 5" xfId="19103"/>
    <cellStyle name="RowTitles-Detail 2 3 5 6_Tertiary Salaries Survey" xfId="19104"/>
    <cellStyle name="RowTitles-Detail 2 3 5 7" xfId="19105"/>
    <cellStyle name="RowTitles-Detail 2 3 5 7 2" xfId="19106"/>
    <cellStyle name="RowTitles-Detail 2 3 5 7 2 2" xfId="19107"/>
    <cellStyle name="RowTitles-Detail 2 3 5 7 2_Tertiary Salaries Survey" xfId="19108"/>
    <cellStyle name="RowTitles-Detail 2 3 5 7 3" xfId="19109"/>
    <cellStyle name="RowTitles-Detail 2 3 5 7_Tertiary Salaries Survey" xfId="19110"/>
    <cellStyle name="RowTitles-Detail 2 3 5 8" xfId="19111"/>
    <cellStyle name="RowTitles-Detail 2 3 5 8 2" xfId="19112"/>
    <cellStyle name="RowTitles-Detail 2 3 5 8 2 2" xfId="19113"/>
    <cellStyle name="RowTitles-Detail 2 3 5 8 2_Tertiary Salaries Survey" xfId="19114"/>
    <cellStyle name="RowTitles-Detail 2 3 5 8 3" xfId="19115"/>
    <cellStyle name="RowTitles-Detail 2 3 5 8_Tertiary Salaries Survey" xfId="19116"/>
    <cellStyle name="RowTitles-Detail 2 3 5 9" xfId="19117"/>
    <cellStyle name="RowTitles-Detail 2 3 5_STUD aligned by INSTIT" xfId="19118"/>
    <cellStyle name="RowTitles-Detail 2 3 6" xfId="19119"/>
    <cellStyle name="RowTitles-Detail 2 3 6 2" xfId="19120"/>
    <cellStyle name="RowTitles-Detail 2 3 6 2 2" xfId="19121"/>
    <cellStyle name="RowTitles-Detail 2 3 6 2 2 2" xfId="19122"/>
    <cellStyle name="RowTitles-Detail 2 3 6 2 2 2 2" xfId="19123"/>
    <cellStyle name="RowTitles-Detail 2 3 6 2 2 2_Tertiary Salaries Survey" xfId="19124"/>
    <cellStyle name="RowTitles-Detail 2 3 6 2 2 3" xfId="19125"/>
    <cellStyle name="RowTitles-Detail 2 3 6 2 2_Tertiary Salaries Survey" xfId="19126"/>
    <cellStyle name="RowTitles-Detail 2 3 6 2 3" xfId="19127"/>
    <cellStyle name="RowTitles-Detail 2 3 6 2 3 2" xfId="19128"/>
    <cellStyle name="RowTitles-Detail 2 3 6 2 3 2 2" xfId="19129"/>
    <cellStyle name="RowTitles-Detail 2 3 6 2 3 2_Tertiary Salaries Survey" xfId="19130"/>
    <cellStyle name="RowTitles-Detail 2 3 6 2 3 3" xfId="19131"/>
    <cellStyle name="RowTitles-Detail 2 3 6 2 3_Tertiary Salaries Survey" xfId="19132"/>
    <cellStyle name="RowTitles-Detail 2 3 6 2 4" xfId="19133"/>
    <cellStyle name="RowTitles-Detail 2 3 6 2 5" xfId="19134"/>
    <cellStyle name="RowTitles-Detail 2 3 6 2 5 2" xfId="19135"/>
    <cellStyle name="RowTitles-Detail 2 3 6 2 5_Tertiary Salaries Survey" xfId="19136"/>
    <cellStyle name="RowTitles-Detail 2 3 6 2 6" xfId="19137"/>
    <cellStyle name="RowTitles-Detail 2 3 6 2_Tertiary Salaries Survey" xfId="19138"/>
    <cellStyle name="RowTitles-Detail 2 3 6 3" xfId="19139"/>
    <cellStyle name="RowTitles-Detail 2 3 6 3 2" xfId="19140"/>
    <cellStyle name="RowTitles-Detail 2 3 6 3 2 2" xfId="19141"/>
    <cellStyle name="RowTitles-Detail 2 3 6 3 2 2 2" xfId="19142"/>
    <cellStyle name="RowTitles-Detail 2 3 6 3 2 2_Tertiary Salaries Survey" xfId="19143"/>
    <cellStyle name="RowTitles-Detail 2 3 6 3 2 3" xfId="19144"/>
    <cellStyle name="RowTitles-Detail 2 3 6 3 2_Tertiary Salaries Survey" xfId="19145"/>
    <cellStyle name="RowTitles-Detail 2 3 6 3 3" xfId="19146"/>
    <cellStyle name="RowTitles-Detail 2 3 6 3 3 2" xfId="19147"/>
    <cellStyle name="RowTitles-Detail 2 3 6 3 3 2 2" xfId="19148"/>
    <cellStyle name="RowTitles-Detail 2 3 6 3 3 2_Tertiary Salaries Survey" xfId="19149"/>
    <cellStyle name="RowTitles-Detail 2 3 6 3 3 3" xfId="19150"/>
    <cellStyle name="RowTitles-Detail 2 3 6 3 3_Tertiary Salaries Survey" xfId="19151"/>
    <cellStyle name="RowTitles-Detail 2 3 6 3 4" xfId="19152"/>
    <cellStyle name="RowTitles-Detail 2 3 6 3 5" xfId="19153"/>
    <cellStyle name="RowTitles-Detail 2 3 6 3_Tertiary Salaries Survey" xfId="19154"/>
    <cellStyle name="RowTitles-Detail 2 3 6 4" xfId="19155"/>
    <cellStyle name="RowTitles-Detail 2 3 6 4 2" xfId="19156"/>
    <cellStyle name="RowTitles-Detail 2 3 6 4 2 2" xfId="19157"/>
    <cellStyle name="RowTitles-Detail 2 3 6 4 2 2 2" xfId="19158"/>
    <cellStyle name="RowTitles-Detail 2 3 6 4 2 2_Tertiary Salaries Survey" xfId="19159"/>
    <cellStyle name="RowTitles-Detail 2 3 6 4 2 3" xfId="19160"/>
    <cellStyle name="RowTitles-Detail 2 3 6 4 2_Tertiary Salaries Survey" xfId="19161"/>
    <cellStyle name="RowTitles-Detail 2 3 6 4 3" xfId="19162"/>
    <cellStyle name="RowTitles-Detail 2 3 6 4 3 2" xfId="19163"/>
    <cellStyle name="RowTitles-Detail 2 3 6 4 3 2 2" xfId="19164"/>
    <cellStyle name="RowTitles-Detail 2 3 6 4 3 2_Tertiary Salaries Survey" xfId="19165"/>
    <cellStyle name="RowTitles-Detail 2 3 6 4 3 3" xfId="19166"/>
    <cellStyle name="RowTitles-Detail 2 3 6 4 3_Tertiary Salaries Survey" xfId="19167"/>
    <cellStyle name="RowTitles-Detail 2 3 6 4 4" xfId="19168"/>
    <cellStyle name="RowTitles-Detail 2 3 6 4 5" xfId="19169"/>
    <cellStyle name="RowTitles-Detail 2 3 6 4 5 2" xfId="19170"/>
    <cellStyle name="RowTitles-Detail 2 3 6 4 5_Tertiary Salaries Survey" xfId="19171"/>
    <cellStyle name="RowTitles-Detail 2 3 6 4 6" xfId="19172"/>
    <cellStyle name="RowTitles-Detail 2 3 6 4_Tertiary Salaries Survey" xfId="19173"/>
    <cellStyle name="RowTitles-Detail 2 3 6 5" xfId="19174"/>
    <cellStyle name="RowTitles-Detail 2 3 6 5 2" xfId="19175"/>
    <cellStyle name="RowTitles-Detail 2 3 6 5 2 2" xfId="19176"/>
    <cellStyle name="RowTitles-Detail 2 3 6 5 2 2 2" xfId="19177"/>
    <cellStyle name="RowTitles-Detail 2 3 6 5 2 2_Tertiary Salaries Survey" xfId="19178"/>
    <cellStyle name="RowTitles-Detail 2 3 6 5 2 3" xfId="19179"/>
    <cellStyle name="RowTitles-Detail 2 3 6 5 2_Tertiary Salaries Survey" xfId="19180"/>
    <cellStyle name="RowTitles-Detail 2 3 6 5 3" xfId="19181"/>
    <cellStyle name="RowTitles-Detail 2 3 6 5 3 2" xfId="19182"/>
    <cellStyle name="RowTitles-Detail 2 3 6 5 3 2 2" xfId="19183"/>
    <cellStyle name="RowTitles-Detail 2 3 6 5 3 2_Tertiary Salaries Survey" xfId="19184"/>
    <cellStyle name="RowTitles-Detail 2 3 6 5 3 3" xfId="19185"/>
    <cellStyle name="RowTitles-Detail 2 3 6 5 3_Tertiary Salaries Survey" xfId="19186"/>
    <cellStyle name="RowTitles-Detail 2 3 6 5 4" xfId="19187"/>
    <cellStyle name="RowTitles-Detail 2 3 6 5 4 2" xfId="19188"/>
    <cellStyle name="RowTitles-Detail 2 3 6 5 4_Tertiary Salaries Survey" xfId="19189"/>
    <cellStyle name="RowTitles-Detail 2 3 6 5 5" xfId="19190"/>
    <cellStyle name="RowTitles-Detail 2 3 6 5_Tertiary Salaries Survey" xfId="19191"/>
    <cellStyle name="RowTitles-Detail 2 3 6 6" xfId="19192"/>
    <cellStyle name="RowTitles-Detail 2 3 6 6 2" xfId="19193"/>
    <cellStyle name="RowTitles-Detail 2 3 6 6 2 2" xfId="19194"/>
    <cellStyle name="RowTitles-Detail 2 3 6 6 2 2 2" xfId="19195"/>
    <cellStyle name="RowTitles-Detail 2 3 6 6 2 2_Tertiary Salaries Survey" xfId="19196"/>
    <cellStyle name="RowTitles-Detail 2 3 6 6 2 3" xfId="19197"/>
    <cellStyle name="RowTitles-Detail 2 3 6 6 2_Tertiary Salaries Survey" xfId="19198"/>
    <cellStyle name="RowTitles-Detail 2 3 6 6 3" xfId="19199"/>
    <cellStyle name="RowTitles-Detail 2 3 6 6 3 2" xfId="19200"/>
    <cellStyle name="RowTitles-Detail 2 3 6 6 3 2 2" xfId="19201"/>
    <cellStyle name="RowTitles-Detail 2 3 6 6 3 2_Tertiary Salaries Survey" xfId="19202"/>
    <cellStyle name="RowTitles-Detail 2 3 6 6 3 3" xfId="19203"/>
    <cellStyle name="RowTitles-Detail 2 3 6 6 3_Tertiary Salaries Survey" xfId="19204"/>
    <cellStyle name="RowTitles-Detail 2 3 6 6 4" xfId="19205"/>
    <cellStyle name="RowTitles-Detail 2 3 6 6 4 2" xfId="19206"/>
    <cellStyle name="RowTitles-Detail 2 3 6 6 4_Tertiary Salaries Survey" xfId="19207"/>
    <cellStyle name="RowTitles-Detail 2 3 6 6 5" xfId="19208"/>
    <cellStyle name="RowTitles-Detail 2 3 6 6_Tertiary Salaries Survey" xfId="19209"/>
    <cellStyle name="RowTitles-Detail 2 3 6 7" xfId="19210"/>
    <cellStyle name="RowTitles-Detail 2 3 6 7 2" xfId="19211"/>
    <cellStyle name="RowTitles-Detail 2 3 6 7 2 2" xfId="19212"/>
    <cellStyle name="RowTitles-Detail 2 3 6 7 2_Tertiary Salaries Survey" xfId="19213"/>
    <cellStyle name="RowTitles-Detail 2 3 6 7 3" xfId="19214"/>
    <cellStyle name="RowTitles-Detail 2 3 6 7_Tertiary Salaries Survey" xfId="19215"/>
    <cellStyle name="RowTitles-Detail 2 3 6 8" xfId="19216"/>
    <cellStyle name="RowTitles-Detail 2 3 6 9" xfId="19217"/>
    <cellStyle name="RowTitles-Detail 2 3 6_STUD aligned by INSTIT" xfId="19218"/>
    <cellStyle name="RowTitles-Detail 2 3 7" xfId="19219"/>
    <cellStyle name="RowTitles-Detail 2 3 7 2" xfId="19220"/>
    <cellStyle name="RowTitles-Detail 2 3 7 2 2" xfId="19221"/>
    <cellStyle name="RowTitles-Detail 2 3 7 2 2 2" xfId="19222"/>
    <cellStyle name="RowTitles-Detail 2 3 7 2 2_Tertiary Salaries Survey" xfId="19223"/>
    <cellStyle name="RowTitles-Detail 2 3 7 2 3" xfId="19224"/>
    <cellStyle name="RowTitles-Detail 2 3 7 2_Tertiary Salaries Survey" xfId="19225"/>
    <cellStyle name="RowTitles-Detail 2 3 7 3" xfId="19226"/>
    <cellStyle name="RowTitles-Detail 2 3 7 3 2" xfId="19227"/>
    <cellStyle name="RowTitles-Detail 2 3 7 3 2 2" xfId="19228"/>
    <cellStyle name="RowTitles-Detail 2 3 7 3 2_Tertiary Salaries Survey" xfId="19229"/>
    <cellStyle name="RowTitles-Detail 2 3 7 3 3" xfId="19230"/>
    <cellStyle name="RowTitles-Detail 2 3 7 3_Tertiary Salaries Survey" xfId="19231"/>
    <cellStyle name="RowTitles-Detail 2 3 7 4" xfId="19232"/>
    <cellStyle name="RowTitles-Detail 2 3 7 5" xfId="19233"/>
    <cellStyle name="RowTitles-Detail 2 3 7 5 2" xfId="19234"/>
    <cellStyle name="RowTitles-Detail 2 3 7 5_Tertiary Salaries Survey" xfId="19235"/>
    <cellStyle name="RowTitles-Detail 2 3 7 6" xfId="19236"/>
    <cellStyle name="RowTitles-Detail 2 3 7_Tertiary Salaries Survey" xfId="19237"/>
    <cellStyle name="RowTitles-Detail 2 3 8" xfId="19238"/>
    <cellStyle name="RowTitles-Detail 2 3 8 2" xfId="19239"/>
    <cellStyle name="RowTitles-Detail 2 3 8 2 2" xfId="19240"/>
    <cellStyle name="RowTitles-Detail 2 3 8 2 2 2" xfId="19241"/>
    <cellStyle name="RowTitles-Detail 2 3 8 2 2_Tertiary Salaries Survey" xfId="19242"/>
    <cellStyle name="RowTitles-Detail 2 3 8 2 3" xfId="19243"/>
    <cellStyle name="RowTitles-Detail 2 3 8 2_Tertiary Salaries Survey" xfId="19244"/>
    <cellStyle name="RowTitles-Detail 2 3 8 3" xfId="19245"/>
    <cellStyle name="RowTitles-Detail 2 3 8 3 2" xfId="19246"/>
    <cellStyle name="RowTitles-Detail 2 3 8 3 2 2" xfId="19247"/>
    <cellStyle name="RowTitles-Detail 2 3 8 3 2_Tertiary Salaries Survey" xfId="19248"/>
    <cellStyle name="RowTitles-Detail 2 3 8 3 3" xfId="19249"/>
    <cellStyle name="RowTitles-Detail 2 3 8 3_Tertiary Salaries Survey" xfId="19250"/>
    <cellStyle name="RowTitles-Detail 2 3 8 4" xfId="19251"/>
    <cellStyle name="RowTitles-Detail 2 3 8 5" xfId="19252"/>
    <cellStyle name="RowTitles-Detail 2 3 8_Tertiary Salaries Survey" xfId="19253"/>
    <cellStyle name="RowTitles-Detail 2 3 9" xfId="19254"/>
    <cellStyle name="RowTitles-Detail 2 3 9 2" xfId="19255"/>
    <cellStyle name="RowTitles-Detail 2 3 9 2 2" xfId="19256"/>
    <cellStyle name="RowTitles-Detail 2 3 9 2 2 2" xfId="19257"/>
    <cellStyle name="RowTitles-Detail 2 3 9 2 2_Tertiary Salaries Survey" xfId="19258"/>
    <cellStyle name="RowTitles-Detail 2 3 9 2 3" xfId="19259"/>
    <cellStyle name="RowTitles-Detail 2 3 9 2_Tertiary Salaries Survey" xfId="19260"/>
    <cellStyle name="RowTitles-Detail 2 3 9 3" xfId="19261"/>
    <cellStyle name="RowTitles-Detail 2 3 9 3 2" xfId="19262"/>
    <cellStyle name="RowTitles-Detail 2 3 9 3 2 2" xfId="19263"/>
    <cellStyle name="RowTitles-Detail 2 3 9 3 2_Tertiary Salaries Survey" xfId="19264"/>
    <cellStyle name="RowTitles-Detail 2 3 9 3 3" xfId="19265"/>
    <cellStyle name="RowTitles-Detail 2 3 9 3_Tertiary Salaries Survey" xfId="19266"/>
    <cellStyle name="RowTitles-Detail 2 3 9 4" xfId="19267"/>
    <cellStyle name="RowTitles-Detail 2 3 9 5" xfId="19268"/>
    <cellStyle name="RowTitles-Detail 2 3 9 5 2" xfId="19269"/>
    <cellStyle name="RowTitles-Detail 2 3 9 5_Tertiary Salaries Survey" xfId="19270"/>
    <cellStyle name="RowTitles-Detail 2 3 9 6" xfId="19271"/>
    <cellStyle name="RowTitles-Detail 2 3 9_Tertiary Salaries Survey" xfId="19272"/>
    <cellStyle name="RowTitles-Detail 2 3_STUD aligned by INSTIT" xfId="19273"/>
    <cellStyle name="RowTitles-Detail 2 4" xfId="19274"/>
    <cellStyle name="RowTitles-Detail 2 4 10" xfId="19275"/>
    <cellStyle name="RowTitles-Detail 2 4 10 2" xfId="19276"/>
    <cellStyle name="RowTitles-Detail 2 4 10 2 2" xfId="19277"/>
    <cellStyle name="RowTitles-Detail 2 4 10 2_Tertiary Salaries Survey" xfId="19278"/>
    <cellStyle name="RowTitles-Detail 2 4 10 3" xfId="19279"/>
    <cellStyle name="RowTitles-Detail 2 4 10_Tertiary Salaries Survey" xfId="19280"/>
    <cellStyle name="RowTitles-Detail 2 4 11" xfId="19281"/>
    <cellStyle name="RowTitles-Detail 2 4 12" xfId="19282"/>
    <cellStyle name="RowTitles-Detail 2 4 2" xfId="19283"/>
    <cellStyle name="RowTitles-Detail 2 4 2 2" xfId="19284"/>
    <cellStyle name="RowTitles-Detail 2 4 2 2 2" xfId="19285"/>
    <cellStyle name="RowTitles-Detail 2 4 2 2 2 2" xfId="19286"/>
    <cellStyle name="RowTitles-Detail 2 4 2 2 2 2 2" xfId="19287"/>
    <cellStyle name="RowTitles-Detail 2 4 2 2 2 2_Tertiary Salaries Survey" xfId="19288"/>
    <cellStyle name="RowTitles-Detail 2 4 2 2 2 3" xfId="19289"/>
    <cellStyle name="RowTitles-Detail 2 4 2 2 2_Tertiary Salaries Survey" xfId="19290"/>
    <cellStyle name="RowTitles-Detail 2 4 2 2 3" xfId="19291"/>
    <cellStyle name="RowTitles-Detail 2 4 2 2 3 2" xfId="19292"/>
    <cellStyle name="RowTitles-Detail 2 4 2 2 3 2 2" xfId="19293"/>
    <cellStyle name="RowTitles-Detail 2 4 2 2 3 2_Tertiary Salaries Survey" xfId="19294"/>
    <cellStyle name="RowTitles-Detail 2 4 2 2 3 3" xfId="19295"/>
    <cellStyle name="RowTitles-Detail 2 4 2 2 3_Tertiary Salaries Survey" xfId="19296"/>
    <cellStyle name="RowTitles-Detail 2 4 2 2 4" xfId="19297"/>
    <cellStyle name="RowTitles-Detail 2 4 2 2 5" xfId="19298"/>
    <cellStyle name="RowTitles-Detail 2 4 2 2_Tertiary Salaries Survey" xfId="19299"/>
    <cellStyle name="RowTitles-Detail 2 4 2 3" xfId="19300"/>
    <cellStyle name="RowTitles-Detail 2 4 2 3 2" xfId="19301"/>
    <cellStyle name="RowTitles-Detail 2 4 2 3 2 2" xfId="19302"/>
    <cellStyle name="RowTitles-Detail 2 4 2 3 2 2 2" xfId="19303"/>
    <cellStyle name="RowTitles-Detail 2 4 2 3 2 2_Tertiary Salaries Survey" xfId="19304"/>
    <cellStyle name="RowTitles-Detail 2 4 2 3 2 3" xfId="19305"/>
    <cellStyle name="RowTitles-Detail 2 4 2 3 2_Tertiary Salaries Survey" xfId="19306"/>
    <cellStyle name="RowTitles-Detail 2 4 2 3 3" xfId="19307"/>
    <cellStyle name="RowTitles-Detail 2 4 2 3 3 2" xfId="19308"/>
    <cellStyle name="RowTitles-Detail 2 4 2 3 3 2 2" xfId="19309"/>
    <cellStyle name="RowTitles-Detail 2 4 2 3 3 2_Tertiary Salaries Survey" xfId="19310"/>
    <cellStyle name="RowTitles-Detail 2 4 2 3 3 3" xfId="19311"/>
    <cellStyle name="RowTitles-Detail 2 4 2 3 3_Tertiary Salaries Survey" xfId="19312"/>
    <cellStyle name="RowTitles-Detail 2 4 2 3 4" xfId="19313"/>
    <cellStyle name="RowTitles-Detail 2 4 2 3 5" xfId="19314"/>
    <cellStyle name="RowTitles-Detail 2 4 2 3 5 2" xfId="19315"/>
    <cellStyle name="RowTitles-Detail 2 4 2 3 5_Tertiary Salaries Survey" xfId="19316"/>
    <cellStyle name="RowTitles-Detail 2 4 2 3 6" xfId="19317"/>
    <cellStyle name="RowTitles-Detail 2 4 2 3_Tertiary Salaries Survey" xfId="19318"/>
    <cellStyle name="RowTitles-Detail 2 4 2 4" xfId="19319"/>
    <cellStyle name="RowTitles-Detail 2 4 2 4 2" xfId="19320"/>
    <cellStyle name="RowTitles-Detail 2 4 2 4 2 2" xfId="19321"/>
    <cellStyle name="RowTitles-Detail 2 4 2 4 2 2 2" xfId="19322"/>
    <cellStyle name="RowTitles-Detail 2 4 2 4 2 2_Tertiary Salaries Survey" xfId="19323"/>
    <cellStyle name="RowTitles-Detail 2 4 2 4 2 3" xfId="19324"/>
    <cellStyle name="RowTitles-Detail 2 4 2 4 2_Tertiary Salaries Survey" xfId="19325"/>
    <cellStyle name="RowTitles-Detail 2 4 2 4 3" xfId="19326"/>
    <cellStyle name="RowTitles-Detail 2 4 2 4 3 2" xfId="19327"/>
    <cellStyle name="RowTitles-Detail 2 4 2 4 3 2 2" xfId="19328"/>
    <cellStyle name="RowTitles-Detail 2 4 2 4 3 2_Tertiary Salaries Survey" xfId="19329"/>
    <cellStyle name="RowTitles-Detail 2 4 2 4 3 3" xfId="19330"/>
    <cellStyle name="RowTitles-Detail 2 4 2 4 3_Tertiary Salaries Survey" xfId="19331"/>
    <cellStyle name="RowTitles-Detail 2 4 2 4 4" xfId="19332"/>
    <cellStyle name="RowTitles-Detail 2 4 2 4 4 2" xfId="19333"/>
    <cellStyle name="RowTitles-Detail 2 4 2 4 4_Tertiary Salaries Survey" xfId="19334"/>
    <cellStyle name="RowTitles-Detail 2 4 2 4 5" xfId="19335"/>
    <cellStyle name="RowTitles-Detail 2 4 2 4_Tertiary Salaries Survey" xfId="19336"/>
    <cellStyle name="RowTitles-Detail 2 4 2 5" xfId="19337"/>
    <cellStyle name="RowTitles-Detail 2 4 2 5 2" xfId="19338"/>
    <cellStyle name="RowTitles-Detail 2 4 2 5 2 2" xfId="19339"/>
    <cellStyle name="RowTitles-Detail 2 4 2 5 2 2 2" xfId="19340"/>
    <cellStyle name="RowTitles-Detail 2 4 2 5 2 2_Tertiary Salaries Survey" xfId="19341"/>
    <cellStyle name="RowTitles-Detail 2 4 2 5 2 3" xfId="19342"/>
    <cellStyle name="RowTitles-Detail 2 4 2 5 2_Tertiary Salaries Survey" xfId="19343"/>
    <cellStyle name="RowTitles-Detail 2 4 2 5 3" xfId="19344"/>
    <cellStyle name="RowTitles-Detail 2 4 2 5 3 2" xfId="19345"/>
    <cellStyle name="RowTitles-Detail 2 4 2 5 3 2 2" xfId="19346"/>
    <cellStyle name="RowTitles-Detail 2 4 2 5 3 2_Tertiary Salaries Survey" xfId="19347"/>
    <cellStyle name="RowTitles-Detail 2 4 2 5 3 3" xfId="19348"/>
    <cellStyle name="RowTitles-Detail 2 4 2 5 3_Tertiary Salaries Survey" xfId="19349"/>
    <cellStyle name="RowTitles-Detail 2 4 2 5 4" xfId="19350"/>
    <cellStyle name="RowTitles-Detail 2 4 2 5 4 2" xfId="19351"/>
    <cellStyle name="RowTitles-Detail 2 4 2 5 4_Tertiary Salaries Survey" xfId="19352"/>
    <cellStyle name="RowTitles-Detail 2 4 2 5 5" xfId="19353"/>
    <cellStyle name="RowTitles-Detail 2 4 2 5_Tertiary Salaries Survey" xfId="19354"/>
    <cellStyle name="RowTitles-Detail 2 4 2 6" xfId="19355"/>
    <cellStyle name="RowTitles-Detail 2 4 2 6 2" xfId="19356"/>
    <cellStyle name="RowTitles-Detail 2 4 2 6 2 2" xfId="19357"/>
    <cellStyle name="RowTitles-Detail 2 4 2 6 2 2 2" xfId="19358"/>
    <cellStyle name="RowTitles-Detail 2 4 2 6 2 2_Tertiary Salaries Survey" xfId="19359"/>
    <cellStyle name="RowTitles-Detail 2 4 2 6 2 3" xfId="19360"/>
    <cellStyle name="RowTitles-Detail 2 4 2 6 2_Tertiary Salaries Survey" xfId="19361"/>
    <cellStyle name="RowTitles-Detail 2 4 2 6 3" xfId="19362"/>
    <cellStyle name="RowTitles-Detail 2 4 2 6 3 2" xfId="19363"/>
    <cellStyle name="RowTitles-Detail 2 4 2 6 3 2 2" xfId="19364"/>
    <cellStyle name="RowTitles-Detail 2 4 2 6 3 2_Tertiary Salaries Survey" xfId="19365"/>
    <cellStyle name="RowTitles-Detail 2 4 2 6 3 3" xfId="19366"/>
    <cellStyle name="RowTitles-Detail 2 4 2 6 3_Tertiary Salaries Survey" xfId="19367"/>
    <cellStyle name="RowTitles-Detail 2 4 2 6 4" xfId="19368"/>
    <cellStyle name="RowTitles-Detail 2 4 2 6 4 2" xfId="19369"/>
    <cellStyle name="RowTitles-Detail 2 4 2 6 4_Tertiary Salaries Survey" xfId="19370"/>
    <cellStyle name="RowTitles-Detail 2 4 2 6 5" xfId="19371"/>
    <cellStyle name="RowTitles-Detail 2 4 2 6_Tertiary Salaries Survey" xfId="19372"/>
    <cellStyle name="RowTitles-Detail 2 4 2 7" xfId="19373"/>
    <cellStyle name="RowTitles-Detail 2 4 2 7 2" xfId="19374"/>
    <cellStyle name="RowTitles-Detail 2 4 2 7 2 2" xfId="19375"/>
    <cellStyle name="RowTitles-Detail 2 4 2 7 2_Tertiary Salaries Survey" xfId="19376"/>
    <cellStyle name="RowTitles-Detail 2 4 2 7 3" xfId="19377"/>
    <cellStyle name="RowTitles-Detail 2 4 2 7_Tertiary Salaries Survey" xfId="19378"/>
    <cellStyle name="RowTitles-Detail 2 4 2 8" xfId="19379"/>
    <cellStyle name="RowTitles-Detail 2 4 2 9" xfId="19380"/>
    <cellStyle name="RowTitles-Detail 2 4 2_STUD aligned by INSTIT" xfId="19381"/>
    <cellStyle name="RowTitles-Detail 2 4 3" xfId="19382"/>
    <cellStyle name="RowTitles-Detail 2 4 3 2" xfId="19383"/>
    <cellStyle name="RowTitles-Detail 2 4 3 2 2" xfId="19384"/>
    <cellStyle name="RowTitles-Detail 2 4 3 2 2 2" xfId="19385"/>
    <cellStyle name="RowTitles-Detail 2 4 3 2 2 2 2" xfId="19386"/>
    <cellStyle name="RowTitles-Detail 2 4 3 2 2 2_Tertiary Salaries Survey" xfId="19387"/>
    <cellStyle name="RowTitles-Detail 2 4 3 2 2 3" xfId="19388"/>
    <cellStyle name="RowTitles-Detail 2 4 3 2 2_Tertiary Salaries Survey" xfId="19389"/>
    <cellStyle name="RowTitles-Detail 2 4 3 2 3" xfId="19390"/>
    <cellStyle name="RowTitles-Detail 2 4 3 2 3 2" xfId="19391"/>
    <cellStyle name="RowTitles-Detail 2 4 3 2 3 2 2" xfId="19392"/>
    <cellStyle name="RowTitles-Detail 2 4 3 2 3 2_Tertiary Salaries Survey" xfId="19393"/>
    <cellStyle name="RowTitles-Detail 2 4 3 2 3 3" xfId="19394"/>
    <cellStyle name="RowTitles-Detail 2 4 3 2 3_Tertiary Salaries Survey" xfId="19395"/>
    <cellStyle name="RowTitles-Detail 2 4 3 2 4" xfId="19396"/>
    <cellStyle name="RowTitles-Detail 2 4 3 2 5" xfId="19397"/>
    <cellStyle name="RowTitles-Detail 2 4 3 2 5 2" xfId="19398"/>
    <cellStyle name="RowTitles-Detail 2 4 3 2 5_Tertiary Salaries Survey" xfId="19399"/>
    <cellStyle name="RowTitles-Detail 2 4 3 2 6" xfId="19400"/>
    <cellStyle name="RowTitles-Detail 2 4 3 2_Tertiary Salaries Survey" xfId="19401"/>
    <cellStyle name="RowTitles-Detail 2 4 3 3" xfId="19402"/>
    <cellStyle name="RowTitles-Detail 2 4 3 3 2" xfId="19403"/>
    <cellStyle name="RowTitles-Detail 2 4 3 3 2 2" xfId="19404"/>
    <cellStyle name="RowTitles-Detail 2 4 3 3 2 2 2" xfId="19405"/>
    <cellStyle name="RowTitles-Detail 2 4 3 3 2 2_Tertiary Salaries Survey" xfId="19406"/>
    <cellStyle name="RowTitles-Detail 2 4 3 3 2 3" xfId="19407"/>
    <cellStyle name="RowTitles-Detail 2 4 3 3 2_Tertiary Salaries Survey" xfId="19408"/>
    <cellStyle name="RowTitles-Detail 2 4 3 3 3" xfId="19409"/>
    <cellStyle name="RowTitles-Detail 2 4 3 3 3 2" xfId="19410"/>
    <cellStyle name="RowTitles-Detail 2 4 3 3 3 2 2" xfId="19411"/>
    <cellStyle name="RowTitles-Detail 2 4 3 3 3 2_Tertiary Salaries Survey" xfId="19412"/>
    <cellStyle name="RowTitles-Detail 2 4 3 3 3 3" xfId="19413"/>
    <cellStyle name="RowTitles-Detail 2 4 3 3 3_Tertiary Salaries Survey" xfId="19414"/>
    <cellStyle name="RowTitles-Detail 2 4 3 3 4" xfId="19415"/>
    <cellStyle name="RowTitles-Detail 2 4 3 3 5" xfId="19416"/>
    <cellStyle name="RowTitles-Detail 2 4 3 3_Tertiary Salaries Survey" xfId="19417"/>
    <cellStyle name="RowTitles-Detail 2 4 3 4" xfId="19418"/>
    <cellStyle name="RowTitles-Detail 2 4 3 4 2" xfId="19419"/>
    <cellStyle name="RowTitles-Detail 2 4 3 4 2 2" xfId="19420"/>
    <cellStyle name="RowTitles-Detail 2 4 3 4 2 2 2" xfId="19421"/>
    <cellStyle name="RowTitles-Detail 2 4 3 4 2 2_Tertiary Salaries Survey" xfId="19422"/>
    <cellStyle name="RowTitles-Detail 2 4 3 4 2 3" xfId="19423"/>
    <cellStyle name="RowTitles-Detail 2 4 3 4 2_Tertiary Salaries Survey" xfId="19424"/>
    <cellStyle name="RowTitles-Detail 2 4 3 4 3" xfId="19425"/>
    <cellStyle name="RowTitles-Detail 2 4 3 4 3 2" xfId="19426"/>
    <cellStyle name="RowTitles-Detail 2 4 3 4 3 2 2" xfId="19427"/>
    <cellStyle name="RowTitles-Detail 2 4 3 4 3 2_Tertiary Salaries Survey" xfId="19428"/>
    <cellStyle name="RowTitles-Detail 2 4 3 4 3 3" xfId="19429"/>
    <cellStyle name="RowTitles-Detail 2 4 3 4 3_Tertiary Salaries Survey" xfId="19430"/>
    <cellStyle name="RowTitles-Detail 2 4 3 4 4" xfId="19431"/>
    <cellStyle name="RowTitles-Detail 2 4 3 4 4 2" xfId="19432"/>
    <cellStyle name="RowTitles-Detail 2 4 3 4 4_Tertiary Salaries Survey" xfId="19433"/>
    <cellStyle name="RowTitles-Detail 2 4 3 4 5" xfId="19434"/>
    <cellStyle name="RowTitles-Detail 2 4 3 4_Tertiary Salaries Survey" xfId="19435"/>
    <cellStyle name="RowTitles-Detail 2 4 3 5" xfId="19436"/>
    <cellStyle name="RowTitles-Detail 2 4 3 5 2" xfId="19437"/>
    <cellStyle name="RowTitles-Detail 2 4 3 5 2 2" xfId="19438"/>
    <cellStyle name="RowTitles-Detail 2 4 3 5 2 2 2" xfId="19439"/>
    <cellStyle name="RowTitles-Detail 2 4 3 5 2 2_Tertiary Salaries Survey" xfId="19440"/>
    <cellStyle name="RowTitles-Detail 2 4 3 5 2 3" xfId="19441"/>
    <cellStyle name="RowTitles-Detail 2 4 3 5 2_Tertiary Salaries Survey" xfId="19442"/>
    <cellStyle name="RowTitles-Detail 2 4 3 5 3" xfId="19443"/>
    <cellStyle name="RowTitles-Detail 2 4 3 5 3 2" xfId="19444"/>
    <cellStyle name="RowTitles-Detail 2 4 3 5 3 2 2" xfId="19445"/>
    <cellStyle name="RowTitles-Detail 2 4 3 5 3 2_Tertiary Salaries Survey" xfId="19446"/>
    <cellStyle name="RowTitles-Detail 2 4 3 5 3 3" xfId="19447"/>
    <cellStyle name="RowTitles-Detail 2 4 3 5 3_Tertiary Salaries Survey" xfId="19448"/>
    <cellStyle name="RowTitles-Detail 2 4 3 5 4" xfId="19449"/>
    <cellStyle name="RowTitles-Detail 2 4 3 5 4 2" xfId="19450"/>
    <cellStyle name="RowTitles-Detail 2 4 3 5 4_Tertiary Salaries Survey" xfId="19451"/>
    <cellStyle name="RowTitles-Detail 2 4 3 5 5" xfId="19452"/>
    <cellStyle name="RowTitles-Detail 2 4 3 5_Tertiary Salaries Survey" xfId="19453"/>
    <cellStyle name="RowTitles-Detail 2 4 3 6" xfId="19454"/>
    <cellStyle name="RowTitles-Detail 2 4 3 6 2" xfId="19455"/>
    <cellStyle name="RowTitles-Detail 2 4 3 6 2 2" xfId="19456"/>
    <cellStyle name="RowTitles-Detail 2 4 3 6 2 2 2" xfId="19457"/>
    <cellStyle name="RowTitles-Detail 2 4 3 6 2 2_Tertiary Salaries Survey" xfId="19458"/>
    <cellStyle name="RowTitles-Detail 2 4 3 6 2 3" xfId="19459"/>
    <cellStyle name="RowTitles-Detail 2 4 3 6 2_Tertiary Salaries Survey" xfId="19460"/>
    <cellStyle name="RowTitles-Detail 2 4 3 6 3" xfId="19461"/>
    <cellStyle name="RowTitles-Detail 2 4 3 6 3 2" xfId="19462"/>
    <cellStyle name="RowTitles-Detail 2 4 3 6 3 2 2" xfId="19463"/>
    <cellStyle name="RowTitles-Detail 2 4 3 6 3 2_Tertiary Salaries Survey" xfId="19464"/>
    <cellStyle name="RowTitles-Detail 2 4 3 6 3 3" xfId="19465"/>
    <cellStyle name="RowTitles-Detail 2 4 3 6 3_Tertiary Salaries Survey" xfId="19466"/>
    <cellStyle name="RowTitles-Detail 2 4 3 6 4" xfId="19467"/>
    <cellStyle name="RowTitles-Detail 2 4 3 6 4 2" xfId="19468"/>
    <cellStyle name="RowTitles-Detail 2 4 3 6 4_Tertiary Salaries Survey" xfId="19469"/>
    <cellStyle name="RowTitles-Detail 2 4 3 6 5" xfId="19470"/>
    <cellStyle name="RowTitles-Detail 2 4 3 6_Tertiary Salaries Survey" xfId="19471"/>
    <cellStyle name="RowTitles-Detail 2 4 3 7" xfId="19472"/>
    <cellStyle name="RowTitles-Detail 2 4 3 7 2" xfId="19473"/>
    <cellStyle name="RowTitles-Detail 2 4 3 7 2 2" xfId="19474"/>
    <cellStyle name="RowTitles-Detail 2 4 3 7 2_Tertiary Salaries Survey" xfId="19475"/>
    <cellStyle name="RowTitles-Detail 2 4 3 7 3" xfId="19476"/>
    <cellStyle name="RowTitles-Detail 2 4 3 7_Tertiary Salaries Survey" xfId="19477"/>
    <cellStyle name="RowTitles-Detail 2 4 3 8" xfId="19478"/>
    <cellStyle name="RowTitles-Detail 2 4 3 8 2" xfId="19479"/>
    <cellStyle name="RowTitles-Detail 2 4 3 8 2 2" xfId="19480"/>
    <cellStyle name="RowTitles-Detail 2 4 3 8 2_Tertiary Salaries Survey" xfId="19481"/>
    <cellStyle name="RowTitles-Detail 2 4 3 8 3" xfId="19482"/>
    <cellStyle name="RowTitles-Detail 2 4 3 8_Tertiary Salaries Survey" xfId="19483"/>
    <cellStyle name="RowTitles-Detail 2 4 3 9" xfId="19484"/>
    <cellStyle name="RowTitles-Detail 2 4 3_STUD aligned by INSTIT" xfId="19485"/>
    <cellStyle name="RowTitles-Detail 2 4 4" xfId="19486"/>
    <cellStyle name="RowTitles-Detail 2 4 4 2" xfId="19487"/>
    <cellStyle name="RowTitles-Detail 2 4 4 2 2" xfId="19488"/>
    <cellStyle name="RowTitles-Detail 2 4 4 2 2 2" xfId="19489"/>
    <cellStyle name="RowTitles-Detail 2 4 4 2 2 2 2" xfId="19490"/>
    <cellStyle name="RowTitles-Detail 2 4 4 2 2 2_Tertiary Salaries Survey" xfId="19491"/>
    <cellStyle name="RowTitles-Detail 2 4 4 2 2 3" xfId="19492"/>
    <cellStyle name="RowTitles-Detail 2 4 4 2 2_Tertiary Salaries Survey" xfId="19493"/>
    <cellStyle name="RowTitles-Detail 2 4 4 2 3" xfId="19494"/>
    <cellStyle name="RowTitles-Detail 2 4 4 2 3 2" xfId="19495"/>
    <cellStyle name="RowTitles-Detail 2 4 4 2 3 2 2" xfId="19496"/>
    <cellStyle name="RowTitles-Detail 2 4 4 2 3 2_Tertiary Salaries Survey" xfId="19497"/>
    <cellStyle name="RowTitles-Detail 2 4 4 2 3 3" xfId="19498"/>
    <cellStyle name="RowTitles-Detail 2 4 4 2 3_Tertiary Salaries Survey" xfId="19499"/>
    <cellStyle name="RowTitles-Detail 2 4 4 2 4" xfId="19500"/>
    <cellStyle name="RowTitles-Detail 2 4 4 2 5" xfId="19501"/>
    <cellStyle name="RowTitles-Detail 2 4 4 2 5 2" xfId="19502"/>
    <cellStyle name="RowTitles-Detail 2 4 4 2 5_Tertiary Salaries Survey" xfId="19503"/>
    <cellStyle name="RowTitles-Detail 2 4 4 2 6" xfId="19504"/>
    <cellStyle name="RowTitles-Detail 2 4 4 2_Tertiary Salaries Survey" xfId="19505"/>
    <cellStyle name="RowTitles-Detail 2 4 4 3" xfId="19506"/>
    <cellStyle name="RowTitles-Detail 2 4 4 3 2" xfId="19507"/>
    <cellStyle name="RowTitles-Detail 2 4 4 3 2 2" xfId="19508"/>
    <cellStyle name="RowTitles-Detail 2 4 4 3 2 2 2" xfId="19509"/>
    <cellStyle name="RowTitles-Detail 2 4 4 3 2 2_Tertiary Salaries Survey" xfId="19510"/>
    <cellStyle name="RowTitles-Detail 2 4 4 3 2 3" xfId="19511"/>
    <cellStyle name="RowTitles-Detail 2 4 4 3 2_Tertiary Salaries Survey" xfId="19512"/>
    <cellStyle name="RowTitles-Detail 2 4 4 3 3" xfId="19513"/>
    <cellStyle name="RowTitles-Detail 2 4 4 3 3 2" xfId="19514"/>
    <cellStyle name="RowTitles-Detail 2 4 4 3 3 2 2" xfId="19515"/>
    <cellStyle name="RowTitles-Detail 2 4 4 3 3 2_Tertiary Salaries Survey" xfId="19516"/>
    <cellStyle name="RowTitles-Detail 2 4 4 3 3 3" xfId="19517"/>
    <cellStyle name="RowTitles-Detail 2 4 4 3 3_Tertiary Salaries Survey" xfId="19518"/>
    <cellStyle name="RowTitles-Detail 2 4 4 3 4" xfId="19519"/>
    <cellStyle name="RowTitles-Detail 2 4 4 3 5" xfId="19520"/>
    <cellStyle name="RowTitles-Detail 2 4 4 3_Tertiary Salaries Survey" xfId="19521"/>
    <cellStyle name="RowTitles-Detail 2 4 4 4" xfId="19522"/>
    <cellStyle name="RowTitles-Detail 2 4 4 4 2" xfId="19523"/>
    <cellStyle name="RowTitles-Detail 2 4 4 4 2 2" xfId="19524"/>
    <cellStyle name="RowTitles-Detail 2 4 4 4 2 2 2" xfId="19525"/>
    <cellStyle name="RowTitles-Detail 2 4 4 4 2 2_Tertiary Salaries Survey" xfId="19526"/>
    <cellStyle name="RowTitles-Detail 2 4 4 4 2 3" xfId="19527"/>
    <cellStyle name="RowTitles-Detail 2 4 4 4 2_Tertiary Salaries Survey" xfId="19528"/>
    <cellStyle name="RowTitles-Detail 2 4 4 4 3" xfId="19529"/>
    <cellStyle name="RowTitles-Detail 2 4 4 4 3 2" xfId="19530"/>
    <cellStyle name="RowTitles-Detail 2 4 4 4 3 2 2" xfId="19531"/>
    <cellStyle name="RowTitles-Detail 2 4 4 4 3 2_Tertiary Salaries Survey" xfId="19532"/>
    <cellStyle name="RowTitles-Detail 2 4 4 4 3 3" xfId="19533"/>
    <cellStyle name="RowTitles-Detail 2 4 4 4 3_Tertiary Salaries Survey" xfId="19534"/>
    <cellStyle name="RowTitles-Detail 2 4 4 4 4" xfId="19535"/>
    <cellStyle name="RowTitles-Detail 2 4 4 4 5" xfId="19536"/>
    <cellStyle name="RowTitles-Detail 2 4 4 4 5 2" xfId="19537"/>
    <cellStyle name="RowTitles-Detail 2 4 4 4 5_Tertiary Salaries Survey" xfId="19538"/>
    <cellStyle name="RowTitles-Detail 2 4 4 4 6" xfId="19539"/>
    <cellStyle name="RowTitles-Detail 2 4 4 4_Tertiary Salaries Survey" xfId="19540"/>
    <cellStyle name="RowTitles-Detail 2 4 4 5" xfId="19541"/>
    <cellStyle name="RowTitles-Detail 2 4 4 5 2" xfId="19542"/>
    <cellStyle name="RowTitles-Detail 2 4 4 5 2 2" xfId="19543"/>
    <cellStyle name="RowTitles-Detail 2 4 4 5 2 2 2" xfId="19544"/>
    <cellStyle name="RowTitles-Detail 2 4 4 5 2 2_Tertiary Salaries Survey" xfId="19545"/>
    <cellStyle name="RowTitles-Detail 2 4 4 5 2 3" xfId="19546"/>
    <cellStyle name="RowTitles-Detail 2 4 4 5 2_Tertiary Salaries Survey" xfId="19547"/>
    <cellStyle name="RowTitles-Detail 2 4 4 5 3" xfId="19548"/>
    <cellStyle name="RowTitles-Detail 2 4 4 5 3 2" xfId="19549"/>
    <cellStyle name="RowTitles-Detail 2 4 4 5 3 2 2" xfId="19550"/>
    <cellStyle name="RowTitles-Detail 2 4 4 5 3 2_Tertiary Salaries Survey" xfId="19551"/>
    <cellStyle name="RowTitles-Detail 2 4 4 5 3 3" xfId="19552"/>
    <cellStyle name="RowTitles-Detail 2 4 4 5 3_Tertiary Salaries Survey" xfId="19553"/>
    <cellStyle name="RowTitles-Detail 2 4 4 5 4" xfId="19554"/>
    <cellStyle name="RowTitles-Detail 2 4 4 5 4 2" xfId="19555"/>
    <cellStyle name="RowTitles-Detail 2 4 4 5 4_Tertiary Salaries Survey" xfId="19556"/>
    <cellStyle name="RowTitles-Detail 2 4 4 5 5" xfId="19557"/>
    <cellStyle name="RowTitles-Detail 2 4 4 5_Tertiary Salaries Survey" xfId="19558"/>
    <cellStyle name="RowTitles-Detail 2 4 4 6" xfId="19559"/>
    <cellStyle name="RowTitles-Detail 2 4 4 6 2" xfId="19560"/>
    <cellStyle name="RowTitles-Detail 2 4 4 6 2 2" xfId="19561"/>
    <cellStyle name="RowTitles-Detail 2 4 4 6 2 2 2" xfId="19562"/>
    <cellStyle name="RowTitles-Detail 2 4 4 6 2 2_Tertiary Salaries Survey" xfId="19563"/>
    <cellStyle name="RowTitles-Detail 2 4 4 6 2 3" xfId="19564"/>
    <cellStyle name="RowTitles-Detail 2 4 4 6 2_Tertiary Salaries Survey" xfId="19565"/>
    <cellStyle name="RowTitles-Detail 2 4 4 6 3" xfId="19566"/>
    <cellStyle name="RowTitles-Detail 2 4 4 6 3 2" xfId="19567"/>
    <cellStyle name="RowTitles-Detail 2 4 4 6 3 2 2" xfId="19568"/>
    <cellStyle name="RowTitles-Detail 2 4 4 6 3 2_Tertiary Salaries Survey" xfId="19569"/>
    <cellStyle name="RowTitles-Detail 2 4 4 6 3 3" xfId="19570"/>
    <cellStyle name="RowTitles-Detail 2 4 4 6 3_Tertiary Salaries Survey" xfId="19571"/>
    <cellStyle name="RowTitles-Detail 2 4 4 6 4" xfId="19572"/>
    <cellStyle name="RowTitles-Detail 2 4 4 6 4 2" xfId="19573"/>
    <cellStyle name="RowTitles-Detail 2 4 4 6 4_Tertiary Salaries Survey" xfId="19574"/>
    <cellStyle name="RowTitles-Detail 2 4 4 6 5" xfId="19575"/>
    <cellStyle name="RowTitles-Detail 2 4 4 6_Tertiary Salaries Survey" xfId="19576"/>
    <cellStyle name="RowTitles-Detail 2 4 4 7" xfId="19577"/>
    <cellStyle name="RowTitles-Detail 2 4 4 7 2" xfId="19578"/>
    <cellStyle name="RowTitles-Detail 2 4 4 7 2 2" xfId="19579"/>
    <cellStyle name="RowTitles-Detail 2 4 4 7 2_Tertiary Salaries Survey" xfId="19580"/>
    <cellStyle name="RowTitles-Detail 2 4 4 7 3" xfId="19581"/>
    <cellStyle name="RowTitles-Detail 2 4 4 7_Tertiary Salaries Survey" xfId="19582"/>
    <cellStyle name="RowTitles-Detail 2 4 4 8" xfId="19583"/>
    <cellStyle name="RowTitles-Detail 2 4 4 9" xfId="19584"/>
    <cellStyle name="RowTitles-Detail 2 4 4_STUD aligned by INSTIT" xfId="19585"/>
    <cellStyle name="RowTitles-Detail 2 4 5" xfId="19586"/>
    <cellStyle name="RowTitles-Detail 2 4 5 2" xfId="19587"/>
    <cellStyle name="RowTitles-Detail 2 4 5 2 2" xfId="19588"/>
    <cellStyle name="RowTitles-Detail 2 4 5 2 2 2" xfId="19589"/>
    <cellStyle name="RowTitles-Detail 2 4 5 2 2_Tertiary Salaries Survey" xfId="19590"/>
    <cellStyle name="RowTitles-Detail 2 4 5 2 3" xfId="19591"/>
    <cellStyle name="RowTitles-Detail 2 4 5 2_Tertiary Salaries Survey" xfId="19592"/>
    <cellStyle name="RowTitles-Detail 2 4 5 3" xfId="19593"/>
    <cellStyle name="RowTitles-Detail 2 4 5 3 2" xfId="19594"/>
    <cellStyle name="RowTitles-Detail 2 4 5 3 2 2" xfId="19595"/>
    <cellStyle name="RowTitles-Detail 2 4 5 3 2_Tertiary Salaries Survey" xfId="19596"/>
    <cellStyle name="RowTitles-Detail 2 4 5 3 3" xfId="19597"/>
    <cellStyle name="RowTitles-Detail 2 4 5 3_Tertiary Salaries Survey" xfId="19598"/>
    <cellStyle name="RowTitles-Detail 2 4 5 4" xfId="19599"/>
    <cellStyle name="RowTitles-Detail 2 4 5 5" xfId="19600"/>
    <cellStyle name="RowTitles-Detail 2 4 5 5 2" xfId="19601"/>
    <cellStyle name="RowTitles-Detail 2 4 5 5_Tertiary Salaries Survey" xfId="19602"/>
    <cellStyle name="RowTitles-Detail 2 4 5 6" xfId="19603"/>
    <cellStyle name="RowTitles-Detail 2 4 5_Tertiary Salaries Survey" xfId="19604"/>
    <cellStyle name="RowTitles-Detail 2 4 6" xfId="19605"/>
    <cellStyle name="RowTitles-Detail 2 4 6 2" xfId="19606"/>
    <cellStyle name="RowTitles-Detail 2 4 6 2 2" xfId="19607"/>
    <cellStyle name="RowTitles-Detail 2 4 6 2 2 2" xfId="19608"/>
    <cellStyle name="RowTitles-Detail 2 4 6 2 2_Tertiary Salaries Survey" xfId="19609"/>
    <cellStyle name="RowTitles-Detail 2 4 6 2 3" xfId="19610"/>
    <cellStyle name="RowTitles-Detail 2 4 6 2_Tertiary Salaries Survey" xfId="19611"/>
    <cellStyle name="RowTitles-Detail 2 4 6 3" xfId="19612"/>
    <cellStyle name="RowTitles-Detail 2 4 6 3 2" xfId="19613"/>
    <cellStyle name="RowTitles-Detail 2 4 6 3 2 2" xfId="19614"/>
    <cellStyle name="RowTitles-Detail 2 4 6 3 2_Tertiary Salaries Survey" xfId="19615"/>
    <cellStyle name="RowTitles-Detail 2 4 6 3 3" xfId="19616"/>
    <cellStyle name="RowTitles-Detail 2 4 6 3_Tertiary Salaries Survey" xfId="19617"/>
    <cellStyle name="RowTitles-Detail 2 4 6 4" xfId="19618"/>
    <cellStyle name="RowTitles-Detail 2 4 6 5" xfId="19619"/>
    <cellStyle name="RowTitles-Detail 2 4 6_Tertiary Salaries Survey" xfId="19620"/>
    <cellStyle name="RowTitles-Detail 2 4 7" xfId="19621"/>
    <cellStyle name="RowTitles-Detail 2 4 7 2" xfId="19622"/>
    <cellStyle name="RowTitles-Detail 2 4 7 2 2" xfId="19623"/>
    <cellStyle name="RowTitles-Detail 2 4 7 2 2 2" xfId="19624"/>
    <cellStyle name="RowTitles-Detail 2 4 7 2 2_Tertiary Salaries Survey" xfId="19625"/>
    <cellStyle name="RowTitles-Detail 2 4 7 2 3" xfId="19626"/>
    <cellStyle name="RowTitles-Detail 2 4 7 2_Tertiary Salaries Survey" xfId="19627"/>
    <cellStyle name="RowTitles-Detail 2 4 7 3" xfId="19628"/>
    <cellStyle name="RowTitles-Detail 2 4 7 3 2" xfId="19629"/>
    <cellStyle name="RowTitles-Detail 2 4 7 3 2 2" xfId="19630"/>
    <cellStyle name="RowTitles-Detail 2 4 7 3 2_Tertiary Salaries Survey" xfId="19631"/>
    <cellStyle name="RowTitles-Detail 2 4 7 3 3" xfId="19632"/>
    <cellStyle name="RowTitles-Detail 2 4 7 3_Tertiary Salaries Survey" xfId="19633"/>
    <cellStyle name="RowTitles-Detail 2 4 7 4" xfId="19634"/>
    <cellStyle name="RowTitles-Detail 2 4 7 5" xfId="19635"/>
    <cellStyle name="RowTitles-Detail 2 4 7 5 2" xfId="19636"/>
    <cellStyle name="RowTitles-Detail 2 4 7 5_Tertiary Salaries Survey" xfId="19637"/>
    <cellStyle name="RowTitles-Detail 2 4 7 6" xfId="19638"/>
    <cellStyle name="RowTitles-Detail 2 4 7_Tertiary Salaries Survey" xfId="19639"/>
    <cellStyle name="RowTitles-Detail 2 4 8" xfId="19640"/>
    <cellStyle name="RowTitles-Detail 2 4 8 2" xfId="19641"/>
    <cellStyle name="RowTitles-Detail 2 4 8 2 2" xfId="19642"/>
    <cellStyle name="RowTitles-Detail 2 4 8 2 2 2" xfId="19643"/>
    <cellStyle name="RowTitles-Detail 2 4 8 2 2_Tertiary Salaries Survey" xfId="19644"/>
    <cellStyle name="RowTitles-Detail 2 4 8 2 3" xfId="19645"/>
    <cellStyle name="RowTitles-Detail 2 4 8 2_Tertiary Salaries Survey" xfId="19646"/>
    <cellStyle name="RowTitles-Detail 2 4 8 3" xfId="19647"/>
    <cellStyle name="RowTitles-Detail 2 4 8 3 2" xfId="19648"/>
    <cellStyle name="RowTitles-Detail 2 4 8 3 2 2" xfId="19649"/>
    <cellStyle name="RowTitles-Detail 2 4 8 3 2_Tertiary Salaries Survey" xfId="19650"/>
    <cellStyle name="RowTitles-Detail 2 4 8 3 3" xfId="19651"/>
    <cellStyle name="RowTitles-Detail 2 4 8 3_Tertiary Salaries Survey" xfId="19652"/>
    <cellStyle name="RowTitles-Detail 2 4 8 4" xfId="19653"/>
    <cellStyle name="RowTitles-Detail 2 4 8 4 2" xfId="19654"/>
    <cellStyle name="RowTitles-Detail 2 4 8 4_Tertiary Salaries Survey" xfId="19655"/>
    <cellStyle name="RowTitles-Detail 2 4 8 5" xfId="19656"/>
    <cellStyle name="RowTitles-Detail 2 4 8_Tertiary Salaries Survey" xfId="19657"/>
    <cellStyle name="RowTitles-Detail 2 4 9" xfId="19658"/>
    <cellStyle name="RowTitles-Detail 2 4 9 2" xfId="19659"/>
    <cellStyle name="RowTitles-Detail 2 4 9 2 2" xfId="19660"/>
    <cellStyle name="RowTitles-Detail 2 4 9 2 2 2" xfId="19661"/>
    <cellStyle name="RowTitles-Detail 2 4 9 2 2_Tertiary Salaries Survey" xfId="19662"/>
    <cellStyle name="RowTitles-Detail 2 4 9 2 3" xfId="19663"/>
    <cellStyle name="RowTitles-Detail 2 4 9 2_Tertiary Salaries Survey" xfId="19664"/>
    <cellStyle name="RowTitles-Detail 2 4 9 3" xfId="19665"/>
    <cellStyle name="RowTitles-Detail 2 4 9 3 2" xfId="19666"/>
    <cellStyle name="RowTitles-Detail 2 4 9 3 2 2" xfId="19667"/>
    <cellStyle name="RowTitles-Detail 2 4 9 3 2_Tertiary Salaries Survey" xfId="19668"/>
    <cellStyle name="RowTitles-Detail 2 4 9 3 3" xfId="19669"/>
    <cellStyle name="RowTitles-Detail 2 4 9 3_Tertiary Salaries Survey" xfId="19670"/>
    <cellStyle name="RowTitles-Detail 2 4 9 4" xfId="19671"/>
    <cellStyle name="RowTitles-Detail 2 4 9 4 2" xfId="19672"/>
    <cellStyle name="RowTitles-Detail 2 4 9 4_Tertiary Salaries Survey" xfId="19673"/>
    <cellStyle name="RowTitles-Detail 2 4 9 5" xfId="19674"/>
    <cellStyle name="RowTitles-Detail 2 4 9_Tertiary Salaries Survey" xfId="19675"/>
    <cellStyle name="RowTitles-Detail 2 4_STUD aligned by INSTIT" xfId="19676"/>
    <cellStyle name="RowTitles-Detail 2 5" xfId="19677"/>
    <cellStyle name="RowTitles-Detail 2 5 2" xfId="19678"/>
    <cellStyle name="RowTitles-Detail 2 5 2 2" xfId="19679"/>
    <cellStyle name="RowTitles-Detail 2 5 2 2 2" xfId="19680"/>
    <cellStyle name="RowTitles-Detail 2 5 2 2 2 2" xfId="19681"/>
    <cellStyle name="RowTitles-Detail 2 5 2 2 2_Tertiary Salaries Survey" xfId="19682"/>
    <cellStyle name="RowTitles-Detail 2 5 2 2 3" xfId="19683"/>
    <cellStyle name="RowTitles-Detail 2 5 2 2_Tertiary Salaries Survey" xfId="19684"/>
    <cellStyle name="RowTitles-Detail 2 5 2 3" xfId="19685"/>
    <cellStyle name="RowTitles-Detail 2 5 2 3 2" xfId="19686"/>
    <cellStyle name="RowTitles-Detail 2 5 2 3 2 2" xfId="19687"/>
    <cellStyle name="RowTitles-Detail 2 5 2 3 2_Tertiary Salaries Survey" xfId="19688"/>
    <cellStyle name="RowTitles-Detail 2 5 2 3 3" xfId="19689"/>
    <cellStyle name="RowTitles-Detail 2 5 2 3_Tertiary Salaries Survey" xfId="19690"/>
    <cellStyle name="RowTitles-Detail 2 5 2 4" xfId="19691"/>
    <cellStyle name="RowTitles-Detail 2 5 2 5" xfId="19692"/>
    <cellStyle name="RowTitles-Detail 2 5 2_Tertiary Salaries Survey" xfId="19693"/>
    <cellStyle name="RowTitles-Detail 2 5 3" xfId="19694"/>
    <cellStyle name="RowTitles-Detail 2 5 3 2" xfId="19695"/>
    <cellStyle name="RowTitles-Detail 2 5 3 2 2" xfId="19696"/>
    <cellStyle name="RowTitles-Detail 2 5 3 2 2 2" xfId="19697"/>
    <cellStyle name="RowTitles-Detail 2 5 3 2 2_Tertiary Salaries Survey" xfId="19698"/>
    <cellStyle name="RowTitles-Detail 2 5 3 2 3" xfId="19699"/>
    <cellStyle name="RowTitles-Detail 2 5 3 2_Tertiary Salaries Survey" xfId="19700"/>
    <cellStyle name="RowTitles-Detail 2 5 3 3" xfId="19701"/>
    <cellStyle name="RowTitles-Detail 2 5 3 3 2" xfId="19702"/>
    <cellStyle name="RowTitles-Detail 2 5 3 3 2 2" xfId="19703"/>
    <cellStyle name="RowTitles-Detail 2 5 3 3 2_Tertiary Salaries Survey" xfId="19704"/>
    <cellStyle name="RowTitles-Detail 2 5 3 3 3" xfId="19705"/>
    <cellStyle name="RowTitles-Detail 2 5 3 3_Tertiary Salaries Survey" xfId="19706"/>
    <cellStyle name="RowTitles-Detail 2 5 3 4" xfId="19707"/>
    <cellStyle name="RowTitles-Detail 2 5 3 5" xfId="19708"/>
    <cellStyle name="RowTitles-Detail 2 5 3 5 2" xfId="19709"/>
    <cellStyle name="RowTitles-Detail 2 5 3 5_Tertiary Salaries Survey" xfId="19710"/>
    <cellStyle name="RowTitles-Detail 2 5 3 6" xfId="19711"/>
    <cellStyle name="RowTitles-Detail 2 5 3_Tertiary Salaries Survey" xfId="19712"/>
    <cellStyle name="RowTitles-Detail 2 5 4" xfId="19713"/>
    <cellStyle name="RowTitles-Detail 2 5 4 2" xfId="19714"/>
    <cellStyle name="RowTitles-Detail 2 5 4 2 2" xfId="19715"/>
    <cellStyle name="RowTitles-Detail 2 5 4 2 2 2" xfId="19716"/>
    <cellStyle name="RowTitles-Detail 2 5 4 2 2_Tertiary Salaries Survey" xfId="19717"/>
    <cellStyle name="RowTitles-Detail 2 5 4 2 3" xfId="19718"/>
    <cellStyle name="RowTitles-Detail 2 5 4 2_Tertiary Salaries Survey" xfId="19719"/>
    <cellStyle name="RowTitles-Detail 2 5 4 3" xfId="19720"/>
    <cellStyle name="RowTitles-Detail 2 5 4 3 2" xfId="19721"/>
    <cellStyle name="RowTitles-Detail 2 5 4 3 2 2" xfId="19722"/>
    <cellStyle name="RowTitles-Detail 2 5 4 3 2_Tertiary Salaries Survey" xfId="19723"/>
    <cellStyle name="RowTitles-Detail 2 5 4 3 3" xfId="19724"/>
    <cellStyle name="RowTitles-Detail 2 5 4 3_Tertiary Salaries Survey" xfId="19725"/>
    <cellStyle name="RowTitles-Detail 2 5 4 4" xfId="19726"/>
    <cellStyle name="RowTitles-Detail 2 5 4 4 2" xfId="19727"/>
    <cellStyle name="RowTitles-Detail 2 5 4 4_Tertiary Salaries Survey" xfId="19728"/>
    <cellStyle name="RowTitles-Detail 2 5 4 5" xfId="19729"/>
    <cellStyle name="RowTitles-Detail 2 5 4_Tertiary Salaries Survey" xfId="19730"/>
    <cellStyle name="RowTitles-Detail 2 5 5" xfId="19731"/>
    <cellStyle name="RowTitles-Detail 2 5 5 2" xfId="19732"/>
    <cellStyle name="RowTitles-Detail 2 5 5 2 2" xfId="19733"/>
    <cellStyle name="RowTitles-Detail 2 5 5 2 2 2" xfId="19734"/>
    <cellStyle name="RowTitles-Detail 2 5 5 2 2_Tertiary Salaries Survey" xfId="19735"/>
    <cellStyle name="RowTitles-Detail 2 5 5 2 3" xfId="19736"/>
    <cellStyle name="RowTitles-Detail 2 5 5 2_Tertiary Salaries Survey" xfId="19737"/>
    <cellStyle name="RowTitles-Detail 2 5 5 3" xfId="19738"/>
    <cellStyle name="RowTitles-Detail 2 5 5 3 2" xfId="19739"/>
    <cellStyle name="RowTitles-Detail 2 5 5 3 2 2" xfId="19740"/>
    <cellStyle name="RowTitles-Detail 2 5 5 3 2_Tertiary Salaries Survey" xfId="19741"/>
    <cellStyle name="RowTitles-Detail 2 5 5 3 3" xfId="19742"/>
    <cellStyle name="RowTitles-Detail 2 5 5 3_Tertiary Salaries Survey" xfId="19743"/>
    <cellStyle name="RowTitles-Detail 2 5 5 4" xfId="19744"/>
    <cellStyle name="RowTitles-Detail 2 5 5 4 2" xfId="19745"/>
    <cellStyle name="RowTitles-Detail 2 5 5 4_Tertiary Salaries Survey" xfId="19746"/>
    <cellStyle name="RowTitles-Detail 2 5 5 5" xfId="19747"/>
    <cellStyle name="RowTitles-Detail 2 5 5_Tertiary Salaries Survey" xfId="19748"/>
    <cellStyle name="RowTitles-Detail 2 5 6" xfId="19749"/>
    <cellStyle name="RowTitles-Detail 2 5 6 2" xfId="19750"/>
    <cellStyle name="RowTitles-Detail 2 5 6 2 2" xfId="19751"/>
    <cellStyle name="RowTitles-Detail 2 5 6 2 2 2" xfId="19752"/>
    <cellStyle name="RowTitles-Detail 2 5 6 2 2_Tertiary Salaries Survey" xfId="19753"/>
    <cellStyle name="RowTitles-Detail 2 5 6 2 3" xfId="19754"/>
    <cellStyle name="RowTitles-Detail 2 5 6 2_Tertiary Salaries Survey" xfId="19755"/>
    <cellStyle name="RowTitles-Detail 2 5 6 3" xfId="19756"/>
    <cellStyle name="RowTitles-Detail 2 5 6 3 2" xfId="19757"/>
    <cellStyle name="RowTitles-Detail 2 5 6 3 2 2" xfId="19758"/>
    <cellStyle name="RowTitles-Detail 2 5 6 3 2_Tertiary Salaries Survey" xfId="19759"/>
    <cellStyle name="RowTitles-Detail 2 5 6 3 3" xfId="19760"/>
    <cellStyle name="RowTitles-Detail 2 5 6 3_Tertiary Salaries Survey" xfId="19761"/>
    <cellStyle name="RowTitles-Detail 2 5 6 4" xfId="19762"/>
    <cellStyle name="RowTitles-Detail 2 5 6 4 2" xfId="19763"/>
    <cellStyle name="RowTitles-Detail 2 5 6 4_Tertiary Salaries Survey" xfId="19764"/>
    <cellStyle name="RowTitles-Detail 2 5 6 5" xfId="19765"/>
    <cellStyle name="RowTitles-Detail 2 5 6_Tertiary Salaries Survey" xfId="19766"/>
    <cellStyle name="RowTitles-Detail 2 5 7" xfId="19767"/>
    <cellStyle name="RowTitles-Detail 2 5 7 2" xfId="19768"/>
    <cellStyle name="RowTitles-Detail 2 5 7 2 2" xfId="19769"/>
    <cellStyle name="RowTitles-Detail 2 5 7 2_Tertiary Salaries Survey" xfId="19770"/>
    <cellStyle name="RowTitles-Detail 2 5 7 3" xfId="19771"/>
    <cellStyle name="RowTitles-Detail 2 5 7_Tertiary Salaries Survey" xfId="19772"/>
    <cellStyle name="RowTitles-Detail 2 5 8" xfId="19773"/>
    <cellStyle name="RowTitles-Detail 2 5 9" xfId="19774"/>
    <cellStyle name="RowTitles-Detail 2 5_STUD aligned by INSTIT" xfId="19775"/>
    <cellStyle name="RowTitles-Detail 2 6" xfId="19776"/>
    <cellStyle name="RowTitles-Detail 2 6 2" xfId="19777"/>
    <cellStyle name="RowTitles-Detail 2 6 2 2" xfId="19778"/>
    <cellStyle name="RowTitles-Detail 2 6 2 2 2" xfId="19779"/>
    <cellStyle name="RowTitles-Detail 2 6 2 2 2 2" xfId="19780"/>
    <cellStyle name="RowTitles-Detail 2 6 2 2 2_Tertiary Salaries Survey" xfId="19781"/>
    <cellStyle name="RowTitles-Detail 2 6 2 2 3" xfId="19782"/>
    <cellStyle name="RowTitles-Detail 2 6 2 2_Tertiary Salaries Survey" xfId="19783"/>
    <cellStyle name="RowTitles-Detail 2 6 2 3" xfId="19784"/>
    <cellStyle name="RowTitles-Detail 2 6 2 3 2" xfId="19785"/>
    <cellStyle name="RowTitles-Detail 2 6 2 3 2 2" xfId="19786"/>
    <cellStyle name="RowTitles-Detail 2 6 2 3 2_Tertiary Salaries Survey" xfId="19787"/>
    <cellStyle name="RowTitles-Detail 2 6 2 3 3" xfId="19788"/>
    <cellStyle name="RowTitles-Detail 2 6 2 3_Tertiary Salaries Survey" xfId="19789"/>
    <cellStyle name="RowTitles-Detail 2 6 2 4" xfId="19790"/>
    <cellStyle name="RowTitles-Detail 2 6 2 5" xfId="19791"/>
    <cellStyle name="RowTitles-Detail 2 6 2 5 2" xfId="19792"/>
    <cellStyle name="RowTitles-Detail 2 6 2 5_Tertiary Salaries Survey" xfId="19793"/>
    <cellStyle name="RowTitles-Detail 2 6 2 6" xfId="19794"/>
    <cellStyle name="RowTitles-Detail 2 6 2_Tertiary Salaries Survey" xfId="19795"/>
    <cellStyle name="RowTitles-Detail 2 6 3" xfId="19796"/>
    <cellStyle name="RowTitles-Detail 2 6 3 2" xfId="19797"/>
    <cellStyle name="RowTitles-Detail 2 6 3 2 2" xfId="19798"/>
    <cellStyle name="RowTitles-Detail 2 6 3 2 2 2" xfId="19799"/>
    <cellStyle name="RowTitles-Detail 2 6 3 2 2_Tertiary Salaries Survey" xfId="19800"/>
    <cellStyle name="RowTitles-Detail 2 6 3 2 3" xfId="19801"/>
    <cellStyle name="RowTitles-Detail 2 6 3 2_Tertiary Salaries Survey" xfId="19802"/>
    <cellStyle name="RowTitles-Detail 2 6 3 3" xfId="19803"/>
    <cellStyle name="RowTitles-Detail 2 6 3 3 2" xfId="19804"/>
    <cellStyle name="RowTitles-Detail 2 6 3 3 2 2" xfId="19805"/>
    <cellStyle name="RowTitles-Detail 2 6 3 3 2_Tertiary Salaries Survey" xfId="19806"/>
    <cellStyle name="RowTitles-Detail 2 6 3 3 3" xfId="19807"/>
    <cellStyle name="RowTitles-Detail 2 6 3 3_Tertiary Salaries Survey" xfId="19808"/>
    <cellStyle name="RowTitles-Detail 2 6 3 4" xfId="19809"/>
    <cellStyle name="RowTitles-Detail 2 6 3 5" xfId="19810"/>
    <cellStyle name="RowTitles-Detail 2 6 3_Tertiary Salaries Survey" xfId="19811"/>
    <cellStyle name="RowTitles-Detail 2 6 4" xfId="19812"/>
    <cellStyle name="RowTitles-Detail 2 6 4 2" xfId="19813"/>
    <cellStyle name="RowTitles-Detail 2 6 4 2 2" xfId="19814"/>
    <cellStyle name="RowTitles-Detail 2 6 4 2 2 2" xfId="19815"/>
    <cellStyle name="RowTitles-Detail 2 6 4 2 2_Tertiary Salaries Survey" xfId="19816"/>
    <cellStyle name="RowTitles-Detail 2 6 4 2 3" xfId="19817"/>
    <cellStyle name="RowTitles-Detail 2 6 4 2_Tertiary Salaries Survey" xfId="19818"/>
    <cellStyle name="RowTitles-Detail 2 6 4 3" xfId="19819"/>
    <cellStyle name="RowTitles-Detail 2 6 4 3 2" xfId="19820"/>
    <cellStyle name="RowTitles-Detail 2 6 4 3 2 2" xfId="19821"/>
    <cellStyle name="RowTitles-Detail 2 6 4 3 2_Tertiary Salaries Survey" xfId="19822"/>
    <cellStyle name="RowTitles-Detail 2 6 4 3 3" xfId="19823"/>
    <cellStyle name="RowTitles-Detail 2 6 4 3_Tertiary Salaries Survey" xfId="19824"/>
    <cellStyle name="RowTitles-Detail 2 6 4 4" xfId="19825"/>
    <cellStyle name="RowTitles-Detail 2 6 4 4 2" xfId="19826"/>
    <cellStyle name="RowTitles-Detail 2 6 4 4_Tertiary Salaries Survey" xfId="19827"/>
    <cellStyle name="RowTitles-Detail 2 6 4 5" xfId="19828"/>
    <cellStyle name="RowTitles-Detail 2 6 4_Tertiary Salaries Survey" xfId="19829"/>
    <cellStyle name="RowTitles-Detail 2 6 5" xfId="19830"/>
    <cellStyle name="RowTitles-Detail 2 6 5 2" xfId="19831"/>
    <cellStyle name="RowTitles-Detail 2 6 5 2 2" xfId="19832"/>
    <cellStyle name="RowTitles-Detail 2 6 5 2 2 2" xfId="19833"/>
    <cellStyle name="RowTitles-Detail 2 6 5 2 2_Tertiary Salaries Survey" xfId="19834"/>
    <cellStyle name="RowTitles-Detail 2 6 5 2 3" xfId="19835"/>
    <cellStyle name="RowTitles-Detail 2 6 5 2_Tertiary Salaries Survey" xfId="19836"/>
    <cellStyle name="RowTitles-Detail 2 6 5 3" xfId="19837"/>
    <cellStyle name="RowTitles-Detail 2 6 5 3 2" xfId="19838"/>
    <cellStyle name="RowTitles-Detail 2 6 5 3 2 2" xfId="19839"/>
    <cellStyle name="RowTitles-Detail 2 6 5 3 2_Tertiary Salaries Survey" xfId="19840"/>
    <cellStyle name="RowTitles-Detail 2 6 5 3 3" xfId="19841"/>
    <cellStyle name="RowTitles-Detail 2 6 5 3_Tertiary Salaries Survey" xfId="19842"/>
    <cellStyle name="RowTitles-Detail 2 6 5 4" xfId="19843"/>
    <cellStyle name="RowTitles-Detail 2 6 5 4 2" xfId="19844"/>
    <cellStyle name="RowTitles-Detail 2 6 5 4_Tertiary Salaries Survey" xfId="19845"/>
    <cellStyle name="RowTitles-Detail 2 6 5 5" xfId="19846"/>
    <cellStyle name="RowTitles-Detail 2 6 5_Tertiary Salaries Survey" xfId="19847"/>
    <cellStyle name="RowTitles-Detail 2 6 6" xfId="19848"/>
    <cellStyle name="RowTitles-Detail 2 6 6 2" xfId="19849"/>
    <cellStyle name="RowTitles-Detail 2 6 6 2 2" xfId="19850"/>
    <cellStyle name="RowTitles-Detail 2 6 6 2 2 2" xfId="19851"/>
    <cellStyle name="RowTitles-Detail 2 6 6 2 2_Tertiary Salaries Survey" xfId="19852"/>
    <cellStyle name="RowTitles-Detail 2 6 6 2 3" xfId="19853"/>
    <cellStyle name="RowTitles-Detail 2 6 6 2_Tertiary Salaries Survey" xfId="19854"/>
    <cellStyle name="RowTitles-Detail 2 6 6 3" xfId="19855"/>
    <cellStyle name="RowTitles-Detail 2 6 6 3 2" xfId="19856"/>
    <cellStyle name="RowTitles-Detail 2 6 6 3 2 2" xfId="19857"/>
    <cellStyle name="RowTitles-Detail 2 6 6 3 2_Tertiary Salaries Survey" xfId="19858"/>
    <cellStyle name="RowTitles-Detail 2 6 6 3 3" xfId="19859"/>
    <cellStyle name="RowTitles-Detail 2 6 6 3_Tertiary Salaries Survey" xfId="19860"/>
    <cellStyle name="RowTitles-Detail 2 6 6 4" xfId="19861"/>
    <cellStyle name="RowTitles-Detail 2 6 6 4 2" xfId="19862"/>
    <cellStyle name="RowTitles-Detail 2 6 6 4_Tertiary Salaries Survey" xfId="19863"/>
    <cellStyle name="RowTitles-Detail 2 6 6 5" xfId="19864"/>
    <cellStyle name="RowTitles-Detail 2 6 6_Tertiary Salaries Survey" xfId="19865"/>
    <cellStyle name="RowTitles-Detail 2 6 7" xfId="19866"/>
    <cellStyle name="RowTitles-Detail 2 6 7 2" xfId="19867"/>
    <cellStyle name="RowTitles-Detail 2 6 7 2 2" xfId="19868"/>
    <cellStyle name="RowTitles-Detail 2 6 7 2_Tertiary Salaries Survey" xfId="19869"/>
    <cellStyle name="RowTitles-Detail 2 6 7 3" xfId="19870"/>
    <cellStyle name="RowTitles-Detail 2 6 7_Tertiary Salaries Survey" xfId="19871"/>
    <cellStyle name="RowTitles-Detail 2 6 8" xfId="19872"/>
    <cellStyle name="RowTitles-Detail 2 6 8 2" xfId="19873"/>
    <cellStyle name="RowTitles-Detail 2 6 8 2 2" xfId="19874"/>
    <cellStyle name="RowTitles-Detail 2 6 8 2_Tertiary Salaries Survey" xfId="19875"/>
    <cellStyle name="RowTitles-Detail 2 6 8 3" xfId="19876"/>
    <cellStyle name="RowTitles-Detail 2 6 8_Tertiary Salaries Survey" xfId="19877"/>
    <cellStyle name="RowTitles-Detail 2 6 9" xfId="19878"/>
    <cellStyle name="RowTitles-Detail 2 6_STUD aligned by INSTIT" xfId="19879"/>
    <cellStyle name="RowTitles-Detail 2 7" xfId="19880"/>
    <cellStyle name="RowTitles-Detail 2 7 2" xfId="19881"/>
    <cellStyle name="RowTitles-Detail 2 7 2 2" xfId="19882"/>
    <cellStyle name="RowTitles-Detail 2 7 2 2 2" xfId="19883"/>
    <cellStyle name="RowTitles-Detail 2 7 2 2 2 2" xfId="19884"/>
    <cellStyle name="RowTitles-Detail 2 7 2 2 2_Tertiary Salaries Survey" xfId="19885"/>
    <cellStyle name="RowTitles-Detail 2 7 2 2 3" xfId="19886"/>
    <cellStyle name="RowTitles-Detail 2 7 2 2_Tertiary Salaries Survey" xfId="19887"/>
    <cellStyle name="RowTitles-Detail 2 7 2 3" xfId="19888"/>
    <cellStyle name="RowTitles-Detail 2 7 2 3 2" xfId="19889"/>
    <cellStyle name="RowTitles-Detail 2 7 2 3 2 2" xfId="19890"/>
    <cellStyle name="RowTitles-Detail 2 7 2 3 2_Tertiary Salaries Survey" xfId="19891"/>
    <cellStyle name="RowTitles-Detail 2 7 2 3 3" xfId="19892"/>
    <cellStyle name="RowTitles-Detail 2 7 2 3_Tertiary Salaries Survey" xfId="19893"/>
    <cellStyle name="RowTitles-Detail 2 7 2 4" xfId="19894"/>
    <cellStyle name="RowTitles-Detail 2 7 2 5" xfId="19895"/>
    <cellStyle name="RowTitles-Detail 2 7 2_Tertiary Salaries Survey" xfId="19896"/>
    <cellStyle name="RowTitles-Detail 2 7 3" xfId="19897"/>
    <cellStyle name="RowTitles-Detail 2 7 3 2" xfId="19898"/>
    <cellStyle name="RowTitles-Detail 2 7 3 2 2" xfId="19899"/>
    <cellStyle name="RowTitles-Detail 2 7 3 2 2 2" xfId="19900"/>
    <cellStyle name="RowTitles-Detail 2 7 3 2 2_Tertiary Salaries Survey" xfId="19901"/>
    <cellStyle name="RowTitles-Detail 2 7 3 2 3" xfId="19902"/>
    <cellStyle name="RowTitles-Detail 2 7 3 2_Tertiary Salaries Survey" xfId="19903"/>
    <cellStyle name="RowTitles-Detail 2 7 3 3" xfId="19904"/>
    <cellStyle name="RowTitles-Detail 2 7 3 3 2" xfId="19905"/>
    <cellStyle name="RowTitles-Detail 2 7 3 3 2 2" xfId="19906"/>
    <cellStyle name="RowTitles-Detail 2 7 3 3 2_Tertiary Salaries Survey" xfId="19907"/>
    <cellStyle name="RowTitles-Detail 2 7 3 3 3" xfId="19908"/>
    <cellStyle name="RowTitles-Detail 2 7 3 3_Tertiary Salaries Survey" xfId="19909"/>
    <cellStyle name="RowTitles-Detail 2 7 3 4" xfId="19910"/>
    <cellStyle name="RowTitles-Detail 2 7 3 4 2" xfId="19911"/>
    <cellStyle name="RowTitles-Detail 2 7 3 4_Tertiary Salaries Survey" xfId="19912"/>
    <cellStyle name="RowTitles-Detail 2 7 3 5" xfId="19913"/>
    <cellStyle name="RowTitles-Detail 2 7 3_Tertiary Salaries Survey" xfId="19914"/>
    <cellStyle name="RowTitles-Detail 2 7 4" xfId="19915"/>
    <cellStyle name="RowTitles-Detail 2 7 4 2" xfId="19916"/>
    <cellStyle name="RowTitles-Detail 2 7 4 2 2" xfId="19917"/>
    <cellStyle name="RowTitles-Detail 2 7 4 2 2 2" xfId="19918"/>
    <cellStyle name="RowTitles-Detail 2 7 4 2 2_Tertiary Salaries Survey" xfId="19919"/>
    <cellStyle name="RowTitles-Detail 2 7 4 2 3" xfId="19920"/>
    <cellStyle name="RowTitles-Detail 2 7 4 2_Tertiary Salaries Survey" xfId="19921"/>
    <cellStyle name="RowTitles-Detail 2 7 4 3" xfId="19922"/>
    <cellStyle name="RowTitles-Detail 2 7 4 3 2" xfId="19923"/>
    <cellStyle name="RowTitles-Detail 2 7 4 3 2 2" xfId="19924"/>
    <cellStyle name="RowTitles-Detail 2 7 4 3 2_Tertiary Salaries Survey" xfId="19925"/>
    <cellStyle name="RowTitles-Detail 2 7 4 3 3" xfId="19926"/>
    <cellStyle name="RowTitles-Detail 2 7 4 3_Tertiary Salaries Survey" xfId="19927"/>
    <cellStyle name="RowTitles-Detail 2 7 4 4" xfId="19928"/>
    <cellStyle name="RowTitles-Detail 2 7 4 4 2" xfId="19929"/>
    <cellStyle name="RowTitles-Detail 2 7 4 4_Tertiary Salaries Survey" xfId="19930"/>
    <cellStyle name="RowTitles-Detail 2 7 4 5" xfId="19931"/>
    <cellStyle name="RowTitles-Detail 2 7 4_Tertiary Salaries Survey" xfId="19932"/>
    <cellStyle name="RowTitles-Detail 2 7 5" xfId="19933"/>
    <cellStyle name="RowTitles-Detail 2 7 5 2" xfId="19934"/>
    <cellStyle name="RowTitles-Detail 2 7 5 2 2" xfId="19935"/>
    <cellStyle name="RowTitles-Detail 2 7 5 2 2 2" xfId="19936"/>
    <cellStyle name="RowTitles-Detail 2 7 5 2 2_Tertiary Salaries Survey" xfId="19937"/>
    <cellStyle name="RowTitles-Detail 2 7 5 2 3" xfId="19938"/>
    <cellStyle name="RowTitles-Detail 2 7 5 2_Tertiary Salaries Survey" xfId="19939"/>
    <cellStyle name="RowTitles-Detail 2 7 5 3" xfId="19940"/>
    <cellStyle name="RowTitles-Detail 2 7 5 3 2" xfId="19941"/>
    <cellStyle name="RowTitles-Detail 2 7 5 3 2 2" xfId="19942"/>
    <cellStyle name="RowTitles-Detail 2 7 5 3 2_Tertiary Salaries Survey" xfId="19943"/>
    <cellStyle name="RowTitles-Detail 2 7 5 3 3" xfId="19944"/>
    <cellStyle name="RowTitles-Detail 2 7 5 3_Tertiary Salaries Survey" xfId="19945"/>
    <cellStyle name="RowTitles-Detail 2 7 5 4" xfId="19946"/>
    <cellStyle name="RowTitles-Detail 2 7 5 4 2" xfId="19947"/>
    <cellStyle name="RowTitles-Detail 2 7 5 4_Tertiary Salaries Survey" xfId="19948"/>
    <cellStyle name="RowTitles-Detail 2 7 5 5" xfId="19949"/>
    <cellStyle name="RowTitles-Detail 2 7 5_Tertiary Salaries Survey" xfId="19950"/>
    <cellStyle name="RowTitles-Detail 2 7 6" xfId="19951"/>
    <cellStyle name="RowTitles-Detail 2 7 6 2" xfId="19952"/>
    <cellStyle name="RowTitles-Detail 2 7 6 2 2" xfId="19953"/>
    <cellStyle name="RowTitles-Detail 2 7 6 2 2 2" xfId="19954"/>
    <cellStyle name="RowTitles-Detail 2 7 6 2 2_Tertiary Salaries Survey" xfId="19955"/>
    <cellStyle name="RowTitles-Detail 2 7 6 2 3" xfId="19956"/>
    <cellStyle name="RowTitles-Detail 2 7 6 2_Tertiary Salaries Survey" xfId="19957"/>
    <cellStyle name="RowTitles-Detail 2 7 6 3" xfId="19958"/>
    <cellStyle name="RowTitles-Detail 2 7 6 3 2" xfId="19959"/>
    <cellStyle name="RowTitles-Detail 2 7 6 3 2 2" xfId="19960"/>
    <cellStyle name="RowTitles-Detail 2 7 6 3 2_Tertiary Salaries Survey" xfId="19961"/>
    <cellStyle name="RowTitles-Detail 2 7 6 3 3" xfId="19962"/>
    <cellStyle name="RowTitles-Detail 2 7 6 3_Tertiary Salaries Survey" xfId="19963"/>
    <cellStyle name="RowTitles-Detail 2 7 6 4" xfId="19964"/>
    <cellStyle name="RowTitles-Detail 2 7 6 4 2" xfId="19965"/>
    <cellStyle name="RowTitles-Detail 2 7 6 4_Tertiary Salaries Survey" xfId="19966"/>
    <cellStyle name="RowTitles-Detail 2 7 6 5" xfId="19967"/>
    <cellStyle name="RowTitles-Detail 2 7 6_Tertiary Salaries Survey" xfId="19968"/>
    <cellStyle name="RowTitles-Detail 2 7 7" xfId="19969"/>
    <cellStyle name="RowTitles-Detail 2 7 7 2" xfId="19970"/>
    <cellStyle name="RowTitles-Detail 2 7 7 2 2" xfId="19971"/>
    <cellStyle name="RowTitles-Detail 2 7 7 2_Tertiary Salaries Survey" xfId="19972"/>
    <cellStyle name="RowTitles-Detail 2 7 7 3" xfId="19973"/>
    <cellStyle name="RowTitles-Detail 2 7 7_Tertiary Salaries Survey" xfId="19974"/>
    <cellStyle name="RowTitles-Detail 2 7 8" xfId="19975"/>
    <cellStyle name="RowTitles-Detail 2 7 8 2" xfId="19976"/>
    <cellStyle name="RowTitles-Detail 2 7 8 2 2" xfId="19977"/>
    <cellStyle name="RowTitles-Detail 2 7 8 2_Tertiary Salaries Survey" xfId="19978"/>
    <cellStyle name="RowTitles-Detail 2 7 8 3" xfId="19979"/>
    <cellStyle name="RowTitles-Detail 2 7 8_Tertiary Salaries Survey" xfId="19980"/>
    <cellStyle name="RowTitles-Detail 2 7 9" xfId="19981"/>
    <cellStyle name="RowTitles-Detail 2 7_STUD aligned by INSTIT" xfId="19982"/>
    <cellStyle name="RowTitles-Detail 2 8" xfId="19983"/>
    <cellStyle name="RowTitles-Detail 2 8 2" xfId="19984"/>
    <cellStyle name="RowTitles-Detail 2 8 2 2" xfId="19985"/>
    <cellStyle name="RowTitles-Detail 2 8 2 2 2" xfId="19986"/>
    <cellStyle name="RowTitles-Detail 2 8 2 2_Tertiary Salaries Survey" xfId="19987"/>
    <cellStyle name="RowTitles-Detail 2 8 2 3" xfId="19988"/>
    <cellStyle name="RowTitles-Detail 2 8 2_Tertiary Salaries Survey" xfId="19989"/>
    <cellStyle name="RowTitles-Detail 2 8 3" xfId="19990"/>
    <cellStyle name="RowTitles-Detail 2 8 3 2" xfId="19991"/>
    <cellStyle name="RowTitles-Detail 2 8 3 2 2" xfId="19992"/>
    <cellStyle name="RowTitles-Detail 2 8 3 2_Tertiary Salaries Survey" xfId="19993"/>
    <cellStyle name="RowTitles-Detail 2 8 3 3" xfId="19994"/>
    <cellStyle name="RowTitles-Detail 2 8 3_Tertiary Salaries Survey" xfId="19995"/>
    <cellStyle name="RowTitles-Detail 2 8 4" xfId="19996"/>
    <cellStyle name="RowTitles-Detail 2 8 5" xfId="19997"/>
    <cellStyle name="RowTitles-Detail 2 8 5 2" xfId="19998"/>
    <cellStyle name="RowTitles-Detail 2 8 5_Tertiary Salaries Survey" xfId="19999"/>
    <cellStyle name="RowTitles-Detail 2 8 6" xfId="20000"/>
    <cellStyle name="RowTitles-Detail 2 8_Tertiary Salaries Survey" xfId="20001"/>
    <cellStyle name="RowTitles-Detail 2 9" xfId="20002"/>
    <cellStyle name="RowTitles-Detail 2 9 2" xfId="20003"/>
    <cellStyle name="RowTitles-Detail 2 9 2 2" xfId="20004"/>
    <cellStyle name="RowTitles-Detail 2 9 2 2 2" xfId="20005"/>
    <cellStyle name="RowTitles-Detail 2 9 2 2_Tertiary Salaries Survey" xfId="20006"/>
    <cellStyle name="RowTitles-Detail 2 9 2 3" xfId="20007"/>
    <cellStyle name="RowTitles-Detail 2 9 2_Tertiary Salaries Survey" xfId="20008"/>
    <cellStyle name="RowTitles-Detail 2 9 3" xfId="20009"/>
    <cellStyle name="RowTitles-Detail 2 9 3 2" xfId="20010"/>
    <cellStyle name="RowTitles-Detail 2 9 3 2 2" xfId="20011"/>
    <cellStyle name="RowTitles-Detail 2 9 3 2_Tertiary Salaries Survey" xfId="20012"/>
    <cellStyle name="RowTitles-Detail 2 9 3 3" xfId="20013"/>
    <cellStyle name="RowTitles-Detail 2 9 3_Tertiary Salaries Survey" xfId="20014"/>
    <cellStyle name="RowTitles-Detail 2 9 4" xfId="20015"/>
    <cellStyle name="RowTitles-Detail 2 9 5" xfId="20016"/>
    <cellStyle name="RowTitles-Detail 2 9_Tertiary Salaries Survey" xfId="20017"/>
    <cellStyle name="RowTitles-Detail 2_STUD aligned by INSTIT" xfId="20018"/>
    <cellStyle name="RowTitles-Detail 20" xfId="29771"/>
    <cellStyle name="RowTitles-Detail 20 2" xfId="29772"/>
    <cellStyle name="RowTitles-Detail 21" xfId="29773"/>
    <cellStyle name="RowTitles-Detail 21 2" xfId="29774"/>
    <cellStyle name="RowTitles-Detail 22" xfId="29775"/>
    <cellStyle name="RowTitles-Detail 22 2" xfId="29776"/>
    <cellStyle name="RowTitles-Detail 23" xfId="29777"/>
    <cellStyle name="RowTitles-Detail 23 2" xfId="29778"/>
    <cellStyle name="RowTitles-Detail 24" xfId="29779"/>
    <cellStyle name="RowTitles-Detail 25" xfId="29780"/>
    <cellStyle name="RowTitles-Detail 26" xfId="29781"/>
    <cellStyle name="RowTitles-Detail 27" xfId="29782"/>
    <cellStyle name="RowTitles-Detail 28" xfId="29783"/>
    <cellStyle name="RowTitles-Detail 29" xfId="29784"/>
    <cellStyle name="RowTitles-Detail 3" xfId="20019"/>
    <cellStyle name="RowTitles-Detail 3 10" xfId="20020"/>
    <cellStyle name="RowTitles-Detail 3 10 2" xfId="20021"/>
    <cellStyle name="RowTitles-Detail 3 10 2 2" xfId="20022"/>
    <cellStyle name="RowTitles-Detail 3 10 2 2 2" xfId="20023"/>
    <cellStyle name="RowTitles-Detail 3 10 2 2_Tertiary Salaries Survey" xfId="20024"/>
    <cellStyle name="RowTitles-Detail 3 10 2 3" xfId="20025"/>
    <cellStyle name="RowTitles-Detail 3 10 2_Tertiary Salaries Survey" xfId="20026"/>
    <cellStyle name="RowTitles-Detail 3 10 3" xfId="20027"/>
    <cellStyle name="RowTitles-Detail 3 10 3 2" xfId="20028"/>
    <cellStyle name="RowTitles-Detail 3 10 3 2 2" xfId="20029"/>
    <cellStyle name="RowTitles-Detail 3 10 3 2_Tertiary Salaries Survey" xfId="20030"/>
    <cellStyle name="RowTitles-Detail 3 10 3 3" xfId="20031"/>
    <cellStyle name="RowTitles-Detail 3 10 3_Tertiary Salaries Survey" xfId="20032"/>
    <cellStyle name="RowTitles-Detail 3 10 4" xfId="20033"/>
    <cellStyle name="RowTitles-Detail 3 10 4 2" xfId="20034"/>
    <cellStyle name="RowTitles-Detail 3 10 4_Tertiary Salaries Survey" xfId="20035"/>
    <cellStyle name="RowTitles-Detail 3 10 5" xfId="20036"/>
    <cellStyle name="RowTitles-Detail 3 10_Tertiary Salaries Survey" xfId="20037"/>
    <cellStyle name="RowTitles-Detail 3 11" xfId="20038"/>
    <cellStyle name="RowTitles-Detail 3 11 2" xfId="20039"/>
    <cellStyle name="RowTitles-Detail 3 11 2 2" xfId="20040"/>
    <cellStyle name="RowTitles-Detail 3 11 2 2 2" xfId="20041"/>
    <cellStyle name="RowTitles-Detail 3 11 2 2_Tertiary Salaries Survey" xfId="20042"/>
    <cellStyle name="RowTitles-Detail 3 11 2 3" xfId="20043"/>
    <cellStyle name="RowTitles-Detail 3 11 2_Tertiary Salaries Survey" xfId="20044"/>
    <cellStyle name="RowTitles-Detail 3 11 3" xfId="20045"/>
    <cellStyle name="RowTitles-Detail 3 11 3 2" xfId="20046"/>
    <cellStyle name="RowTitles-Detail 3 11 3 2 2" xfId="20047"/>
    <cellStyle name="RowTitles-Detail 3 11 3 2_Tertiary Salaries Survey" xfId="20048"/>
    <cellStyle name="RowTitles-Detail 3 11 3 3" xfId="20049"/>
    <cellStyle name="RowTitles-Detail 3 11 3_Tertiary Salaries Survey" xfId="20050"/>
    <cellStyle name="RowTitles-Detail 3 11 4" xfId="20051"/>
    <cellStyle name="RowTitles-Detail 3 11 4 2" xfId="20052"/>
    <cellStyle name="RowTitles-Detail 3 11 4_Tertiary Salaries Survey" xfId="20053"/>
    <cellStyle name="RowTitles-Detail 3 11 5" xfId="20054"/>
    <cellStyle name="RowTitles-Detail 3 11_Tertiary Salaries Survey" xfId="20055"/>
    <cellStyle name="RowTitles-Detail 3 12" xfId="20056"/>
    <cellStyle name="RowTitles-Detail 3 12 2" xfId="20057"/>
    <cellStyle name="RowTitles-Detail 3 12 2 2" xfId="20058"/>
    <cellStyle name="RowTitles-Detail 3 12 2_Tertiary Salaries Survey" xfId="20059"/>
    <cellStyle name="RowTitles-Detail 3 12 3" xfId="20060"/>
    <cellStyle name="RowTitles-Detail 3 12_Tertiary Salaries Survey" xfId="20061"/>
    <cellStyle name="RowTitles-Detail 3 13" xfId="20062"/>
    <cellStyle name="RowTitles-Detail 3 14" xfId="20063"/>
    <cellStyle name="RowTitles-Detail 3 15" xfId="20064"/>
    <cellStyle name="RowTitles-Detail 3 2" xfId="20065"/>
    <cellStyle name="RowTitles-Detail 3 2 10" xfId="20066"/>
    <cellStyle name="RowTitles-Detail 3 2 10 2" xfId="20067"/>
    <cellStyle name="RowTitles-Detail 3 2 10 2 2" xfId="20068"/>
    <cellStyle name="RowTitles-Detail 3 2 10 2 2 2" xfId="20069"/>
    <cellStyle name="RowTitles-Detail 3 2 10 2 2_Tertiary Salaries Survey" xfId="20070"/>
    <cellStyle name="RowTitles-Detail 3 2 10 2 3" xfId="20071"/>
    <cellStyle name="RowTitles-Detail 3 2 10 2_Tertiary Salaries Survey" xfId="20072"/>
    <cellStyle name="RowTitles-Detail 3 2 10 3" xfId="20073"/>
    <cellStyle name="RowTitles-Detail 3 2 10 3 2" xfId="20074"/>
    <cellStyle name="RowTitles-Detail 3 2 10 3 2 2" xfId="20075"/>
    <cellStyle name="RowTitles-Detail 3 2 10 3 2_Tertiary Salaries Survey" xfId="20076"/>
    <cellStyle name="RowTitles-Detail 3 2 10 3 3" xfId="20077"/>
    <cellStyle name="RowTitles-Detail 3 2 10 3_Tertiary Salaries Survey" xfId="20078"/>
    <cellStyle name="RowTitles-Detail 3 2 10 4" xfId="20079"/>
    <cellStyle name="RowTitles-Detail 3 2 10 4 2" xfId="20080"/>
    <cellStyle name="RowTitles-Detail 3 2 10 4_Tertiary Salaries Survey" xfId="20081"/>
    <cellStyle name="RowTitles-Detail 3 2 10 5" xfId="20082"/>
    <cellStyle name="RowTitles-Detail 3 2 10_Tertiary Salaries Survey" xfId="20083"/>
    <cellStyle name="RowTitles-Detail 3 2 11" xfId="20084"/>
    <cellStyle name="RowTitles-Detail 3 2 11 2" xfId="20085"/>
    <cellStyle name="RowTitles-Detail 3 2 11 2 2" xfId="20086"/>
    <cellStyle name="RowTitles-Detail 3 2 11 2_Tertiary Salaries Survey" xfId="20087"/>
    <cellStyle name="RowTitles-Detail 3 2 11 3" xfId="20088"/>
    <cellStyle name="RowTitles-Detail 3 2 11_Tertiary Salaries Survey" xfId="20089"/>
    <cellStyle name="RowTitles-Detail 3 2 12" xfId="20090"/>
    <cellStyle name="RowTitles-Detail 3 2 13" xfId="20091"/>
    <cellStyle name="RowTitles-Detail 3 2 2" xfId="20092"/>
    <cellStyle name="RowTitles-Detail 3 2 2 10" xfId="20093"/>
    <cellStyle name="RowTitles-Detail 3 2 2 10 2" xfId="20094"/>
    <cellStyle name="RowTitles-Detail 3 2 2 10 2 2" xfId="20095"/>
    <cellStyle name="RowTitles-Detail 3 2 2 10 2_Tertiary Salaries Survey" xfId="20096"/>
    <cellStyle name="RowTitles-Detail 3 2 2 10 3" xfId="20097"/>
    <cellStyle name="RowTitles-Detail 3 2 2 10_Tertiary Salaries Survey" xfId="20098"/>
    <cellStyle name="RowTitles-Detail 3 2 2 11" xfId="20099"/>
    <cellStyle name="RowTitles-Detail 3 2 2 12" xfId="20100"/>
    <cellStyle name="RowTitles-Detail 3 2 2 2" xfId="20101"/>
    <cellStyle name="RowTitles-Detail 3 2 2 2 2" xfId="20102"/>
    <cellStyle name="RowTitles-Detail 3 2 2 2 2 2" xfId="20103"/>
    <cellStyle name="RowTitles-Detail 3 2 2 2 2 2 2" xfId="20104"/>
    <cellStyle name="RowTitles-Detail 3 2 2 2 2 2 2 2" xfId="20105"/>
    <cellStyle name="RowTitles-Detail 3 2 2 2 2 2 2_Tertiary Salaries Survey" xfId="20106"/>
    <cellStyle name="RowTitles-Detail 3 2 2 2 2 2 3" xfId="20107"/>
    <cellStyle name="RowTitles-Detail 3 2 2 2 2 2_Tertiary Salaries Survey" xfId="20108"/>
    <cellStyle name="RowTitles-Detail 3 2 2 2 2 3" xfId="20109"/>
    <cellStyle name="RowTitles-Detail 3 2 2 2 2 3 2" xfId="20110"/>
    <cellStyle name="RowTitles-Detail 3 2 2 2 2 3 2 2" xfId="20111"/>
    <cellStyle name="RowTitles-Detail 3 2 2 2 2 3 2_Tertiary Salaries Survey" xfId="20112"/>
    <cellStyle name="RowTitles-Detail 3 2 2 2 2 3 3" xfId="20113"/>
    <cellStyle name="RowTitles-Detail 3 2 2 2 2 3_Tertiary Salaries Survey" xfId="20114"/>
    <cellStyle name="RowTitles-Detail 3 2 2 2 2 4" xfId="20115"/>
    <cellStyle name="RowTitles-Detail 3 2 2 2 2 5" xfId="20116"/>
    <cellStyle name="RowTitles-Detail 3 2 2 2 2_Tertiary Salaries Survey" xfId="20117"/>
    <cellStyle name="RowTitles-Detail 3 2 2 2 3" xfId="20118"/>
    <cellStyle name="RowTitles-Detail 3 2 2 2 3 2" xfId="20119"/>
    <cellStyle name="RowTitles-Detail 3 2 2 2 3 2 2" xfId="20120"/>
    <cellStyle name="RowTitles-Detail 3 2 2 2 3 2 2 2" xfId="20121"/>
    <cellStyle name="RowTitles-Detail 3 2 2 2 3 2 2_Tertiary Salaries Survey" xfId="20122"/>
    <cellStyle name="RowTitles-Detail 3 2 2 2 3 2 3" xfId="20123"/>
    <cellStyle name="RowTitles-Detail 3 2 2 2 3 2_Tertiary Salaries Survey" xfId="20124"/>
    <cellStyle name="RowTitles-Detail 3 2 2 2 3 3" xfId="20125"/>
    <cellStyle name="RowTitles-Detail 3 2 2 2 3 3 2" xfId="20126"/>
    <cellStyle name="RowTitles-Detail 3 2 2 2 3 3 2 2" xfId="20127"/>
    <cellStyle name="RowTitles-Detail 3 2 2 2 3 3 2_Tertiary Salaries Survey" xfId="20128"/>
    <cellStyle name="RowTitles-Detail 3 2 2 2 3 3 3" xfId="20129"/>
    <cellStyle name="RowTitles-Detail 3 2 2 2 3 3_Tertiary Salaries Survey" xfId="20130"/>
    <cellStyle name="RowTitles-Detail 3 2 2 2 3 4" xfId="20131"/>
    <cellStyle name="RowTitles-Detail 3 2 2 2 3 5" xfId="20132"/>
    <cellStyle name="RowTitles-Detail 3 2 2 2 3 5 2" xfId="20133"/>
    <cellStyle name="RowTitles-Detail 3 2 2 2 3 5_Tertiary Salaries Survey" xfId="20134"/>
    <cellStyle name="RowTitles-Detail 3 2 2 2 3 6" xfId="20135"/>
    <cellStyle name="RowTitles-Detail 3 2 2 2 3_Tertiary Salaries Survey" xfId="20136"/>
    <cellStyle name="RowTitles-Detail 3 2 2 2 4" xfId="20137"/>
    <cellStyle name="RowTitles-Detail 3 2 2 2 4 2" xfId="20138"/>
    <cellStyle name="RowTitles-Detail 3 2 2 2 4 2 2" xfId="20139"/>
    <cellStyle name="RowTitles-Detail 3 2 2 2 4 2 2 2" xfId="20140"/>
    <cellStyle name="RowTitles-Detail 3 2 2 2 4 2 2_Tertiary Salaries Survey" xfId="20141"/>
    <cellStyle name="RowTitles-Detail 3 2 2 2 4 2 3" xfId="20142"/>
    <cellStyle name="RowTitles-Detail 3 2 2 2 4 2_Tertiary Salaries Survey" xfId="20143"/>
    <cellStyle name="RowTitles-Detail 3 2 2 2 4 3" xfId="20144"/>
    <cellStyle name="RowTitles-Detail 3 2 2 2 4 3 2" xfId="20145"/>
    <cellStyle name="RowTitles-Detail 3 2 2 2 4 3 2 2" xfId="20146"/>
    <cellStyle name="RowTitles-Detail 3 2 2 2 4 3 2_Tertiary Salaries Survey" xfId="20147"/>
    <cellStyle name="RowTitles-Detail 3 2 2 2 4 3 3" xfId="20148"/>
    <cellStyle name="RowTitles-Detail 3 2 2 2 4 3_Tertiary Salaries Survey" xfId="20149"/>
    <cellStyle name="RowTitles-Detail 3 2 2 2 4 4" xfId="20150"/>
    <cellStyle name="RowTitles-Detail 3 2 2 2 4 4 2" xfId="20151"/>
    <cellStyle name="RowTitles-Detail 3 2 2 2 4 4_Tertiary Salaries Survey" xfId="20152"/>
    <cellStyle name="RowTitles-Detail 3 2 2 2 4 5" xfId="20153"/>
    <cellStyle name="RowTitles-Detail 3 2 2 2 4_Tertiary Salaries Survey" xfId="20154"/>
    <cellStyle name="RowTitles-Detail 3 2 2 2 5" xfId="20155"/>
    <cellStyle name="RowTitles-Detail 3 2 2 2 5 2" xfId="20156"/>
    <cellStyle name="RowTitles-Detail 3 2 2 2 5 2 2" xfId="20157"/>
    <cellStyle name="RowTitles-Detail 3 2 2 2 5 2 2 2" xfId="20158"/>
    <cellStyle name="RowTitles-Detail 3 2 2 2 5 2 2_Tertiary Salaries Survey" xfId="20159"/>
    <cellStyle name="RowTitles-Detail 3 2 2 2 5 2 3" xfId="20160"/>
    <cellStyle name="RowTitles-Detail 3 2 2 2 5 2_Tertiary Salaries Survey" xfId="20161"/>
    <cellStyle name="RowTitles-Detail 3 2 2 2 5 3" xfId="20162"/>
    <cellStyle name="RowTitles-Detail 3 2 2 2 5 3 2" xfId="20163"/>
    <cellStyle name="RowTitles-Detail 3 2 2 2 5 3 2 2" xfId="20164"/>
    <cellStyle name="RowTitles-Detail 3 2 2 2 5 3 2_Tertiary Salaries Survey" xfId="20165"/>
    <cellStyle name="RowTitles-Detail 3 2 2 2 5 3 3" xfId="20166"/>
    <cellStyle name="RowTitles-Detail 3 2 2 2 5 3_Tertiary Salaries Survey" xfId="20167"/>
    <cellStyle name="RowTitles-Detail 3 2 2 2 5 4" xfId="20168"/>
    <cellStyle name="RowTitles-Detail 3 2 2 2 5 4 2" xfId="20169"/>
    <cellStyle name="RowTitles-Detail 3 2 2 2 5 4_Tertiary Salaries Survey" xfId="20170"/>
    <cellStyle name="RowTitles-Detail 3 2 2 2 5 5" xfId="20171"/>
    <cellStyle name="RowTitles-Detail 3 2 2 2 5_Tertiary Salaries Survey" xfId="20172"/>
    <cellStyle name="RowTitles-Detail 3 2 2 2 6" xfId="20173"/>
    <cellStyle name="RowTitles-Detail 3 2 2 2 6 2" xfId="20174"/>
    <cellStyle name="RowTitles-Detail 3 2 2 2 6 2 2" xfId="20175"/>
    <cellStyle name="RowTitles-Detail 3 2 2 2 6 2 2 2" xfId="20176"/>
    <cellStyle name="RowTitles-Detail 3 2 2 2 6 2 2_Tertiary Salaries Survey" xfId="20177"/>
    <cellStyle name="RowTitles-Detail 3 2 2 2 6 2 3" xfId="20178"/>
    <cellStyle name="RowTitles-Detail 3 2 2 2 6 2_Tertiary Salaries Survey" xfId="20179"/>
    <cellStyle name="RowTitles-Detail 3 2 2 2 6 3" xfId="20180"/>
    <cellStyle name="RowTitles-Detail 3 2 2 2 6 3 2" xfId="20181"/>
    <cellStyle name="RowTitles-Detail 3 2 2 2 6 3 2 2" xfId="20182"/>
    <cellStyle name="RowTitles-Detail 3 2 2 2 6 3 2_Tertiary Salaries Survey" xfId="20183"/>
    <cellStyle name="RowTitles-Detail 3 2 2 2 6 3 3" xfId="20184"/>
    <cellStyle name="RowTitles-Detail 3 2 2 2 6 3_Tertiary Salaries Survey" xfId="20185"/>
    <cellStyle name="RowTitles-Detail 3 2 2 2 6 4" xfId="20186"/>
    <cellStyle name="RowTitles-Detail 3 2 2 2 6 4 2" xfId="20187"/>
    <cellStyle name="RowTitles-Detail 3 2 2 2 6 4_Tertiary Salaries Survey" xfId="20188"/>
    <cellStyle name="RowTitles-Detail 3 2 2 2 6 5" xfId="20189"/>
    <cellStyle name="RowTitles-Detail 3 2 2 2 6_Tertiary Salaries Survey" xfId="20190"/>
    <cellStyle name="RowTitles-Detail 3 2 2 2 7" xfId="20191"/>
    <cellStyle name="RowTitles-Detail 3 2 2 2 7 2" xfId="20192"/>
    <cellStyle name="RowTitles-Detail 3 2 2 2 7 2 2" xfId="20193"/>
    <cellStyle name="RowTitles-Detail 3 2 2 2 7 2_Tertiary Salaries Survey" xfId="20194"/>
    <cellStyle name="RowTitles-Detail 3 2 2 2 7 3" xfId="20195"/>
    <cellStyle name="RowTitles-Detail 3 2 2 2 7_Tertiary Salaries Survey" xfId="20196"/>
    <cellStyle name="RowTitles-Detail 3 2 2 2 8" xfId="20197"/>
    <cellStyle name="RowTitles-Detail 3 2 2 2 9" xfId="20198"/>
    <cellStyle name="RowTitles-Detail 3 2 2 2_STUD aligned by INSTIT" xfId="20199"/>
    <cellStyle name="RowTitles-Detail 3 2 2 3" xfId="20200"/>
    <cellStyle name="RowTitles-Detail 3 2 2 3 2" xfId="20201"/>
    <cellStyle name="RowTitles-Detail 3 2 2 3 2 2" xfId="20202"/>
    <cellStyle name="RowTitles-Detail 3 2 2 3 2 2 2" xfId="20203"/>
    <cellStyle name="RowTitles-Detail 3 2 2 3 2 2 2 2" xfId="20204"/>
    <cellStyle name="RowTitles-Detail 3 2 2 3 2 2 2_Tertiary Salaries Survey" xfId="20205"/>
    <cellStyle name="RowTitles-Detail 3 2 2 3 2 2 3" xfId="20206"/>
    <cellStyle name="RowTitles-Detail 3 2 2 3 2 2_Tertiary Salaries Survey" xfId="20207"/>
    <cellStyle name="RowTitles-Detail 3 2 2 3 2 3" xfId="20208"/>
    <cellStyle name="RowTitles-Detail 3 2 2 3 2 3 2" xfId="20209"/>
    <cellStyle name="RowTitles-Detail 3 2 2 3 2 3 2 2" xfId="20210"/>
    <cellStyle name="RowTitles-Detail 3 2 2 3 2 3 2_Tertiary Salaries Survey" xfId="20211"/>
    <cellStyle name="RowTitles-Detail 3 2 2 3 2 3 3" xfId="20212"/>
    <cellStyle name="RowTitles-Detail 3 2 2 3 2 3_Tertiary Salaries Survey" xfId="20213"/>
    <cellStyle name="RowTitles-Detail 3 2 2 3 2 4" xfId="20214"/>
    <cellStyle name="RowTitles-Detail 3 2 2 3 2 5" xfId="20215"/>
    <cellStyle name="RowTitles-Detail 3 2 2 3 2 5 2" xfId="20216"/>
    <cellStyle name="RowTitles-Detail 3 2 2 3 2 5_Tertiary Salaries Survey" xfId="20217"/>
    <cellStyle name="RowTitles-Detail 3 2 2 3 2 6" xfId="20218"/>
    <cellStyle name="RowTitles-Detail 3 2 2 3 2_Tertiary Salaries Survey" xfId="20219"/>
    <cellStyle name="RowTitles-Detail 3 2 2 3 3" xfId="20220"/>
    <cellStyle name="RowTitles-Detail 3 2 2 3 3 2" xfId="20221"/>
    <cellStyle name="RowTitles-Detail 3 2 2 3 3 2 2" xfId="20222"/>
    <cellStyle name="RowTitles-Detail 3 2 2 3 3 2 2 2" xfId="20223"/>
    <cellStyle name="RowTitles-Detail 3 2 2 3 3 2 2_Tertiary Salaries Survey" xfId="20224"/>
    <cellStyle name="RowTitles-Detail 3 2 2 3 3 2 3" xfId="20225"/>
    <cellStyle name="RowTitles-Detail 3 2 2 3 3 2_Tertiary Salaries Survey" xfId="20226"/>
    <cellStyle name="RowTitles-Detail 3 2 2 3 3 3" xfId="20227"/>
    <cellStyle name="RowTitles-Detail 3 2 2 3 3 3 2" xfId="20228"/>
    <cellStyle name="RowTitles-Detail 3 2 2 3 3 3 2 2" xfId="20229"/>
    <cellStyle name="RowTitles-Detail 3 2 2 3 3 3 2_Tertiary Salaries Survey" xfId="20230"/>
    <cellStyle name="RowTitles-Detail 3 2 2 3 3 3 3" xfId="20231"/>
    <cellStyle name="RowTitles-Detail 3 2 2 3 3 3_Tertiary Salaries Survey" xfId="20232"/>
    <cellStyle name="RowTitles-Detail 3 2 2 3 3 4" xfId="20233"/>
    <cellStyle name="RowTitles-Detail 3 2 2 3 3 5" xfId="20234"/>
    <cellStyle name="RowTitles-Detail 3 2 2 3 3_Tertiary Salaries Survey" xfId="20235"/>
    <cellStyle name="RowTitles-Detail 3 2 2 3 4" xfId="20236"/>
    <cellStyle name="RowTitles-Detail 3 2 2 3 4 2" xfId="20237"/>
    <cellStyle name="RowTitles-Detail 3 2 2 3 4 2 2" xfId="20238"/>
    <cellStyle name="RowTitles-Detail 3 2 2 3 4 2 2 2" xfId="20239"/>
    <cellStyle name="RowTitles-Detail 3 2 2 3 4 2 2_Tertiary Salaries Survey" xfId="20240"/>
    <cellStyle name="RowTitles-Detail 3 2 2 3 4 2 3" xfId="20241"/>
    <cellStyle name="RowTitles-Detail 3 2 2 3 4 2_Tertiary Salaries Survey" xfId="20242"/>
    <cellStyle name="RowTitles-Detail 3 2 2 3 4 3" xfId="20243"/>
    <cellStyle name="RowTitles-Detail 3 2 2 3 4 3 2" xfId="20244"/>
    <cellStyle name="RowTitles-Detail 3 2 2 3 4 3 2 2" xfId="20245"/>
    <cellStyle name="RowTitles-Detail 3 2 2 3 4 3 2_Tertiary Salaries Survey" xfId="20246"/>
    <cellStyle name="RowTitles-Detail 3 2 2 3 4 3 3" xfId="20247"/>
    <cellStyle name="RowTitles-Detail 3 2 2 3 4 3_Tertiary Salaries Survey" xfId="20248"/>
    <cellStyle name="RowTitles-Detail 3 2 2 3 4 4" xfId="20249"/>
    <cellStyle name="RowTitles-Detail 3 2 2 3 4 4 2" xfId="20250"/>
    <cellStyle name="RowTitles-Detail 3 2 2 3 4 4_Tertiary Salaries Survey" xfId="20251"/>
    <cellStyle name="RowTitles-Detail 3 2 2 3 4 5" xfId="20252"/>
    <cellStyle name="RowTitles-Detail 3 2 2 3 4_Tertiary Salaries Survey" xfId="20253"/>
    <cellStyle name="RowTitles-Detail 3 2 2 3 5" xfId="20254"/>
    <cellStyle name="RowTitles-Detail 3 2 2 3 5 2" xfId="20255"/>
    <cellStyle name="RowTitles-Detail 3 2 2 3 5 2 2" xfId="20256"/>
    <cellStyle name="RowTitles-Detail 3 2 2 3 5 2 2 2" xfId="20257"/>
    <cellStyle name="RowTitles-Detail 3 2 2 3 5 2 2_Tertiary Salaries Survey" xfId="20258"/>
    <cellStyle name="RowTitles-Detail 3 2 2 3 5 2 3" xfId="20259"/>
    <cellStyle name="RowTitles-Detail 3 2 2 3 5 2_Tertiary Salaries Survey" xfId="20260"/>
    <cellStyle name="RowTitles-Detail 3 2 2 3 5 3" xfId="20261"/>
    <cellStyle name="RowTitles-Detail 3 2 2 3 5 3 2" xfId="20262"/>
    <cellStyle name="RowTitles-Detail 3 2 2 3 5 3 2 2" xfId="20263"/>
    <cellStyle name="RowTitles-Detail 3 2 2 3 5 3 2_Tertiary Salaries Survey" xfId="20264"/>
    <cellStyle name="RowTitles-Detail 3 2 2 3 5 3 3" xfId="20265"/>
    <cellStyle name="RowTitles-Detail 3 2 2 3 5 3_Tertiary Salaries Survey" xfId="20266"/>
    <cellStyle name="RowTitles-Detail 3 2 2 3 5 4" xfId="20267"/>
    <cellStyle name="RowTitles-Detail 3 2 2 3 5 4 2" xfId="20268"/>
    <cellStyle name="RowTitles-Detail 3 2 2 3 5 4_Tertiary Salaries Survey" xfId="20269"/>
    <cellStyle name="RowTitles-Detail 3 2 2 3 5 5" xfId="20270"/>
    <cellStyle name="RowTitles-Detail 3 2 2 3 5_Tertiary Salaries Survey" xfId="20271"/>
    <cellStyle name="RowTitles-Detail 3 2 2 3 6" xfId="20272"/>
    <cellStyle name="RowTitles-Detail 3 2 2 3 6 2" xfId="20273"/>
    <cellStyle name="RowTitles-Detail 3 2 2 3 6 2 2" xfId="20274"/>
    <cellStyle name="RowTitles-Detail 3 2 2 3 6 2 2 2" xfId="20275"/>
    <cellStyle name="RowTitles-Detail 3 2 2 3 6 2 2_Tertiary Salaries Survey" xfId="20276"/>
    <cellStyle name="RowTitles-Detail 3 2 2 3 6 2 3" xfId="20277"/>
    <cellStyle name="RowTitles-Detail 3 2 2 3 6 2_Tertiary Salaries Survey" xfId="20278"/>
    <cellStyle name="RowTitles-Detail 3 2 2 3 6 3" xfId="20279"/>
    <cellStyle name="RowTitles-Detail 3 2 2 3 6 3 2" xfId="20280"/>
    <cellStyle name="RowTitles-Detail 3 2 2 3 6 3 2 2" xfId="20281"/>
    <cellStyle name="RowTitles-Detail 3 2 2 3 6 3 2_Tertiary Salaries Survey" xfId="20282"/>
    <cellStyle name="RowTitles-Detail 3 2 2 3 6 3 3" xfId="20283"/>
    <cellStyle name="RowTitles-Detail 3 2 2 3 6 3_Tertiary Salaries Survey" xfId="20284"/>
    <cellStyle name="RowTitles-Detail 3 2 2 3 6 4" xfId="20285"/>
    <cellStyle name="RowTitles-Detail 3 2 2 3 6 4 2" xfId="20286"/>
    <cellStyle name="RowTitles-Detail 3 2 2 3 6 4_Tertiary Salaries Survey" xfId="20287"/>
    <cellStyle name="RowTitles-Detail 3 2 2 3 6 5" xfId="20288"/>
    <cellStyle name="RowTitles-Detail 3 2 2 3 6_Tertiary Salaries Survey" xfId="20289"/>
    <cellStyle name="RowTitles-Detail 3 2 2 3 7" xfId="20290"/>
    <cellStyle name="RowTitles-Detail 3 2 2 3 7 2" xfId="20291"/>
    <cellStyle name="RowTitles-Detail 3 2 2 3 7 2 2" xfId="20292"/>
    <cellStyle name="RowTitles-Detail 3 2 2 3 7 2_Tertiary Salaries Survey" xfId="20293"/>
    <cellStyle name="RowTitles-Detail 3 2 2 3 7 3" xfId="20294"/>
    <cellStyle name="RowTitles-Detail 3 2 2 3 7_Tertiary Salaries Survey" xfId="20295"/>
    <cellStyle name="RowTitles-Detail 3 2 2 3 8" xfId="20296"/>
    <cellStyle name="RowTitles-Detail 3 2 2 3 8 2" xfId="20297"/>
    <cellStyle name="RowTitles-Detail 3 2 2 3 8 2 2" xfId="20298"/>
    <cellStyle name="RowTitles-Detail 3 2 2 3 8 2_Tertiary Salaries Survey" xfId="20299"/>
    <cellStyle name="RowTitles-Detail 3 2 2 3 8 3" xfId="20300"/>
    <cellStyle name="RowTitles-Detail 3 2 2 3 8_Tertiary Salaries Survey" xfId="20301"/>
    <cellStyle name="RowTitles-Detail 3 2 2 3 9" xfId="20302"/>
    <cellStyle name="RowTitles-Detail 3 2 2 3_STUD aligned by INSTIT" xfId="20303"/>
    <cellStyle name="RowTitles-Detail 3 2 2 4" xfId="20304"/>
    <cellStyle name="RowTitles-Detail 3 2 2 4 2" xfId="20305"/>
    <cellStyle name="RowTitles-Detail 3 2 2 4 2 2" xfId="20306"/>
    <cellStyle name="RowTitles-Detail 3 2 2 4 2 2 2" xfId="20307"/>
    <cellStyle name="RowTitles-Detail 3 2 2 4 2 2 2 2" xfId="20308"/>
    <cellStyle name="RowTitles-Detail 3 2 2 4 2 2 2_Tertiary Salaries Survey" xfId="20309"/>
    <cellStyle name="RowTitles-Detail 3 2 2 4 2 2 3" xfId="20310"/>
    <cellStyle name="RowTitles-Detail 3 2 2 4 2 2_Tertiary Salaries Survey" xfId="20311"/>
    <cellStyle name="RowTitles-Detail 3 2 2 4 2 3" xfId="20312"/>
    <cellStyle name="RowTitles-Detail 3 2 2 4 2 3 2" xfId="20313"/>
    <cellStyle name="RowTitles-Detail 3 2 2 4 2 3 2 2" xfId="20314"/>
    <cellStyle name="RowTitles-Detail 3 2 2 4 2 3 2_Tertiary Salaries Survey" xfId="20315"/>
    <cellStyle name="RowTitles-Detail 3 2 2 4 2 3 3" xfId="20316"/>
    <cellStyle name="RowTitles-Detail 3 2 2 4 2 3_Tertiary Salaries Survey" xfId="20317"/>
    <cellStyle name="RowTitles-Detail 3 2 2 4 2 4" xfId="20318"/>
    <cellStyle name="RowTitles-Detail 3 2 2 4 2 5" xfId="20319"/>
    <cellStyle name="RowTitles-Detail 3 2 2 4 2 5 2" xfId="20320"/>
    <cellStyle name="RowTitles-Detail 3 2 2 4 2 5_Tertiary Salaries Survey" xfId="20321"/>
    <cellStyle name="RowTitles-Detail 3 2 2 4 2 6" xfId="20322"/>
    <cellStyle name="RowTitles-Detail 3 2 2 4 2_Tertiary Salaries Survey" xfId="20323"/>
    <cellStyle name="RowTitles-Detail 3 2 2 4 3" xfId="20324"/>
    <cellStyle name="RowTitles-Detail 3 2 2 4 3 2" xfId="20325"/>
    <cellStyle name="RowTitles-Detail 3 2 2 4 3 2 2" xfId="20326"/>
    <cellStyle name="RowTitles-Detail 3 2 2 4 3 2 2 2" xfId="20327"/>
    <cellStyle name="RowTitles-Detail 3 2 2 4 3 2 2_Tertiary Salaries Survey" xfId="20328"/>
    <cellStyle name="RowTitles-Detail 3 2 2 4 3 2 3" xfId="20329"/>
    <cellStyle name="RowTitles-Detail 3 2 2 4 3 2_Tertiary Salaries Survey" xfId="20330"/>
    <cellStyle name="RowTitles-Detail 3 2 2 4 3 3" xfId="20331"/>
    <cellStyle name="RowTitles-Detail 3 2 2 4 3 3 2" xfId="20332"/>
    <cellStyle name="RowTitles-Detail 3 2 2 4 3 3 2 2" xfId="20333"/>
    <cellStyle name="RowTitles-Detail 3 2 2 4 3 3 2_Tertiary Salaries Survey" xfId="20334"/>
    <cellStyle name="RowTitles-Detail 3 2 2 4 3 3 3" xfId="20335"/>
    <cellStyle name="RowTitles-Detail 3 2 2 4 3 3_Tertiary Salaries Survey" xfId="20336"/>
    <cellStyle name="RowTitles-Detail 3 2 2 4 3 4" xfId="20337"/>
    <cellStyle name="RowTitles-Detail 3 2 2 4 3 5" xfId="20338"/>
    <cellStyle name="RowTitles-Detail 3 2 2 4 3_Tertiary Salaries Survey" xfId="20339"/>
    <cellStyle name="RowTitles-Detail 3 2 2 4 4" xfId="20340"/>
    <cellStyle name="RowTitles-Detail 3 2 2 4 4 2" xfId="20341"/>
    <cellStyle name="RowTitles-Detail 3 2 2 4 4 2 2" xfId="20342"/>
    <cellStyle name="RowTitles-Detail 3 2 2 4 4 2 2 2" xfId="20343"/>
    <cellStyle name="RowTitles-Detail 3 2 2 4 4 2 2_Tertiary Salaries Survey" xfId="20344"/>
    <cellStyle name="RowTitles-Detail 3 2 2 4 4 2 3" xfId="20345"/>
    <cellStyle name="RowTitles-Detail 3 2 2 4 4 2_Tertiary Salaries Survey" xfId="20346"/>
    <cellStyle name="RowTitles-Detail 3 2 2 4 4 3" xfId="20347"/>
    <cellStyle name="RowTitles-Detail 3 2 2 4 4 3 2" xfId="20348"/>
    <cellStyle name="RowTitles-Detail 3 2 2 4 4 3 2 2" xfId="20349"/>
    <cellStyle name="RowTitles-Detail 3 2 2 4 4 3 2_Tertiary Salaries Survey" xfId="20350"/>
    <cellStyle name="RowTitles-Detail 3 2 2 4 4 3 3" xfId="20351"/>
    <cellStyle name="RowTitles-Detail 3 2 2 4 4 3_Tertiary Salaries Survey" xfId="20352"/>
    <cellStyle name="RowTitles-Detail 3 2 2 4 4 4" xfId="20353"/>
    <cellStyle name="RowTitles-Detail 3 2 2 4 4 5" xfId="20354"/>
    <cellStyle name="RowTitles-Detail 3 2 2 4 4 5 2" xfId="20355"/>
    <cellStyle name="RowTitles-Detail 3 2 2 4 4 5_Tertiary Salaries Survey" xfId="20356"/>
    <cellStyle name="RowTitles-Detail 3 2 2 4 4 6" xfId="20357"/>
    <cellStyle name="RowTitles-Detail 3 2 2 4 4_Tertiary Salaries Survey" xfId="20358"/>
    <cellStyle name="RowTitles-Detail 3 2 2 4 5" xfId="20359"/>
    <cellStyle name="RowTitles-Detail 3 2 2 4 5 2" xfId="20360"/>
    <cellStyle name="RowTitles-Detail 3 2 2 4 5 2 2" xfId="20361"/>
    <cellStyle name="RowTitles-Detail 3 2 2 4 5 2 2 2" xfId="20362"/>
    <cellStyle name="RowTitles-Detail 3 2 2 4 5 2 2_Tertiary Salaries Survey" xfId="20363"/>
    <cellStyle name="RowTitles-Detail 3 2 2 4 5 2 3" xfId="20364"/>
    <cellStyle name="RowTitles-Detail 3 2 2 4 5 2_Tertiary Salaries Survey" xfId="20365"/>
    <cellStyle name="RowTitles-Detail 3 2 2 4 5 3" xfId="20366"/>
    <cellStyle name="RowTitles-Detail 3 2 2 4 5 3 2" xfId="20367"/>
    <cellStyle name="RowTitles-Detail 3 2 2 4 5 3 2 2" xfId="20368"/>
    <cellStyle name="RowTitles-Detail 3 2 2 4 5 3 2_Tertiary Salaries Survey" xfId="20369"/>
    <cellStyle name="RowTitles-Detail 3 2 2 4 5 3 3" xfId="20370"/>
    <cellStyle name="RowTitles-Detail 3 2 2 4 5 3_Tertiary Salaries Survey" xfId="20371"/>
    <cellStyle name="RowTitles-Detail 3 2 2 4 5 4" xfId="20372"/>
    <cellStyle name="RowTitles-Detail 3 2 2 4 5 4 2" xfId="20373"/>
    <cellStyle name="RowTitles-Detail 3 2 2 4 5 4_Tertiary Salaries Survey" xfId="20374"/>
    <cellStyle name="RowTitles-Detail 3 2 2 4 5 5" xfId="20375"/>
    <cellStyle name="RowTitles-Detail 3 2 2 4 5_Tertiary Salaries Survey" xfId="20376"/>
    <cellStyle name="RowTitles-Detail 3 2 2 4 6" xfId="20377"/>
    <cellStyle name="RowTitles-Detail 3 2 2 4 6 2" xfId="20378"/>
    <cellStyle name="RowTitles-Detail 3 2 2 4 6 2 2" xfId="20379"/>
    <cellStyle name="RowTitles-Detail 3 2 2 4 6 2 2 2" xfId="20380"/>
    <cellStyle name="RowTitles-Detail 3 2 2 4 6 2 2_Tertiary Salaries Survey" xfId="20381"/>
    <cellStyle name="RowTitles-Detail 3 2 2 4 6 2 3" xfId="20382"/>
    <cellStyle name="RowTitles-Detail 3 2 2 4 6 2_Tertiary Salaries Survey" xfId="20383"/>
    <cellStyle name="RowTitles-Detail 3 2 2 4 6 3" xfId="20384"/>
    <cellStyle name="RowTitles-Detail 3 2 2 4 6 3 2" xfId="20385"/>
    <cellStyle name="RowTitles-Detail 3 2 2 4 6 3 2 2" xfId="20386"/>
    <cellStyle name="RowTitles-Detail 3 2 2 4 6 3 2_Tertiary Salaries Survey" xfId="20387"/>
    <cellStyle name="RowTitles-Detail 3 2 2 4 6 3 3" xfId="20388"/>
    <cellStyle name="RowTitles-Detail 3 2 2 4 6 3_Tertiary Salaries Survey" xfId="20389"/>
    <cellStyle name="RowTitles-Detail 3 2 2 4 6 4" xfId="20390"/>
    <cellStyle name="RowTitles-Detail 3 2 2 4 6 4 2" xfId="20391"/>
    <cellStyle name="RowTitles-Detail 3 2 2 4 6 4_Tertiary Salaries Survey" xfId="20392"/>
    <cellStyle name="RowTitles-Detail 3 2 2 4 6 5" xfId="20393"/>
    <cellStyle name="RowTitles-Detail 3 2 2 4 6_Tertiary Salaries Survey" xfId="20394"/>
    <cellStyle name="RowTitles-Detail 3 2 2 4 7" xfId="20395"/>
    <cellStyle name="RowTitles-Detail 3 2 2 4 7 2" xfId="20396"/>
    <cellStyle name="RowTitles-Detail 3 2 2 4 7 2 2" xfId="20397"/>
    <cellStyle name="RowTitles-Detail 3 2 2 4 7 2_Tertiary Salaries Survey" xfId="20398"/>
    <cellStyle name="RowTitles-Detail 3 2 2 4 7 3" xfId="20399"/>
    <cellStyle name="RowTitles-Detail 3 2 2 4 7_Tertiary Salaries Survey" xfId="20400"/>
    <cellStyle name="RowTitles-Detail 3 2 2 4 8" xfId="20401"/>
    <cellStyle name="RowTitles-Detail 3 2 2 4 9" xfId="20402"/>
    <cellStyle name="RowTitles-Detail 3 2 2 4_STUD aligned by INSTIT" xfId="20403"/>
    <cellStyle name="RowTitles-Detail 3 2 2 5" xfId="20404"/>
    <cellStyle name="RowTitles-Detail 3 2 2 5 2" xfId="20405"/>
    <cellStyle name="RowTitles-Detail 3 2 2 5 2 2" xfId="20406"/>
    <cellStyle name="RowTitles-Detail 3 2 2 5 2 2 2" xfId="20407"/>
    <cellStyle name="RowTitles-Detail 3 2 2 5 2 2_Tertiary Salaries Survey" xfId="20408"/>
    <cellStyle name="RowTitles-Detail 3 2 2 5 2 3" xfId="20409"/>
    <cellStyle name="RowTitles-Detail 3 2 2 5 2_Tertiary Salaries Survey" xfId="20410"/>
    <cellStyle name="RowTitles-Detail 3 2 2 5 3" xfId="20411"/>
    <cellStyle name="RowTitles-Detail 3 2 2 5 3 2" xfId="20412"/>
    <cellStyle name="RowTitles-Detail 3 2 2 5 3 2 2" xfId="20413"/>
    <cellStyle name="RowTitles-Detail 3 2 2 5 3 2_Tertiary Salaries Survey" xfId="20414"/>
    <cellStyle name="RowTitles-Detail 3 2 2 5 3 3" xfId="20415"/>
    <cellStyle name="RowTitles-Detail 3 2 2 5 3_Tertiary Salaries Survey" xfId="20416"/>
    <cellStyle name="RowTitles-Detail 3 2 2 5 4" xfId="20417"/>
    <cellStyle name="RowTitles-Detail 3 2 2 5 5" xfId="20418"/>
    <cellStyle name="RowTitles-Detail 3 2 2 5 5 2" xfId="20419"/>
    <cellStyle name="RowTitles-Detail 3 2 2 5 5_Tertiary Salaries Survey" xfId="20420"/>
    <cellStyle name="RowTitles-Detail 3 2 2 5 6" xfId="20421"/>
    <cellStyle name="RowTitles-Detail 3 2 2 5_Tertiary Salaries Survey" xfId="20422"/>
    <cellStyle name="RowTitles-Detail 3 2 2 6" xfId="20423"/>
    <cellStyle name="RowTitles-Detail 3 2 2 6 2" xfId="20424"/>
    <cellStyle name="RowTitles-Detail 3 2 2 6 2 2" xfId="20425"/>
    <cellStyle name="RowTitles-Detail 3 2 2 6 2 2 2" xfId="20426"/>
    <cellStyle name="RowTitles-Detail 3 2 2 6 2 2_Tertiary Salaries Survey" xfId="20427"/>
    <cellStyle name="RowTitles-Detail 3 2 2 6 2 3" xfId="20428"/>
    <cellStyle name="RowTitles-Detail 3 2 2 6 2_Tertiary Salaries Survey" xfId="20429"/>
    <cellStyle name="RowTitles-Detail 3 2 2 6 3" xfId="20430"/>
    <cellStyle name="RowTitles-Detail 3 2 2 6 3 2" xfId="20431"/>
    <cellStyle name="RowTitles-Detail 3 2 2 6 3 2 2" xfId="20432"/>
    <cellStyle name="RowTitles-Detail 3 2 2 6 3 2_Tertiary Salaries Survey" xfId="20433"/>
    <cellStyle name="RowTitles-Detail 3 2 2 6 3 3" xfId="20434"/>
    <cellStyle name="RowTitles-Detail 3 2 2 6 3_Tertiary Salaries Survey" xfId="20435"/>
    <cellStyle name="RowTitles-Detail 3 2 2 6 4" xfId="20436"/>
    <cellStyle name="RowTitles-Detail 3 2 2 6 5" xfId="20437"/>
    <cellStyle name="RowTitles-Detail 3 2 2 6_Tertiary Salaries Survey" xfId="20438"/>
    <cellStyle name="RowTitles-Detail 3 2 2 7" xfId="20439"/>
    <cellStyle name="RowTitles-Detail 3 2 2 7 2" xfId="20440"/>
    <cellStyle name="RowTitles-Detail 3 2 2 7 2 2" xfId="20441"/>
    <cellStyle name="RowTitles-Detail 3 2 2 7 2 2 2" xfId="20442"/>
    <cellStyle name="RowTitles-Detail 3 2 2 7 2 2_Tertiary Salaries Survey" xfId="20443"/>
    <cellStyle name="RowTitles-Detail 3 2 2 7 2 3" xfId="20444"/>
    <cellStyle name="RowTitles-Detail 3 2 2 7 2_Tertiary Salaries Survey" xfId="20445"/>
    <cellStyle name="RowTitles-Detail 3 2 2 7 3" xfId="20446"/>
    <cellStyle name="RowTitles-Detail 3 2 2 7 3 2" xfId="20447"/>
    <cellStyle name="RowTitles-Detail 3 2 2 7 3 2 2" xfId="20448"/>
    <cellStyle name="RowTitles-Detail 3 2 2 7 3 2_Tertiary Salaries Survey" xfId="20449"/>
    <cellStyle name="RowTitles-Detail 3 2 2 7 3 3" xfId="20450"/>
    <cellStyle name="RowTitles-Detail 3 2 2 7 3_Tertiary Salaries Survey" xfId="20451"/>
    <cellStyle name="RowTitles-Detail 3 2 2 7 4" xfId="20452"/>
    <cellStyle name="RowTitles-Detail 3 2 2 7 5" xfId="20453"/>
    <cellStyle name="RowTitles-Detail 3 2 2 7 5 2" xfId="20454"/>
    <cellStyle name="RowTitles-Detail 3 2 2 7 5_Tertiary Salaries Survey" xfId="20455"/>
    <cellStyle name="RowTitles-Detail 3 2 2 7 6" xfId="20456"/>
    <cellStyle name="RowTitles-Detail 3 2 2 7_Tertiary Salaries Survey" xfId="20457"/>
    <cellStyle name="RowTitles-Detail 3 2 2 8" xfId="20458"/>
    <cellStyle name="RowTitles-Detail 3 2 2 8 2" xfId="20459"/>
    <cellStyle name="RowTitles-Detail 3 2 2 8 2 2" xfId="20460"/>
    <cellStyle name="RowTitles-Detail 3 2 2 8 2 2 2" xfId="20461"/>
    <cellStyle name="RowTitles-Detail 3 2 2 8 2 2_Tertiary Salaries Survey" xfId="20462"/>
    <cellStyle name="RowTitles-Detail 3 2 2 8 2 3" xfId="20463"/>
    <cellStyle name="RowTitles-Detail 3 2 2 8 2_Tertiary Salaries Survey" xfId="20464"/>
    <cellStyle name="RowTitles-Detail 3 2 2 8 3" xfId="20465"/>
    <cellStyle name="RowTitles-Detail 3 2 2 8 3 2" xfId="20466"/>
    <cellStyle name="RowTitles-Detail 3 2 2 8 3 2 2" xfId="20467"/>
    <cellStyle name="RowTitles-Detail 3 2 2 8 3 2_Tertiary Salaries Survey" xfId="20468"/>
    <cellStyle name="RowTitles-Detail 3 2 2 8 3 3" xfId="20469"/>
    <cellStyle name="RowTitles-Detail 3 2 2 8 3_Tertiary Salaries Survey" xfId="20470"/>
    <cellStyle name="RowTitles-Detail 3 2 2 8 4" xfId="20471"/>
    <cellStyle name="RowTitles-Detail 3 2 2 8 4 2" xfId="20472"/>
    <cellStyle name="RowTitles-Detail 3 2 2 8 4_Tertiary Salaries Survey" xfId="20473"/>
    <cellStyle name="RowTitles-Detail 3 2 2 8 5" xfId="20474"/>
    <cellStyle name="RowTitles-Detail 3 2 2 8_Tertiary Salaries Survey" xfId="20475"/>
    <cellStyle name="RowTitles-Detail 3 2 2 9" xfId="20476"/>
    <cellStyle name="RowTitles-Detail 3 2 2 9 2" xfId="20477"/>
    <cellStyle name="RowTitles-Detail 3 2 2 9 2 2" xfId="20478"/>
    <cellStyle name="RowTitles-Detail 3 2 2 9 2 2 2" xfId="20479"/>
    <cellStyle name="RowTitles-Detail 3 2 2 9 2 2_Tertiary Salaries Survey" xfId="20480"/>
    <cellStyle name="RowTitles-Detail 3 2 2 9 2 3" xfId="20481"/>
    <cellStyle name="RowTitles-Detail 3 2 2 9 2_Tertiary Salaries Survey" xfId="20482"/>
    <cellStyle name="RowTitles-Detail 3 2 2 9 3" xfId="20483"/>
    <cellStyle name="RowTitles-Detail 3 2 2 9 3 2" xfId="20484"/>
    <cellStyle name="RowTitles-Detail 3 2 2 9 3 2 2" xfId="20485"/>
    <cellStyle name="RowTitles-Detail 3 2 2 9 3 2_Tertiary Salaries Survey" xfId="20486"/>
    <cellStyle name="RowTitles-Detail 3 2 2 9 3 3" xfId="20487"/>
    <cellStyle name="RowTitles-Detail 3 2 2 9 3_Tertiary Salaries Survey" xfId="20488"/>
    <cellStyle name="RowTitles-Detail 3 2 2 9 4" xfId="20489"/>
    <cellStyle name="RowTitles-Detail 3 2 2 9 4 2" xfId="20490"/>
    <cellStyle name="RowTitles-Detail 3 2 2 9 4_Tertiary Salaries Survey" xfId="20491"/>
    <cellStyle name="RowTitles-Detail 3 2 2 9 5" xfId="20492"/>
    <cellStyle name="RowTitles-Detail 3 2 2 9_Tertiary Salaries Survey" xfId="20493"/>
    <cellStyle name="RowTitles-Detail 3 2 2_STUD aligned by INSTIT" xfId="20494"/>
    <cellStyle name="RowTitles-Detail 3 2 3" xfId="20495"/>
    <cellStyle name="RowTitles-Detail 3 2 3 2" xfId="20496"/>
    <cellStyle name="RowTitles-Detail 3 2 3 2 2" xfId="20497"/>
    <cellStyle name="RowTitles-Detail 3 2 3 2 2 2" xfId="20498"/>
    <cellStyle name="RowTitles-Detail 3 2 3 2 2 2 2" xfId="20499"/>
    <cellStyle name="RowTitles-Detail 3 2 3 2 2 2_Tertiary Salaries Survey" xfId="20500"/>
    <cellStyle name="RowTitles-Detail 3 2 3 2 2 3" xfId="20501"/>
    <cellStyle name="RowTitles-Detail 3 2 3 2 2_Tertiary Salaries Survey" xfId="20502"/>
    <cellStyle name="RowTitles-Detail 3 2 3 2 3" xfId="20503"/>
    <cellStyle name="RowTitles-Detail 3 2 3 2 3 2" xfId="20504"/>
    <cellStyle name="RowTitles-Detail 3 2 3 2 3 2 2" xfId="20505"/>
    <cellStyle name="RowTitles-Detail 3 2 3 2 3 2_Tertiary Salaries Survey" xfId="20506"/>
    <cellStyle name="RowTitles-Detail 3 2 3 2 3 3" xfId="20507"/>
    <cellStyle name="RowTitles-Detail 3 2 3 2 3_Tertiary Salaries Survey" xfId="20508"/>
    <cellStyle name="RowTitles-Detail 3 2 3 2 4" xfId="20509"/>
    <cellStyle name="RowTitles-Detail 3 2 3 2 5" xfId="20510"/>
    <cellStyle name="RowTitles-Detail 3 2 3 2_Tertiary Salaries Survey" xfId="20511"/>
    <cellStyle name="RowTitles-Detail 3 2 3 3" xfId="20512"/>
    <cellStyle name="RowTitles-Detail 3 2 3 3 2" xfId="20513"/>
    <cellStyle name="RowTitles-Detail 3 2 3 3 2 2" xfId="20514"/>
    <cellStyle name="RowTitles-Detail 3 2 3 3 2 2 2" xfId="20515"/>
    <cellStyle name="RowTitles-Detail 3 2 3 3 2 2_Tertiary Salaries Survey" xfId="20516"/>
    <cellStyle name="RowTitles-Detail 3 2 3 3 2 3" xfId="20517"/>
    <cellStyle name="RowTitles-Detail 3 2 3 3 2_Tertiary Salaries Survey" xfId="20518"/>
    <cellStyle name="RowTitles-Detail 3 2 3 3 3" xfId="20519"/>
    <cellStyle name="RowTitles-Detail 3 2 3 3 3 2" xfId="20520"/>
    <cellStyle name="RowTitles-Detail 3 2 3 3 3 2 2" xfId="20521"/>
    <cellStyle name="RowTitles-Detail 3 2 3 3 3 2_Tertiary Salaries Survey" xfId="20522"/>
    <cellStyle name="RowTitles-Detail 3 2 3 3 3 3" xfId="20523"/>
    <cellStyle name="RowTitles-Detail 3 2 3 3 3_Tertiary Salaries Survey" xfId="20524"/>
    <cellStyle name="RowTitles-Detail 3 2 3 3 4" xfId="20525"/>
    <cellStyle name="RowTitles-Detail 3 2 3 3 5" xfId="20526"/>
    <cellStyle name="RowTitles-Detail 3 2 3 3 5 2" xfId="20527"/>
    <cellStyle name="RowTitles-Detail 3 2 3 3 5_Tertiary Salaries Survey" xfId="20528"/>
    <cellStyle name="RowTitles-Detail 3 2 3 3 6" xfId="20529"/>
    <cellStyle name="RowTitles-Detail 3 2 3 3_Tertiary Salaries Survey" xfId="20530"/>
    <cellStyle name="RowTitles-Detail 3 2 3 4" xfId="20531"/>
    <cellStyle name="RowTitles-Detail 3 2 3 4 2" xfId="20532"/>
    <cellStyle name="RowTitles-Detail 3 2 3 4 2 2" xfId="20533"/>
    <cellStyle name="RowTitles-Detail 3 2 3 4 2 2 2" xfId="20534"/>
    <cellStyle name="RowTitles-Detail 3 2 3 4 2 2_Tertiary Salaries Survey" xfId="20535"/>
    <cellStyle name="RowTitles-Detail 3 2 3 4 2 3" xfId="20536"/>
    <cellStyle name="RowTitles-Detail 3 2 3 4 2_Tertiary Salaries Survey" xfId="20537"/>
    <cellStyle name="RowTitles-Detail 3 2 3 4 3" xfId="20538"/>
    <cellStyle name="RowTitles-Detail 3 2 3 4 3 2" xfId="20539"/>
    <cellStyle name="RowTitles-Detail 3 2 3 4 3 2 2" xfId="20540"/>
    <cellStyle name="RowTitles-Detail 3 2 3 4 3 2_Tertiary Salaries Survey" xfId="20541"/>
    <cellStyle name="RowTitles-Detail 3 2 3 4 3 3" xfId="20542"/>
    <cellStyle name="RowTitles-Detail 3 2 3 4 3_Tertiary Salaries Survey" xfId="20543"/>
    <cellStyle name="RowTitles-Detail 3 2 3 4 4" xfId="20544"/>
    <cellStyle name="RowTitles-Detail 3 2 3 4 4 2" xfId="20545"/>
    <cellStyle name="RowTitles-Detail 3 2 3 4 4_Tertiary Salaries Survey" xfId="20546"/>
    <cellStyle name="RowTitles-Detail 3 2 3 4 5" xfId="20547"/>
    <cellStyle name="RowTitles-Detail 3 2 3 4_Tertiary Salaries Survey" xfId="20548"/>
    <cellStyle name="RowTitles-Detail 3 2 3 5" xfId="20549"/>
    <cellStyle name="RowTitles-Detail 3 2 3 5 2" xfId="20550"/>
    <cellStyle name="RowTitles-Detail 3 2 3 5 2 2" xfId="20551"/>
    <cellStyle name="RowTitles-Detail 3 2 3 5 2 2 2" xfId="20552"/>
    <cellStyle name="RowTitles-Detail 3 2 3 5 2 2_Tertiary Salaries Survey" xfId="20553"/>
    <cellStyle name="RowTitles-Detail 3 2 3 5 2 3" xfId="20554"/>
    <cellStyle name="RowTitles-Detail 3 2 3 5 2_Tertiary Salaries Survey" xfId="20555"/>
    <cellStyle name="RowTitles-Detail 3 2 3 5 3" xfId="20556"/>
    <cellStyle name="RowTitles-Detail 3 2 3 5 3 2" xfId="20557"/>
    <cellStyle name="RowTitles-Detail 3 2 3 5 3 2 2" xfId="20558"/>
    <cellStyle name="RowTitles-Detail 3 2 3 5 3 2_Tertiary Salaries Survey" xfId="20559"/>
    <cellStyle name="RowTitles-Detail 3 2 3 5 3 3" xfId="20560"/>
    <cellStyle name="RowTitles-Detail 3 2 3 5 3_Tertiary Salaries Survey" xfId="20561"/>
    <cellStyle name="RowTitles-Detail 3 2 3 5 4" xfId="20562"/>
    <cellStyle name="RowTitles-Detail 3 2 3 5 4 2" xfId="20563"/>
    <cellStyle name="RowTitles-Detail 3 2 3 5 4_Tertiary Salaries Survey" xfId="20564"/>
    <cellStyle name="RowTitles-Detail 3 2 3 5 5" xfId="20565"/>
    <cellStyle name="RowTitles-Detail 3 2 3 5_Tertiary Salaries Survey" xfId="20566"/>
    <cellStyle name="RowTitles-Detail 3 2 3 6" xfId="20567"/>
    <cellStyle name="RowTitles-Detail 3 2 3 6 2" xfId="20568"/>
    <cellStyle name="RowTitles-Detail 3 2 3 6 2 2" xfId="20569"/>
    <cellStyle name="RowTitles-Detail 3 2 3 6 2 2 2" xfId="20570"/>
    <cellStyle name="RowTitles-Detail 3 2 3 6 2 2_Tertiary Salaries Survey" xfId="20571"/>
    <cellStyle name="RowTitles-Detail 3 2 3 6 2 3" xfId="20572"/>
    <cellStyle name="RowTitles-Detail 3 2 3 6 2_Tertiary Salaries Survey" xfId="20573"/>
    <cellStyle name="RowTitles-Detail 3 2 3 6 3" xfId="20574"/>
    <cellStyle name="RowTitles-Detail 3 2 3 6 3 2" xfId="20575"/>
    <cellStyle name="RowTitles-Detail 3 2 3 6 3 2 2" xfId="20576"/>
    <cellStyle name="RowTitles-Detail 3 2 3 6 3 2_Tertiary Salaries Survey" xfId="20577"/>
    <cellStyle name="RowTitles-Detail 3 2 3 6 3 3" xfId="20578"/>
    <cellStyle name="RowTitles-Detail 3 2 3 6 3_Tertiary Salaries Survey" xfId="20579"/>
    <cellStyle name="RowTitles-Detail 3 2 3 6 4" xfId="20580"/>
    <cellStyle name="RowTitles-Detail 3 2 3 6 4 2" xfId="20581"/>
    <cellStyle name="RowTitles-Detail 3 2 3 6 4_Tertiary Salaries Survey" xfId="20582"/>
    <cellStyle name="RowTitles-Detail 3 2 3 6 5" xfId="20583"/>
    <cellStyle name="RowTitles-Detail 3 2 3 6_Tertiary Salaries Survey" xfId="20584"/>
    <cellStyle name="RowTitles-Detail 3 2 3 7" xfId="20585"/>
    <cellStyle name="RowTitles-Detail 3 2 3 7 2" xfId="20586"/>
    <cellStyle name="RowTitles-Detail 3 2 3 7 2 2" xfId="20587"/>
    <cellStyle name="RowTitles-Detail 3 2 3 7 2_Tertiary Salaries Survey" xfId="20588"/>
    <cellStyle name="RowTitles-Detail 3 2 3 7 3" xfId="20589"/>
    <cellStyle name="RowTitles-Detail 3 2 3 7_Tertiary Salaries Survey" xfId="20590"/>
    <cellStyle name="RowTitles-Detail 3 2 3 8" xfId="20591"/>
    <cellStyle name="RowTitles-Detail 3 2 3 9" xfId="20592"/>
    <cellStyle name="RowTitles-Detail 3 2 3_STUD aligned by INSTIT" xfId="20593"/>
    <cellStyle name="RowTitles-Detail 3 2 4" xfId="20594"/>
    <cellStyle name="RowTitles-Detail 3 2 4 2" xfId="20595"/>
    <cellStyle name="RowTitles-Detail 3 2 4 2 2" xfId="20596"/>
    <cellStyle name="RowTitles-Detail 3 2 4 2 2 2" xfId="20597"/>
    <cellStyle name="RowTitles-Detail 3 2 4 2 2 2 2" xfId="20598"/>
    <cellStyle name="RowTitles-Detail 3 2 4 2 2 2_Tertiary Salaries Survey" xfId="20599"/>
    <cellStyle name="RowTitles-Detail 3 2 4 2 2 3" xfId="20600"/>
    <cellStyle name="RowTitles-Detail 3 2 4 2 2_Tertiary Salaries Survey" xfId="20601"/>
    <cellStyle name="RowTitles-Detail 3 2 4 2 3" xfId="20602"/>
    <cellStyle name="RowTitles-Detail 3 2 4 2 3 2" xfId="20603"/>
    <cellStyle name="RowTitles-Detail 3 2 4 2 3 2 2" xfId="20604"/>
    <cellStyle name="RowTitles-Detail 3 2 4 2 3 2_Tertiary Salaries Survey" xfId="20605"/>
    <cellStyle name="RowTitles-Detail 3 2 4 2 3 3" xfId="20606"/>
    <cellStyle name="RowTitles-Detail 3 2 4 2 3_Tertiary Salaries Survey" xfId="20607"/>
    <cellStyle name="RowTitles-Detail 3 2 4 2 4" xfId="20608"/>
    <cellStyle name="RowTitles-Detail 3 2 4 2 5" xfId="20609"/>
    <cellStyle name="RowTitles-Detail 3 2 4 2 5 2" xfId="20610"/>
    <cellStyle name="RowTitles-Detail 3 2 4 2 5_Tertiary Salaries Survey" xfId="20611"/>
    <cellStyle name="RowTitles-Detail 3 2 4 2 6" xfId="20612"/>
    <cellStyle name="RowTitles-Detail 3 2 4 2_Tertiary Salaries Survey" xfId="20613"/>
    <cellStyle name="RowTitles-Detail 3 2 4 3" xfId="20614"/>
    <cellStyle name="RowTitles-Detail 3 2 4 3 2" xfId="20615"/>
    <cellStyle name="RowTitles-Detail 3 2 4 3 2 2" xfId="20616"/>
    <cellStyle name="RowTitles-Detail 3 2 4 3 2 2 2" xfId="20617"/>
    <cellStyle name="RowTitles-Detail 3 2 4 3 2 2_Tertiary Salaries Survey" xfId="20618"/>
    <cellStyle name="RowTitles-Detail 3 2 4 3 2 3" xfId="20619"/>
    <cellStyle name="RowTitles-Detail 3 2 4 3 2_Tertiary Salaries Survey" xfId="20620"/>
    <cellStyle name="RowTitles-Detail 3 2 4 3 3" xfId="20621"/>
    <cellStyle name="RowTitles-Detail 3 2 4 3 3 2" xfId="20622"/>
    <cellStyle name="RowTitles-Detail 3 2 4 3 3 2 2" xfId="20623"/>
    <cellStyle name="RowTitles-Detail 3 2 4 3 3 2_Tertiary Salaries Survey" xfId="20624"/>
    <cellStyle name="RowTitles-Detail 3 2 4 3 3 3" xfId="20625"/>
    <cellStyle name="RowTitles-Detail 3 2 4 3 3_Tertiary Salaries Survey" xfId="20626"/>
    <cellStyle name="RowTitles-Detail 3 2 4 3 4" xfId="20627"/>
    <cellStyle name="RowTitles-Detail 3 2 4 3 5" xfId="20628"/>
    <cellStyle name="RowTitles-Detail 3 2 4 3_Tertiary Salaries Survey" xfId="20629"/>
    <cellStyle name="RowTitles-Detail 3 2 4 4" xfId="20630"/>
    <cellStyle name="RowTitles-Detail 3 2 4 4 2" xfId="20631"/>
    <cellStyle name="RowTitles-Detail 3 2 4 4 2 2" xfId="20632"/>
    <cellStyle name="RowTitles-Detail 3 2 4 4 2 2 2" xfId="20633"/>
    <cellStyle name="RowTitles-Detail 3 2 4 4 2 2_Tertiary Salaries Survey" xfId="20634"/>
    <cellStyle name="RowTitles-Detail 3 2 4 4 2 3" xfId="20635"/>
    <cellStyle name="RowTitles-Detail 3 2 4 4 2_Tertiary Salaries Survey" xfId="20636"/>
    <cellStyle name="RowTitles-Detail 3 2 4 4 3" xfId="20637"/>
    <cellStyle name="RowTitles-Detail 3 2 4 4 3 2" xfId="20638"/>
    <cellStyle name="RowTitles-Detail 3 2 4 4 3 2 2" xfId="20639"/>
    <cellStyle name="RowTitles-Detail 3 2 4 4 3 2_Tertiary Salaries Survey" xfId="20640"/>
    <cellStyle name="RowTitles-Detail 3 2 4 4 3 3" xfId="20641"/>
    <cellStyle name="RowTitles-Detail 3 2 4 4 3_Tertiary Salaries Survey" xfId="20642"/>
    <cellStyle name="RowTitles-Detail 3 2 4 4 4" xfId="20643"/>
    <cellStyle name="RowTitles-Detail 3 2 4 4 4 2" xfId="20644"/>
    <cellStyle name="RowTitles-Detail 3 2 4 4 4_Tertiary Salaries Survey" xfId="20645"/>
    <cellStyle name="RowTitles-Detail 3 2 4 4 5" xfId="20646"/>
    <cellStyle name="RowTitles-Detail 3 2 4 4_Tertiary Salaries Survey" xfId="20647"/>
    <cellStyle name="RowTitles-Detail 3 2 4 5" xfId="20648"/>
    <cellStyle name="RowTitles-Detail 3 2 4 5 2" xfId="20649"/>
    <cellStyle name="RowTitles-Detail 3 2 4 5 2 2" xfId="20650"/>
    <cellStyle name="RowTitles-Detail 3 2 4 5 2 2 2" xfId="20651"/>
    <cellStyle name="RowTitles-Detail 3 2 4 5 2 2_Tertiary Salaries Survey" xfId="20652"/>
    <cellStyle name="RowTitles-Detail 3 2 4 5 2 3" xfId="20653"/>
    <cellStyle name="RowTitles-Detail 3 2 4 5 2_Tertiary Salaries Survey" xfId="20654"/>
    <cellStyle name="RowTitles-Detail 3 2 4 5 3" xfId="20655"/>
    <cellStyle name="RowTitles-Detail 3 2 4 5 3 2" xfId="20656"/>
    <cellStyle name="RowTitles-Detail 3 2 4 5 3 2 2" xfId="20657"/>
    <cellStyle name="RowTitles-Detail 3 2 4 5 3 2_Tertiary Salaries Survey" xfId="20658"/>
    <cellStyle name="RowTitles-Detail 3 2 4 5 3 3" xfId="20659"/>
    <cellStyle name="RowTitles-Detail 3 2 4 5 3_Tertiary Salaries Survey" xfId="20660"/>
    <cellStyle name="RowTitles-Detail 3 2 4 5 4" xfId="20661"/>
    <cellStyle name="RowTitles-Detail 3 2 4 5 4 2" xfId="20662"/>
    <cellStyle name="RowTitles-Detail 3 2 4 5 4_Tertiary Salaries Survey" xfId="20663"/>
    <cellStyle name="RowTitles-Detail 3 2 4 5 5" xfId="20664"/>
    <cellStyle name="RowTitles-Detail 3 2 4 5_Tertiary Salaries Survey" xfId="20665"/>
    <cellStyle name="RowTitles-Detail 3 2 4 6" xfId="20666"/>
    <cellStyle name="RowTitles-Detail 3 2 4 6 2" xfId="20667"/>
    <cellStyle name="RowTitles-Detail 3 2 4 6 2 2" xfId="20668"/>
    <cellStyle name="RowTitles-Detail 3 2 4 6 2 2 2" xfId="20669"/>
    <cellStyle name="RowTitles-Detail 3 2 4 6 2 2_Tertiary Salaries Survey" xfId="20670"/>
    <cellStyle name="RowTitles-Detail 3 2 4 6 2 3" xfId="20671"/>
    <cellStyle name="RowTitles-Detail 3 2 4 6 2_Tertiary Salaries Survey" xfId="20672"/>
    <cellStyle name="RowTitles-Detail 3 2 4 6 3" xfId="20673"/>
    <cellStyle name="RowTitles-Detail 3 2 4 6 3 2" xfId="20674"/>
    <cellStyle name="RowTitles-Detail 3 2 4 6 3 2 2" xfId="20675"/>
    <cellStyle name="RowTitles-Detail 3 2 4 6 3 2_Tertiary Salaries Survey" xfId="20676"/>
    <cellStyle name="RowTitles-Detail 3 2 4 6 3 3" xfId="20677"/>
    <cellStyle name="RowTitles-Detail 3 2 4 6 3_Tertiary Salaries Survey" xfId="20678"/>
    <cellStyle name="RowTitles-Detail 3 2 4 6 4" xfId="20679"/>
    <cellStyle name="RowTitles-Detail 3 2 4 6 4 2" xfId="20680"/>
    <cellStyle name="RowTitles-Detail 3 2 4 6 4_Tertiary Salaries Survey" xfId="20681"/>
    <cellStyle name="RowTitles-Detail 3 2 4 6 5" xfId="20682"/>
    <cellStyle name="RowTitles-Detail 3 2 4 6_Tertiary Salaries Survey" xfId="20683"/>
    <cellStyle name="RowTitles-Detail 3 2 4 7" xfId="20684"/>
    <cellStyle name="RowTitles-Detail 3 2 4 7 2" xfId="20685"/>
    <cellStyle name="RowTitles-Detail 3 2 4 7 2 2" xfId="20686"/>
    <cellStyle name="RowTitles-Detail 3 2 4 7 2_Tertiary Salaries Survey" xfId="20687"/>
    <cellStyle name="RowTitles-Detail 3 2 4 7 3" xfId="20688"/>
    <cellStyle name="RowTitles-Detail 3 2 4 7_Tertiary Salaries Survey" xfId="20689"/>
    <cellStyle name="RowTitles-Detail 3 2 4 8" xfId="20690"/>
    <cellStyle name="RowTitles-Detail 3 2 4 8 2" xfId="20691"/>
    <cellStyle name="RowTitles-Detail 3 2 4 8 2 2" xfId="20692"/>
    <cellStyle name="RowTitles-Detail 3 2 4 8 2_Tertiary Salaries Survey" xfId="20693"/>
    <cellStyle name="RowTitles-Detail 3 2 4 8 3" xfId="20694"/>
    <cellStyle name="RowTitles-Detail 3 2 4 8_Tertiary Salaries Survey" xfId="20695"/>
    <cellStyle name="RowTitles-Detail 3 2 4 9" xfId="20696"/>
    <cellStyle name="RowTitles-Detail 3 2 4_STUD aligned by INSTIT" xfId="20697"/>
    <cellStyle name="RowTitles-Detail 3 2 5" xfId="20698"/>
    <cellStyle name="RowTitles-Detail 3 2 5 2" xfId="20699"/>
    <cellStyle name="RowTitles-Detail 3 2 5 2 2" xfId="20700"/>
    <cellStyle name="RowTitles-Detail 3 2 5 2 2 2" xfId="20701"/>
    <cellStyle name="RowTitles-Detail 3 2 5 2 2 2 2" xfId="20702"/>
    <cellStyle name="RowTitles-Detail 3 2 5 2 2 2_Tertiary Salaries Survey" xfId="20703"/>
    <cellStyle name="RowTitles-Detail 3 2 5 2 2 3" xfId="20704"/>
    <cellStyle name="RowTitles-Detail 3 2 5 2 2_Tertiary Salaries Survey" xfId="20705"/>
    <cellStyle name="RowTitles-Detail 3 2 5 2 3" xfId="20706"/>
    <cellStyle name="RowTitles-Detail 3 2 5 2 3 2" xfId="20707"/>
    <cellStyle name="RowTitles-Detail 3 2 5 2 3 2 2" xfId="20708"/>
    <cellStyle name="RowTitles-Detail 3 2 5 2 3 2_Tertiary Salaries Survey" xfId="20709"/>
    <cellStyle name="RowTitles-Detail 3 2 5 2 3 3" xfId="20710"/>
    <cellStyle name="RowTitles-Detail 3 2 5 2 3_Tertiary Salaries Survey" xfId="20711"/>
    <cellStyle name="RowTitles-Detail 3 2 5 2 4" xfId="20712"/>
    <cellStyle name="RowTitles-Detail 3 2 5 2 5" xfId="20713"/>
    <cellStyle name="RowTitles-Detail 3 2 5 2 5 2" xfId="20714"/>
    <cellStyle name="RowTitles-Detail 3 2 5 2 5_Tertiary Salaries Survey" xfId="20715"/>
    <cellStyle name="RowTitles-Detail 3 2 5 2 6" xfId="20716"/>
    <cellStyle name="RowTitles-Detail 3 2 5 2_Tertiary Salaries Survey" xfId="20717"/>
    <cellStyle name="RowTitles-Detail 3 2 5 3" xfId="20718"/>
    <cellStyle name="RowTitles-Detail 3 2 5 3 2" xfId="20719"/>
    <cellStyle name="RowTitles-Detail 3 2 5 3 2 2" xfId="20720"/>
    <cellStyle name="RowTitles-Detail 3 2 5 3 2 2 2" xfId="20721"/>
    <cellStyle name="RowTitles-Detail 3 2 5 3 2 2_Tertiary Salaries Survey" xfId="20722"/>
    <cellStyle name="RowTitles-Detail 3 2 5 3 2 3" xfId="20723"/>
    <cellStyle name="RowTitles-Detail 3 2 5 3 2_Tertiary Salaries Survey" xfId="20724"/>
    <cellStyle name="RowTitles-Detail 3 2 5 3 3" xfId="20725"/>
    <cellStyle name="RowTitles-Detail 3 2 5 3 3 2" xfId="20726"/>
    <cellStyle name="RowTitles-Detail 3 2 5 3 3 2 2" xfId="20727"/>
    <cellStyle name="RowTitles-Detail 3 2 5 3 3 2_Tertiary Salaries Survey" xfId="20728"/>
    <cellStyle name="RowTitles-Detail 3 2 5 3 3 3" xfId="20729"/>
    <cellStyle name="RowTitles-Detail 3 2 5 3 3_Tertiary Salaries Survey" xfId="20730"/>
    <cellStyle name="RowTitles-Detail 3 2 5 3 4" xfId="20731"/>
    <cellStyle name="RowTitles-Detail 3 2 5 3 5" xfId="20732"/>
    <cellStyle name="RowTitles-Detail 3 2 5 3_Tertiary Salaries Survey" xfId="20733"/>
    <cellStyle name="RowTitles-Detail 3 2 5 4" xfId="20734"/>
    <cellStyle name="RowTitles-Detail 3 2 5 4 2" xfId="20735"/>
    <cellStyle name="RowTitles-Detail 3 2 5 4 2 2" xfId="20736"/>
    <cellStyle name="RowTitles-Detail 3 2 5 4 2 2 2" xfId="20737"/>
    <cellStyle name="RowTitles-Detail 3 2 5 4 2 2_Tertiary Salaries Survey" xfId="20738"/>
    <cellStyle name="RowTitles-Detail 3 2 5 4 2 3" xfId="20739"/>
    <cellStyle name="RowTitles-Detail 3 2 5 4 2_Tertiary Salaries Survey" xfId="20740"/>
    <cellStyle name="RowTitles-Detail 3 2 5 4 3" xfId="20741"/>
    <cellStyle name="RowTitles-Detail 3 2 5 4 3 2" xfId="20742"/>
    <cellStyle name="RowTitles-Detail 3 2 5 4 3 2 2" xfId="20743"/>
    <cellStyle name="RowTitles-Detail 3 2 5 4 3 2_Tertiary Salaries Survey" xfId="20744"/>
    <cellStyle name="RowTitles-Detail 3 2 5 4 3 3" xfId="20745"/>
    <cellStyle name="RowTitles-Detail 3 2 5 4 3_Tertiary Salaries Survey" xfId="20746"/>
    <cellStyle name="RowTitles-Detail 3 2 5 4 4" xfId="20747"/>
    <cellStyle name="RowTitles-Detail 3 2 5 4 5" xfId="20748"/>
    <cellStyle name="RowTitles-Detail 3 2 5 4 5 2" xfId="20749"/>
    <cellStyle name="RowTitles-Detail 3 2 5 4 5_Tertiary Salaries Survey" xfId="20750"/>
    <cellStyle name="RowTitles-Detail 3 2 5 4 6" xfId="20751"/>
    <cellStyle name="RowTitles-Detail 3 2 5 4_Tertiary Salaries Survey" xfId="20752"/>
    <cellStyle name="RowTitles-Detail 3 2 5 5" xfId="20753"/>
    <cellStyle name="RowTitles-Detail 3 2 5 5 2" xfId="20754"/>
    <cellStyle name="RowTitles-Detail 3 2 5 5 2 2" xfId="20755"/>
    <cellStyle name="RowTitles-Detail 3 2 5 5 2 2 2" xfId="20756"/>
    <cellStyle name="RowTitles-Detail 3 2 5 5 2 2_Tertiary Salaries Survey" xfId="20757"/>
    <cellStyle name="RowTitles-Detail 3 2 5 5 2 3" xfId="20758"/>
    <cellStyle name="RowTitles-Detail 3 2 5 5 2_Tertiary Salaries Survey" xfId="20759"/>
    <cellStyle name="RowTitles-Detail 3 2 5 5 3" xfId="20760"/>
    <cellStyle name="RowTitles-Detail 3 2 5 5 3 2" xfId="20761"/>
    <cellStyle name="RowTitles-Detail 3 2 5 5 3 2 2" xfId="20762"/>
    <cellStyle name="RowTitles-Detail 3 2 5 5 3 2_Tertiary Salaries Survey" xfId="20763"/>
    <cellStyle name="RowTitles-Detail 3 2 5 5 3 3" xfId="20764"/>
    <cellStyle name="RowTitles-Detail 3 2 5 5 3_Tertiary Salaries Survey" xfId="20765"/>
    <cellStyle name="RowTitles-Detail 3 2 5 5 4" xfId="20766"/>
    <cellStyle name="RowTitles-Detail 3 2 5 5 4 2" xfId="20767"/>
    <cellStyle name="RowTitles-Detail 3 2 5 5 4_Tertiary Salaries Survey" xfId="20768"/>
    <cellStyle name="RowTitles-Detail 3 2 5 5 5" xfId="20769"/>
    <cellStyle name="RowTitles-Detail 3 2 5 5_Tertiary Salaries Survey" xfId="20770"/>
    <cellStyle name="RowTitles-Detail 3 2 5 6" xfId="20771"/>
    <cellStyle name="RowTitles-Detail 3 2 5 6 2" xfId="20772"/>
    <cellStyle name="RowTitles-Detail 3 2 5 6 2 2" xfId="20773"/>
    <cellStyle name="RowTitles-Detail 3 2 5 6 2 2 2" xfId="20774"/>
    <cellStyle name="RowTitles-Detail 3 2 5 6 2 2_Tertiary Salaries Survey" xfId="20775"/>
    <cellStyle name="RowTitles-Detail 3 2 5 6 2 3" xfId="20776"/>
    <cellStyle name="RowTitles-Detail 3 2 5 6 2_Tertiary Salaries Survey" xfId="20777"/>
    <cellStyle name="RowTitles-Detail 3 2 5 6 3" xfId="20778"/>
    <cellStyle name="RowTitles-Detail 3 2 5 6 3 2" xfId="20779"/>
    <cellStyle name="RowTitles-Detail 3 2 5 6 3 2 2" xfId="20780"/>
    <cellStyle name="RowTitles-Detail 3 2 5 6 3 2_Tertiary Salaries Survey" xfId="20781"/>
    <cellStyle name="RowTitles-Detail 3 2 5 6 3 3" xfId="20782"/>
    <cellStyle name="RowTitles-Detail 3 2 5 6 3_Tertiary Salaries Survey" xfId="20783"/>
    <cellStyle name="RowTitles-Detail 3 2 5 6 4" xfId="20784"/>
    <cellStyle name="RowTitles-Detail 3 2 5 6 4 2" xfId="20785"/>
    <cellStyle name="RowTitles-Detail 3 2 5 6 4_Tertiary Salaries Survey" xfId="20786"/>
    <cellStyle name="RowTitles-Detail 3 2 5 6 5" xfId="20787"/>
    <cellStyle name="RowTitles-Detail 3 2 5 6_Tertiary Salaries Survey" xfId="20788"/>
    <cellStyle name="RowTitles-Detail 3 2 5 7" xfId="20789"/>
    <cellStyle name="RowTitles-Detail 3 2 5 7 2" xfId="20790"/>
    <cellStyle name="RowTitles-Detail 3 2 5 7 2 2" xfId="20791"/>
    <cellStyle name="RowTitles-Detail 3 2 5 7 2_Tertiary Salaries Survey" xfId="20792"/>
    <cellStyle name="RowTitles-Detail 3 2 5 7 3" xfId="20793"/>
    <cellStyle name="RowTitles-Detail 3 2 5 7_Tertiary Salaries Survey" xfId="20794"/>
    <cellStyle name="RowTitles-Detail 3 2 5 8" xfId="20795"/>
    <cellStyle name="RowTitles-Detail 3 2 5 9" xfId="20796"/>
    <cellStyle name="RowTitles-Detail 3 2 5_STUD aligned by INSTIT" xfId="20797"/>
    <cellStyle name="RowTitles-Detail 3 2 6" xfId="20798"/>
    <cellStyle name="RowTitles-Detail 3 2 6 2" xfId="20799"/>
    <cellStyle name="RowTitles-Detail 3 2 6 2 2" xfId="20800"/>
    <cellStyle name="RowTitles-Detail 3 2 6 2 2 2" xfId="20801"/>
    <cellStyle name="RowTitles-Detail 3 2 6 2 2_Tertiary Salaries Survey" xfId="20802"/>
    <cellStyle name="RowTitles-Detail 3 2 6 2 3" xfId="20803"/>
    <cellStyle name="RowTitles-Detail 3 2 6 2_Tertiary Salaries Survey" xfId="20804"/>
    <cellStyle name="RowTitles-Detail 3 2 6 3" xfId="20805"/>
    <cellStyle name="RowTitles-Detail 3 2 6 3 2" xfId="20806"/>
    <cellStyle name="RowTitles-Detail 3 2 6 3 2 2" xfId="20807"/>
    <cellStyle name="RowTitles-Detail 3 2 6 3 2_Tertiary Salaries Survey" xfId="20808"/>
    <cellStyle name="RowTitles-Detail 3 2 6 3 3" xfId="20809"/>
    <cellStyle name="RowTitles-Detail 3 2 6 3_Tertiary Salaries Survey" xfId="20810"/>
    <cellStyle name="RowTitles-Detail 3 2 6 4" xfId="20811"/>
    <cellStyle name="RowTitles-Detail 3 2 6 5" xfId="20812"/>
    <cellStyle name="RowTitles-Detail 3 2 6 5 2" xfId="20813"/>
    <cellStyle name="RowTitles-Detail 3 2 6 5_Tertiary Salaries Survey" xfId="20814"/>
    <cellStyle name="RowTitles-Detail 3 2 6 6" xfId="20815"/>
    <cellStyle name="RowTitles-Detail 3 2 6_Tertiary Salaries Survey" xfId="20816"/>
    <cellStyle name="RowTitles-Detail 3 2 7" xfId="20817"/>
    <cellStyle name="RowTitles-Detail 3 2 7 2" xfId="20818"/>
    <cellStyle name="RowTitles-Detail 3 2 7 2 2" xfId="20819"/>
    <cellStyle name="RowTitles-Detail 3 2 7 2 2 2" xfId="20820"/>
    <cellStyle name="RowTitles-Detail 3 2 7 2 2_Tertiary Salaries Survey" xfId="20821"/>
    <cellStyle name="RowTitles-Detail 3 2 7 2 3" xfId="20822"/>
    <cellStyle name="RowTitles-Detail 3 2 7 2_Tertiary Salaries Survey" xfId="20823"/>
    <cellStyle name="RowTitles-Detail 3 2 7 3" xfId="20824"/>
    <cellStyle name="RowTitles-Detail 3 2 7 3 2" xfId="20825"/>
    <cellStyle name="RowTitles-Detail 3 2 7 3 2 2" xfId="20826"/>
    <cellStyle name="RowTitles-Detail 3 2 7 3 2_Tertiary Salaries Survey" xfId="20827"/>
    <cellStyle name="RowTitles-Detail 3 2 7 3 3" xfId="20828"/>
    <cellStyle name="RowTitles-Detail 3 2 7 3_Tertiary Salaries Survey" xfId="20829"/>
    <cellStyle name="RowTitles-Detail 3 2 7 4" xfId="20830"/>
    <cellStyle name="RowTitles-Detail 3 2 7 5" xfId="20831"/>
    <cellStyle name="RowTitles-Detail 3 2 7_Tertiary Salaries Survey" xfId="20832"/>
    <cellStyle name="RowTitles-Detail 3 2 8" xfId="20833"/>
    <cellStyle name="RowTitles-Detail 3 2 8 2" xfId="20834"/>
    <cellStyle name="RowTitles-Detail 3 2 8 2 2" xfId="20835"/>
    <cellStyle name="RowTitles-Detail 3 2 8 2 2 2" xfId="20836"/>
    <cellStyle name="RowTitles-Detail 3 2 8 2 2_Tertiary Salaries Survey" xfId="20837"/>
    <cellStyle name="RowTitles-Detail 3 2 8 2 3" xfId="20838"/>
    <cellStyle name="RowTitles-Detail 3 2 8 2_Tertiary Salaries Survey" xfId="20839"/>
    <cellStyle name="RowTitles-Detail 3 2 8 3" xfId="20840"/>
    <cellStyle name="RowTitles-Detail 3 2 8 3 2" xfId="20841"/>
    <cellStyle name="RowTitles-Detail 3 2 8 3 2 2" xfId="20842"/>
    <cellStyle name="RowTitles-Detail 3 2 8 3 2_Tertiary Salaries Survey" xfId="20843"/>
    <cellStyle name="RowTitles-Detail 3 2 8 3 3" xfId="20844"/>
    <cellStyle name="RowTitles-Detail 3 2 8 3_Tertiary Salaries Survey" xfId="20845"/>
    <cellStyle name="RowTitles-Detail 3 2 8 4" xfId="20846"/>
    <cellStyle name="RowTitles-Detail 3 2 8 5" xfId="20847"/>
    <cellStyle name="RowTitles-Detail 3 2 8 5 2" xfId="20848"/>
    <cellStyle name="RowTitles-Detail 3 2 8 5_Tertiary Salaries Survey" xfId="20849"/>
    <cellStyle name="RowTitles-Detail 3 2 8 6" xfId="20850"/>
    <cellStyle name="RowTitles-Detail 3 2 8_Tertiary Salaries Survey" xfId="20851"/>
    <cellStyle name="RowTitles-Detail 3 2 9" xfId="20852"/>
    <cellStyle name="RowTitles-Detail 3 2 9 2" xfId="20853"/>
    <cellStyle name="RowTitles-Detail 3 2 9 2 2" xfId="20854"/>
    <cellStyle name="RowTitles-Detail 3 2 9 2 2 2" xfId="20855"/>
    <cellStyle name="RowTitles-Detail 3 2 9 2 2_Tertiary Salaries Survey" xfId="20856"/>
    <cellStyle name="RowTitles-Detail 3 2 9 2 3" xfId="20857"/>
    <cellStyle name="RowTitles-Detail 3 2 9 2_Tertiary Salaries Survey" xfId="20858"/>
    <cellStyle name="RowTitles-Detail 3 2 9 3" xfId="20859"/>
    <cellStyle name="RowTitles-Detail 3 2 9 3 2" xfId="20860"/>
    <cellStyle name="RowTitles-Detail 3 2 9 3 2 2" xfId="20861"/>
    <cellStyle name="RowTitles-Detail 3 2 9 3 2_Tertiary Salaries Survey" xfId="20862"/>
    <cellStyle name="RowTitles-Detail 3 2 9 3 3" xfId="20863"/>
    <cellStyle name="RowTitles-Detail 3 2 9 3_Tertiary Salaries Survey" xfId="20864"/>
    <cellStyle name="RowTitles-Detail 3 2 9 4" xfId="20865"/>
    <cellStyle name="RowTitles-Detail 3 2 9 4 2" xfId="20866"/>
    <cellStyle name="RowTitles-Detail 3 2 9 4_Tertiary Salaries Survey" xfId="20867"/>
    <cellStyle name="RowTitles-Detail 3 2 9 5" xfId="20868"/>
    <cellStyle name="RowTitles-Detail 3 2 9_Tertiary Salaries Survey" xfId="20869"/>
    <cellStyle name="RowTitles-Detail 3 2_STUD aligned by INSTIT" xfId="20870"/>
    <cellStyle name="RowTitles-Detail 3 3" xfId="20871"/>
    <cellStyle name="RowTitles-Detail 3 3 10" xfId="20872"/>
    <cellStyle name="RowTitles-Detail 3 3 10 2" xfId="20873"/>
    <cellStyle name="RowTitles-Detail 3 3 10 2 2" xfId="20874"/>
    <cellStyle name="RowTitles-Detail 3 3 10 2_Tertiary Salaries Survey" xfId="20875"/>
    <cellStyle name="RowTitles-Detail 3 3 10 3" xfId="20876"/>
    <cellStyle name="RowTitles-Detail 3 3 10_Tertiary Salaries Survey" xfId="20877"/>
    <cellStyle name="RowTitles-Detail 3 3 11" xfId="20878"/>
    <cellStyle name="RowTitles-Detail 3 3 12" xfId="20879"/>
    <cellStyle name="RowTitles-Detail 3 3 2" xfId="20880"/>
    <cellStyle name="RowTitles-Detail 3 3 2 2" xfId="20881"/>
    <cellStyle name="RowTitles-Detail 3 3 2 2 2" xfId="20882"/>
    <cellStyle name="RowTitles-Detail 3 3 2 2 2 2" xfId="20883"/>
    <cellStyle name="RowTitles-Detail 3 3 2 2 2 2 2" xfId="20884"/>
    <cellStyle name="RowTitles-Detail 3 3 2 2 2 2_Tertiary Salaries Survey" xfId="20885"/>
    <cellStyle name="RowTitles-Detail 3 3 2 2 2 3" xfId="20886"/>
    <cellStyle name="RowTitles-Detail 3 3 2 2 2_Tertiary Salaries Survey" xfId="20887"/>
    <cellStyle name="RowTitles-Detail 3 3 2 2 3" xfId="20888"/>
    <cellStyle name="RowTitles-Detail 3 3 2 2 3 2" xfId="20889"/>
    <cellStyle name="RowTitles-Detail 3 3 2 2 3 2 2" xfId="20890"/>
    <cellStyle name="RowTitles-Detail 3 3 2 2 3 2_Tertiary Salaries Survey" xfId="20891"/>
    <cellStyle name="RowTitles-Detail 3 3 2 2 3 3" xfId="20892"/>
    <cellStyle name="RowTitles-Detail 3 3 2 2 3_Tertiary Salaries Survey" xfId="20893"/>
    <cellStyle name="RowTitles-Detail 3 3 2 2 4" xfId="20894"/>
    <cellStyle name="RowTitles-Detail 3 3 2 2 5" xfId="20895"/>
    <cellStyle name="RowTitles-Detail 3 3 2 2_Tertiary Salaries Survey" xfId="20896"/>
    <cellStyle name="RowTitles-Detail 3 3 2 3" xfId="20897"/>
    <cellStyle name="RowTitles-Detail 3 3 2 3 2" xfId="20898"/>
    <cellStyle name="RowTitles-Detail 3 3 2 3 2 2" xfId="20899"/>
    <cellStyle name="RowTitles-Detail 3 3 2 3 2 2 2" xfId="20900"/>
    <cellStyle name="RowTitles-Detail 3 3 2 3 2 2_Tertiary Salaries Survey" xfId="20901"/>
    <cellStyle name="RowTitles-Detail 3 3 2 3 2 3" xfId="20902"/>
    <cellStyle name="RowTitles-Detail 3 3 2 3 2_Tertiary Salaries Survey" xfId="20903"/>
    <cellStyle name="RowTitles-Detail 3 3 2 3 3" xfId="20904"/>
    <cellStyle name="RowTitles-Detail 3 3 2 3 3 2" xfId="20905"/>
    <cellStyle name="RowTitles-Detail 3 3 2 3 3 2 2" xfId="20906"/>
    <cellStyle name="RowTitles-Detail 3 3 2 3 3 2_Tertiary Salaries Survey" xfId="20907"/>
    <cellStyle name="RowTitles-Detail 3 3 2 3 3 3" xfId="20908"/>
    <cellStyle name="RowTitles-Detail 3 3 2 3 3_Tertiary Salaries Survey" xfId="20909"/>
    <cellStyle name="RowTitles-Detail 3 3 2 3 4" xfId="20910"/>
    <cellStyle name="RowTitles-Detail 3 3 2 3 5" xfId="20911"/>
    <cellStyle name="RowTitles-Detail 3 3 2 3 5 2" xfId="20912"/>
    <cellStyle name="RowTitles-Detail 3 3 2 3 5_Tertiary Salaries Survey" xfId="20913"/>
    <cellStyle name="RowTitles-Detail 3 3 2 3 6" xfId="20914"/>
    <cellStyle name="RowTitles-Detail 3 3 2 3_Tertiary Salaries Survey" xfId="20915"/>
    <cellStyle name="RowTitles-Detail 3 3 2 4" xfId="20916"/>
    <cellStyle name="RowTitles-Detail 3 3 2 4 2" xfId="20917"/>
    <cellStyle name="RowTitles-Detail 3 3 2 4 2 2" xfId="20918"/>
    <cellStyle name="RowTitles-Detail 3 3 2 4 2 2 2" xfId="20919"/>
    <cellStyle name="RowTitles-Detail 3 3 2 4 2 2_Tertiary Salaries Survey" xfId="20920"/>
    <cellStyle name="RowTitles-Detail 3 3 2 4 2 3" xfId="20921"/>
    <cellStyle name="RowTitles-Detail 3 3 2 4 2_Tertiary Salaries Survey" xfId="20922"/>
    <cellStyle name="RowTitles-Detail 3 3 2 4 3" xfId="20923"/>
    <cellStyle name="RowTitles-Detail 3 3 2 4 3 2" xfId="20924"/>
    <cellStyle name="RowTitles-Detail 3 3 2 4 3 2 2" xfId="20925"/>
    <cellStyle name="RowTitles-Detail 3 3 2 4 3 2_Tertiary Salaries Survey" xfId="20926"/>
    <cellStyle name="RowTitles-Detail 3 3 2 4 3 3" xfId="20927"/>
    <cellStyle name="RowTitles-Detail 3 3 2 4 3_Tertiary Salaries Survey" xfId="20928"/>
    <cellStyle name="RowTitles-Detail 3 3 2 4 4" xfId="20929"/>
    <cellStyle name="RowTitles-Detail 3 3 2 4 4 2" xfId="20930"/>
    <cellStyle name="RowTitles-Detail 3 3 2 4 4_Tertiary Salaries Survey" xfId="20931"/>
    <cellStyle name="RowTitles-Detail 3 3 2 4 5" xfId="20932"/>
    <cellStyle name="RowTitles-Detail 3 3 2 4_Tertiary Salaries Survey" xfId="20933"/>
    <cellStyle name="RowTitles-Detail 3 3 2 5" xfId="20934"/>
    <cellStyle name="RowTitles-Detail 3 3 2 5 2" xfId="20935"/>
    <cellStyle name="RowTitles-Detail 3 3 2 5 2 2" xfId="20936"/>
    <cellStyle name="RowTitles-Detail 3 3 2 5 2 2 2" xfId="20937"/>
    <cellStyle name="RowTitles-Detail 3 3 2 5 2 2_Tertiary Salaries Survey" xfId="20938"/>
    <cellStyle name="RowTitles-Detail 3 3 2 5 2 3" xfId="20939"/>
    <cellStyle name="RowTitles-Detail 3 3 2 5 2_Tertiary Salaries Survey" xfId="20940"/>
    <cellStyle name="RowTitles-Detail 3 3 2 5 3" xfId="20941"/>
    <cellStyle name="RowTitles-Detail 3 3 2 5 3 2" xfId="20942"/>
    <cellStyle name="RowTitles-Detail 3 3 2 5 3 2 2" xfId="20943"/>
    <cellStyle name="RowTitles-Detail 3 3 2 5 3 2_Tertiary Salaries Survey" xfId="20944"/>
    <cellStyle name="RowTitles-Detail 3 3 2 5 3 3" xfId="20945"/>
    <cellStyle name="RowTitles-Detail 3 3 2 5 3_Tertiary Salaries Survey" xfId="20946"/>
    <cellStyle name="RowTitles-Detail 3 3 2 5 4" xfId="20947"/>
    <cellStyle name="RowTitles-Detail 3 3 2 5 4 2" xfId="20948"/>
    <cellStyle name="RowTitles-Detail 3 3 2 5 4_Tertiary Salaries Survey" xfId="20949"/>
    <cellStyle name="RowTitles-Detail 3 3 2 5 5" xfId="20950"/>
    <cellStyle name="RowTitles-Detail 3 3 2 5_Tertiary Salaries Survey" xfId="20951"/>
    <cellStyle name="RowTitles-Detail 3 3 2 6" xfId="20952"/>
    <cellStyle name="RowTitles-Detail 3 3 2 6 2" xfId="20953"/>
    <cellStyle name="RowTitles-Detail 3 3 2 6 2 2" xfId="20954"/>
    <cellStyle name="RowTitles-Detail 3 3 2 6 2 2 2" xfId="20955"/>
    <cellStyle name="RowTitles-Detail 3 3 2 6 2 2_Tertiary Salaries Survey" xfId="20956"/>
    <cellStyle name="RowTitles-Detail 3 3 2 6 2 3" xfId="20957"/>
    <cellStyle name="RowTitles-Detail 3 3 2 6 2_Tertiary Salaries Survey" xfId="20958"/>
    <cellStyle name="RowTitles-Detail 3 3 2 6 3" xfId="20959"/>
    <cellStyle name="RowTitles-Detail 3 3 2 6 3 2" xfId="20960"/>
    <cellStyle name="RowTitles-Detail 3 3 2 6 3 2 2" xfId="20961"/>
    <cellStyle name="RowTitles-Detail 3 3 2 6 3 2_Tertiary Salaries Survey" xfId="20962"/>
    <cellStyle name="RowTitles-Detail 3 3 2 6 3 3" xfId="20963"/>
    <cellStyle name="RowTitles-Detail 3 3 2 6 3_Tertiary Salaries Survey" xfId="20964"/>
    <cellStyle name="RowTitles-Detail 3 3 2 6 4" xfId="20965"/>
    <cellStyle name="RowTitles-Detail 3 3 2 6 4 2" xfId="20966"/>
    <cellStyle name="RowTitles-Detail 3 3 2 6 4_Tertiary Salaries Survey" xfId="20967"/>
    <cellStyle name="RowTitles-Detail 3 3 2 6 5" xfId="20968"/>
    <cellStyle name="RowTitles-Detail 3 3 2 6_Tertiary Salaries Survey" xfId="20969"/>
    <cellStyle name="RowTitles-Detail 3 3 2 7" xfId="20970"/>
    <cellStyle name="RowTitles-Detail 3 3 2 7 2" xfId="20971"/>
    <cellStyle name="RowTitles-Detail 3 3 2 7 2 2" xfId="20972"/>
    <cellStyle name="RowTitles-Detail 3 3 2 7 2_Tertiary Salaries Survey" xfId="20973"/>
    <cellStyle name="RowTitles-Detail 3 3 2 7 3" xfId="20974"/>
    <cellStyle name="RowTitles-Detail 3 3 2 7_Tertiary Salaries Survey" xfId="20975"/>
    <cellStyle name="RowTitles-Detail 3 3 2 8" xfId="20976"/>
    <cellStyle name="RowTitles-Detail 3 3 2 9" xfId="20977"/>
    <cellStyle name="RowTitles-Detail 3 3 2_STUD aligned by INSTIT" xfId="20978"/>
    <cellStyle name="RowTitles-Detail 3 3 3" xfId="20979"/>
    <cellStyle name="RowTitles-Detail 3 3 3 2" xfId="20980"/>
    <cellStyle name="RowTitles-Detail 3 3 3 2 2" xfId="20981"/>
    <cellStyle name="RowTitles-Detail 3 3 3 2 2 2" xfId="20982"/>
    <cellStyle name="RowTitles-Detail 3 3 3 2 2 2 2" xfId="20983"/>
    <cellStyle name="RowTitles-Detail 3 3 3 2 2 2_Tertiary Salaries Survey" xfId="20984"/>
    <cellStyle name="RowTitles-Detail 3 3 3 2 2 3" xfId="20985"/>
    <cellStyle name="RowTitles-Detail 3 3 3 2 2_Tertiary Salaries Survey" xfId="20986"/>
    <cellStyle name="RowTitles-Detail 3 3 3 2 3" xfId="20987"/>
    <cellStyle name="RowTitles-Detail 3 3 3 2 3 2" xfId="20988"/>
    <cellStyle name="RowTitles-Detail 3 3 3 2 3 2 2" xfId="20989"/>
    <cellStyle name="RowTitles-Detail 3 3 3 2 3 2_Tertiary Salaries Survey" xfId="20990"/>
    <cellStyle name="RowTitles-Detail 3 3 3 2 3 3" xfId="20991"/>
    <cellStyle name="RowTitles-Detail 3 3 3 2 3_Tertiary Salaries Survey" xfId="20992"/>
    <cellStyle name="RowTitles-Detail 3 3 3 2 4" xfId="20993"/>
    <cellStyle name="RowTitles-Detail 3 3 3 2 5" xfId="20994"/>
    <cellStyle name="RowTitles-Detail 3 3 3 2 5 2" xfId="20995"/>
    <cellStyle name="RowTitles-Detail 3 3 3 2 5_Tertiary Salaries Survey" xfId="20996"/>
    <cellStyle name="RowTitles-Detail 3 3 3 2 6" xfId="20997"/>
    <cellStyle name="RowTitles-Detail 3 3 3 2_Tertiary Salaries Survey" xfId="20998"/>
    <cellStyle name="RowTitles-Detail 3 3 3 3" xfId="20999"/>
    <cellStyle name="RowTitles-Detail 3 3 3 3 2" xfId="21000"/>
    <cellStyle name="RowTitles-Detail 3 3 3 3 2 2" xfId="21001"/>
    <cellStyle name="RowTitles-Detail 3 3 3 3 2 2 2" xfId="21002"/>
    <cellStyle name="RowTitles-Detail 3 3 3 3 2 2_Tertiary Salaries Survey" xfId="21003"/>
    <cellStyle name="RowTitles-Detail 3 3 3 3 2 3" xfId="21004"/>
    <cellStyle name="RowTitles-Detail 3 3 3 3 2_Tertiary Salaries Survey" xfId="21005"/>
    <cellStyle name="RowTitles-Detail 3 3 3 3 3" xfId="21006"/>
    <cellStyle name="RowTitles-Detail 3 3 3 3 3 2" xfId="21007"/>
    <cellStyle name="RowTitles-Detail 3 3 3 3 3 2 2" xfId="21008"/>
    <cellStyle name="RowTitles-Detail 3 3 3 3 3 2_Tertiary Salaries Survey" xfId="21009"/>
    <cellStyle name="RowTitles-Detail 3 3 3 3 3 3" xfId="21010"/>
    <cellStyle name="RowTitles-Detail 3 3 3 3 3_Tertiary Salaries Survey" xfId="21011"/>
    <cellStyle name="RowTitles-Detail 3 3 3 3 4" xfId="21012"/>
    <cellStyle name="RowTitles-Detail 3 3 3 3 5" xfId="21013"/>
    <cellStyle name="RowTitles-Detail 3 3 3 3_Tertiary Salaries Survey" xfId="21014"/>
    <cellStyle name="RowTitles-Detail 3 3 3 4" xfId="21015"/>
    <cellStyle name="RowTitles-Detail 3 3 3 4 2" xfId="21016"/>
    <cellStyle name="RowTitles-Detail 3 3 3 4 2 2" xfId="21017"/>
    <cellStyle name="RowTitles-Detail 3 3 3 4 2 2 2" xfId="21018"/>
    <cellStyle name="RowTitles-Detail 3 3 3 4 2 2_Tertiary Salaries Survey" xfId="21019"/>
    <cellStyle name="RowTitles-Detail 3 3 3 4 2 3" xfId="21020"/>
    <cellStyle name="RowTitles-Detail 3 3 3 4 2_Tertiary Salaries Survey" xfId="21021"/>
    <cellStyle name="RowTitles-Detail 3 3 3 4 3" xfId="21022"/>
    <cellStyle name="RowTitles-Detail 3 3 3 4 3 2" xfId="21023"/>
    <cellStyle name="RowTitles-Detail 3 3 3 4 3 2 2" xfId="21024"/>
    <cellStyle name="RowTitles-Detail 3 3 3 4 3 2_Tertiary Salaries Survey" xfId="21025"/>
    <cellStyle name="RowTitles-Detail 3 3 3 4 3 3" xfId="21026"/>
    <cellStyle name="RowTitles-Detail 3 3 3 4 3_Tertiary Salaries Survey" xfId="21027"/>
    <cellStyle name="RowTitles-Detail 3 3 3 4 4" xfId="21028"/>
    <cellStyle name="RowTitles-Detail 3 3 3 4 4 2" xfId="21029"/>
    <cellStyle name="RowTitles-Detail 3 3 3 4 4_Tertiary Salaries Survey" xfId="21030"/>
    <cellStyle name="RowTitles-Detail 3 3 3 4 5" xfId="21031"/>
    <cellStyle name="RowTitles-Detail 3 3 3 4_Tertiary Salaries Survey" xfId="21032"/>
    <cellStyle name="RowTitles-Detail 3 3 3 5" xfId="21033"/>
    <cellStyle name="RowTitles-Detail 3 3 3 5 2" xfId="21034"/>
    <cellStyle name="RowTitles-Detail 3 3 3 5 2 2" xfId="21035"/>
    <cellStyle name="RowTitles-Detail 3 3 3 5 2 2 2" xfId="21036"/>
    <cellStyle name="RowTitles-Detail 3 3 3 5 2 2_Tertiary Salaries Survey" xfId="21037"/>
    <cellStyle name="RowTitles-Detail 3 3 3 5 2 3" xfId="21038"/>
    <cellStyle name="RowTitles-Detail 3 3 3 5 2_Tertiary Salaries Survey" xfId="21039"/>
    <cellStyle name="RowTitles-Detail 3 3 3 5 3" xfId="21040"/>
    <cellStyle name="RowTitles-Detail 3 3 3 5 3 2" xfId="21041"/>
    <cellStyle name="RowTitles-Detail 3 3 3 5 3 2 2" xfId="21042"/>
    <cellStyle name="RowTitles-Detail 3 3 3 5 3 2_Tertiary Salaries Survey" xfId="21043"/>
    <cellStyle name="RowTitles-Detail 3 3 3 5 3 3" xfId="21044"/>
    <cellStyle name="RowTitles-Detail 3 3 3 5 3_Tertiary Salaries Survey" xfId="21045"/>
    <cellStyle name="RowTitles-Detail 3 3 3 5 4" xfId="21046"/>
    <cellStyle name="RowTitles-Detail 3 3 3 5 4 2" xfId="21047"/>
    <cellStyle name="RowTitles-Detail 3 3 3 5 4_Tertiary Salaries Survey" xfId="21048"/>
    <cellStyle name="RowTitles-Detail 3 3 3 5 5" xfId="21049"/>
    <cellStyle name="RowTitles-Detail 3 3 3 5_Tertiary Salaries Survey" xfId="21050"/>
    <cellStyle name="RowTitles-Detail 3 3 3 6" xfId="21051"/>
    <cellStyle name="RowTitles-Detail 3 3 3 6 2" xfId="21052"/>
    <cellStyle name="RowTitles-Detail 3 3 3 6 2 2" xfId="21053"/>
    <cellStyle name="RowTitles-Detail 3 3 3 6 2 2 2" xfId="21054"/>
    <cellStyle name="RowTitles-Detail 3 3 3 6 2 2_Tertiary Salaries Survey" xfId="21055"/>
    <cellStyle name="RowTitles-Detail 3 3 3 6 2 3" xfId="21056"/>
    <cellStyle name="RowTitles-Detail 3 3 3 6 2_Tertiary Salaries Survey" xfId="21057"/>
    <cellStyle name="RowTitles-Detail 3 3 3 6 3" xfId="21058"/>
    <cellStyle name="RowTitles-Detail 3 3 3 6 3 2" xfId="21059"/>
    <cellStyle name="RowTitles-Detail 3 3 3 6 3 2 2" xfId="21060"/>
    <cellStyle name="RowTitles-Detail 3 3 3 6 3 2_Tertiary Salaries Survey" xfId="21061"/>
    <cellStyle name="RowTitles-Detail 3 3 3 6 3 3" xfId="21062"/>
    <cellStyle name="RowTitles-Detail 3 3 3 6 3_Tertiary Salaries Survey" xfId="21063"/>
    <cellStyle name="RowTitles-Detail 3 3 3 6 4" xfId="21064"/>
    <cellStyle name="RowTitles-Detail 3 3 3 6 4 2" xfId="21065"/>
    <cellStyle name="RowTitles-Detail 3 3 3 6 4_Tertiary Salaries Survey" xfId="21066"/>
    <cellStyle name="RowTitles-Detail 3 3 3 6 5" xfId="21067"/>
    <cellStyle name="RowTitles-Detail 3 3 3 6_Tertiary Salaries Survey" xfId="21068"/>
    <cellStyle name="RowTitles-Detail 3 3 3 7" xfId="21069"/>
    <cellStyle name="RowTitles-Detail 3 3 3 7 2" xfId="21070"/>
    <cellStyle name="RowTitles-Detail 3 3 3 7 2 2" xfId="21071"/>
    <cellStyle name="RowTitles-Detail 3 3 3 7 2_Tertiary Salaries Survey" xfId="21072"/>
    <cellStyle name="RowTitles-Detail 3 3 3 7 3" xfId="21073"/>
    <cellStyle name="RowTitles-Detail 3 3 3 7_Tertiary Salaries Survey" xfId="21074"/>
    <cellStyle name="RowTitles-Detail 3 3 3 8" xfId="21075"/>
    <cellStyle name="RowTitles-Detail 3 3 3 8 2" xfId="21076"/>
    <cellStyle name="RowTitles-Detail 3 3 3 8 2 2" xfId="21077"/>
    <cellStyle name="RowTitles-Detail 3 3 3 8 2_Tertiary Salaries Survey" xfId="21078"/>
    <cellStyle name="RowTitles-Detail 3 3 3 8 3" xfId="21079"/>
    <cellStyle name="RowTitles-Detail 3 3 3 8_Tertiary Salaries Survey" xfId="21080"/>
    <cellStyle name="RowTitles-Detail 3 3 3 9" xfId="21081"/>
    <cellStyle name="RowTitles-Detail 3 3 3_STUD aligned by INSTIT" xfId="21082"/>
    <cellStyle name="RowTitles-Detail 3 3 4" xfId="21083"/>
    <cellStyle name="RowTitles-Detail 3 3 4 2" xfId="21084"/>
    <cellStyle name="RowTitles-Detail 3 3 4 2 2" xfId="21085"/>
    <cellStyle name="RowTitles-Detail 3 3 4 2 2 2" xfId="21086"/>
    <cellStyle name="RowTitles-Detail 3 3 4 2 2 2 2" xfId="21087"/>
    <cellStyle name="RowTitles-Detail 3 3 4 2 2 2_Tertiary Salaries Survey" xfId="21088"/>
    <cellStyle name="RowTitles-Detail 3 3 4 2 2 3" xfId="21089"/>
    <cellStyle name="RowTitles-Detail 3 3 4 2 2_Tertiary Salaries Survey" xfId="21090"/>
    <cellStyle name="RowTitles-Detail 3 3 4 2 3" xfId="21091"/>
    <cellStyle name="RowTitles-Detail 3 3 4 2 3 2" xfId="21092"/>
    <cellStyle name="RowTitles-Detail 3 3 4 2 3 2 2" xfId="21093"/>
    <cellStyle name="RowTitles-Detail 3 3 4 2 3 2_Tertiary Salaries Survey" xfId="21094"/>
    <cellStyle name="RowTitles-Detail 3 3 4 2 3 3" xfId="21095"/>
    <cellStyle name="RowTitles-Detail 3 3 4 2 3_Tertiary Salaries Survey" xfId="21096"/>
    <cellStyle name="RowTitles-Detail 3 3 4 2 4" xfId="21097"/>
    <cellStyle name="RowTitles-Detail 3 3 4 2 5" xfId="21098"/>
    <cellStyle name="RowTitles-Detail 3 3 4 2 5 2" xfId="21099"/>
    <cellStyle name="RowTitles-Detail 3 3 4 2 5_Tertiary Salaries Survey" xfId="21100"/>
    <cellStyle name="RowTitles-Detail 3 3 4 2 6" xfId="21101"/>
    <cellStyle name="RowTitles-Detail 3 3 4 2_Tertiary Salaries Survey" xfId="21102"/>
    <cellStyle name="RowTitles-Detail 3 3 4 3" xfId="21103"/>
    <cellStyle name="RowTitles-Detail 3 3 4 3 2" xfId="21104"/>
    <cellStyle name="RowTitles-Detail 3 3 4 3 2 2" xfId="21105"/>
    <cellStyle name="RowTitles-Detail 3 3 4 3 2 2 2" xfId="21106"/>
    <cellStyle name="RowTitles-Detail 3 3 4 3 2 2_Tertiary Salaries Survey" xfId="21107"/>
    <cellStyle name="RowTitles-Detail 3 3 4 3 2 3" xfId="21108"/>
    <cellStyle name="RowTitles-Detail 3 3 4 3 2_Tertiary Salaries Survey" xfId="21109"/>
    <cellStyle name="RowTitles-Detail 3 3 4 3 3" xfId="21110"/>
    <cellStyle name="RowTitles-Detail 3 3 4 3 3 2" xfId="21111"/>
    <cellStyle name="RowTitles-Detail 3 3 4 3 3 2 2" xfId="21112"/>
    <cellStyle name="RowTitles-Detail 3 3 4 3 3 2_Tertiary Salaries Survey" xfId="21113"/>
    <cellStyle name="RowTitles-Detail 3 3 4 3 3 3" xfId="21114"/>
    <cellStyle name="RowTitles-Detail 3 3 4 3 3_Tertiary Salaries Survey" xfId="21115"/>
    <cellStyle name="RowTitles-Detail 3 3 4 3 4" xfId="21116"/>
    <cellStyle name="RowTitles-Detail 3 3 4 3 5" xfId="21117"/>
    <cellStyle name="RowTitles-Detail 3 3 4 3_Tertiary Salaries Survey" xfId="21118"/>
    <cellStyle name="RowTitles-Detail 3 3 4 4" xfId="21119"/>
    <cellStyle name="RowTitles-Detail 3 3 4 4 2" xfId="21120"/>
    <cellStyle name="RowTitles-Detail 3 3 4 4 2 2" xfId="21121"/>
    <cellStyle name="RowTitles-Detail 3 3 4 4 2 2 2" xfId="21122"/>
    <cellStyle name="RowTitles-Detail 3 3 4 4 2 2_Tertiary Salaries Survey" xfId="21123"/>
    <cellStyle name="RowTitles-Detail 3 3 4 4 2 3" xfId="21124"/>
    <cellStyle name="RowTitles-Detail 3 3 4 4 2_Tertiary Salaries Survey" xfId="21125"/>
    <cellStyle name="RowTitles-Detail 3 3 4 4 3" xfId="21126"/>
    <cellStyle name="RowTitles-Detail 3 3 4 4 3 2" xfId="21127"/>
    <cellStyle name="RowTitles-Detail 3 3 4 4 3 2 2" xfId="21128"/>
    <cellStyle name="RowTitles-Detail 3 3 4 4 3 2_Tertiary Salaries Survey" xfId="21129"/>
    <cellStyle name="RowTitles-Detail 3 3 4 4 3 3" xfId="21130"/>
    <cellStyle name="RowTitles-Detail 3 3 4 4 3_Tertiary Salaries Survey" xfId="21131"/>
    <cellStyle name="RowTitles-Detail 3 3 4 4 4" xfId="21132"/>
    <cellStyle name="RowTitles-Detail 3 3 4 4 5" xfId="21133"/>
    <cellStyle name="RowTitles-Detail 3 3 4 4 5 2" xfId="21134"/>
    <cellStyle name="RowTitles-Detail 3 3 4 4 5_Tertiary Salaries Survey" xfId="21135"/>
    <cellStyle name="RowTitles-Detail 3 3 4 4 6" xfId="21136"/>
    <cellStyle name="RowTitles-Detail 3 3 4 4_Tertiary Salaries Survey" xfId="21137"/>
    <cellStyle name="RowTitles-Detail 3 3 4 5" xfId="21138"/>
    <cellStyle name="RowTitles-Detail 3 3 4 5 2" xfId="21139"/>
    <cellStyle name="RowTitles-Detail 3 3 4 5 2 2" xfId="21140"/>
    <cellStyle name="RowTitles-Detail 3 3 4 5 2 2 2" xfId="21141"/>
    <cellStyle name="RowTitles-Detail 3 3 4 5 2 2_Tertiary Salaries Survey" xfId="21142"/>
    <cellStyle name="RowTitles-Detail 3 3 4 5 2 3" xfId="21143"/>
    <cellStyle name="RowTitles-Detail 3 3 4 5 2_Tertiary Salaries Survey" xfId="21144"/>
    <cellStyle name="RowTitles-Detail 3 3 4 5 3" xfId="21145"/>
    <cellStyle name="RowTitles-Detail 3 3 4 5 3 2" xfId="21146"/>
    <cellStyle name="RowTitles-Detail 3 3 4 5 3 2 2" xfId="21147"/>
    <cellStyle name="RowTitles-Detail 3 3 4 5 3 2_Tertiary Salaries Survey" xfId="21148"/>
    <cellStyle name="RowTitles-Detail 3 3 4 5 3 3" xfId="21149"/>
    <cellStyle name="RowTitles-Detail 3 3 4 5 3_Tertiary Salaries Survey" xfId="21150"/>
    <cellStyle name="RowTitles-Detail 3 3 4 5 4" xfId="21151"/>
    <cellStyle name="RowTitles-Detail 3 3 4 5 4 2" xfId="21152"/>
    <cellStyle name="RowTitles-Detail 3 3 4 5 4_Tertiary Salaries Survey" xfId="21153"/>
    <cellStyle name="RowTitles-Detail 3 3 4 5 5" xfId="21154"/>
    <cellStyle name="RowTitles-Detail 3 3 4 5_Tertiary Salaries Survey" xfId="21155"/>
    <cellStyle name="RowTitles-Detail 3 3 4 6" xfId="21156"/>
    <cellStyle name="RowTitles-Detail 3 3 4 6 2" xfId="21157"/>
    <cellStyle name="RowTitles-Detail 3 3 4 6 2 2" xfId="21158"/>
    <cellStyle name="RowTitles-Detail 3 3 4 6 2 2 2" xfId="21159"/>
    <cellStyle name="RowTitles-Detail 3 3 4 6 2 2_Tertiary Salaries Survey" xfId="21160"/>
    <cellStyle name="RowTitles-Detail 3 3 4 6 2 3" xfId="21161"/>
    <cellStyle name="RowTitles-Detail 3 3 4 6 2_Tertiary Salaries Survey" xfId="21162"/>
    <cellStyle name="RowTitles-Detail 3 3 4 6 3" xfId="21163"/>
    <cellStyle name="RowTitles-Detail 3 3 4 6 3 2" xfId="21164"/>
    <cellStyle name="RowTitles-Detail 3 3 4 6 3 2 2" xfId="21165"/>
    <cellStyle name="RowTitles-Detail 3 3 4 6 3 2_Tertiary Salaries Survey" xfId="21166"/>
    <cellStyle name="RowTitles-Detail 3 3 4 6 3 3" xfId="21167"/>
    <cellStyle name="RowTitles-Detail 3 3 4 6 3_Tertiary Salaries Survey" xfId="21168"/>
    <cellStyle name="RowTitles-Detail 3 3 4 6 4" xfId="21169"/>
    <cellStyle name="RowTitles-Detail 3 3 4 6 4 2" xfId="21170"/>
    <cellStyle name="RowTitles-Detail 3 3 4 6 4_Tertiary Salaries Survey" xfId="21171"/>
    <cellStyle name="RowTitles-Detail 3 3 4 6 5" xfId="21172"/>
    <cellStyle name="RowTitles-Detail 3 3 4 6_Tertiary Salaries Survey" xfId="21173"/>
    <cellStyle name="RowTitles-Detail 3 3 4 7" xfId="21174"/>
    <cellStyle name="RowTitles-Detail 3 3 4 7 2" xfId="21175"/>
    <cellStyle name="RowTitles-Detail 3 3 4 7 2 2" xfId="21176"/>
    <cellStyle name="RowTitles-Detail 3 3 4 7 2_Tertiary Salaries Survey" xfId="21177"/>
    <cellStyle name="RowTitles-Detail 3 3 4 7 3" xfId="21178"/>
    <cellStyle name="RowTitles-Detail 3 3 4 7_Tertiary Salaries Survey" xfId="21179"/>
    <cellStyle name="RowTitles-Detail 3 3 4 8" xfId="21180"/>
    <cellStyle name="RowTitles-Detail 3 3 4 9" xfId="21181"/>
    <cellStyle name="RowTitles-Detail 3 3 4_STUD aligned by INSTIT" xfId="21182"/>
    <cellStyle name="RowTitles-Detail 3 3 5" xfId="21183"/>
    <cellStyle name="RowTitles-Detail 3 3 5 2" xfId="21184"/>
    <cellStyle name="RowTitles-Detail 3 3 5 2 2" xfId="21185"/>
    <cellStyle name="RowTitles-Detail 3 3 5 2 2 2" xfId="21186"/>
    <cellStyle name="RowTitles-Detail 3 3 5 2 2_Tertiary Salaries Survey" xfId="21187"/>
    <cellStyle name="RowTitles-Detail 3 3 5 2 3" xfId="21188"/>
    <cellStyle name="RowTitles-Detail 3 3 5 2_Tertiary Salaries Survey" xfId="21189"/>
    <cellStyle name="RowTitles-Detail 3 3 5 3" xfId="21190"/>
    <cellStyle name="RowTitles-Detail 3 3 5 3 2" xfId="21191"/>
    <cellStyle name="RowTitles-Detail 3 3 5 3 2 2" xfId="21192"/>
    <cellStyle name="RowTitles-Detail 3 3 5 3 2_Tertiary Salaries Survey" xfId="21193"/>
    <cellStyle name="RowTitles-Detail 3 3 5 3 3" xfId="21194"/>
    <cellStyle name="RowTitles-Detail 3 3 5 3_Tertiary Salaries Survey" xfId="21195"/>
    <cellStyle name="RowTitles-Detail 3 3 5 4" xfId="21196"/>
    <cellStyle name="RowTitles-Detail 3 3 5 5" xfId="21197"/>
    <cellStyle name="RowTitles-Detail 3 3 5 5 2" xfId="21198"/>
    <cellStyle name="RowTitles-Detail 3 3 5 5_Tertiary Salaries Survey" xfId="21199"/>
    <cellStyle name="RowTitles-Detail 3 3 5 6" xfId="21200"/>
    <cellStyle name="RowTitles-Detail 3 3 5_Tertiary Salaries Survey" xfId="21201"/>
    <cellStyle name="RowTitles-Detail 3 3 6" xfId="21202"/>
    <cellStyle name="RowTitles-Detail 3 3 6 2" xfId="21203"/>
    <cellStyle name="RowTitles-Detail 3 3 6 2 2" xfId="21204"/>
    <cellStyle name="RowTitles-Detail 3 3 6 2 2 2" xfId="21205"/>
    <cellStyle name="RowTitles-Detail 3 3 6 2 2_Tertiary Salaries Survey" xfId="21206"/>
    <cellStyle name="RowTitles-Detail 3 3 6 2 3" xfId="21207"/>
    <cellStyle name="RowTitles-Detail 3 3 6 2_Tertiary Salaries Survey" xfId="21208"/>
    <cellStyle name="RowTitles-Detail 3 3 6 3" xfId="21209"/>
    <cellStyle name="RowTitles-Detail 3 3 6 3 2" xfId="21210"/>
    <cellStyle name="RowTitles-Detail 3 3 6 3 2 2" xfId="21211"/>
    <cellStyle name="RowTitles-Detail 3 3 6 3 2_Tertiary Salaries Survey" xfId="21212"/>
    <cellStyle name="RowTitles-Detail 3 3 6 3 3" xfId="21213"/>
    <cellStyle name="RowTitles-Detail 3 3 6 3_Tertiary Salaries Survey" xfId="21214"/>
    <cellStyle name="RowTitles-Detail 3 3 6 4" xfId="21215"/>
    <cellStyle name="RowTitles-Detail 3 3 6 5" xfId="21216"/>
    <cellStyle name="RowTitles-Detail 3 3 6_Tertiary Salaries Survey" xfId="21217"/>
    <cellStyle name="RowTitles-Detail 3 3 7" xfId="21218"/>
    <cellStyle name="RowTitles-Detail 3 3 7 2" xfId="21219"/>
    <cellStyle name="RowTitles-Detail 3 3 7 2 2" xfId="21220"/>
    <cellStyle name="RowTitles-Detail 3 3 7 2 2 2" xfId="21221"/>
    <cellStyle name="RowTitles-Detail 3 3 7 2 2_Tertiary Salaries Survey" xfId="21222"/>
    <cellStyle name="RowTitles-Detail 3 3 7 2 3" xfId="21223"/>
    <cellStyle name="RowTitles-Detail 3 3 7 2_Tertiary Salaries Survey" xfId="21224"/>
    <cellStyle name="RowTitles-Detail 3 3 7 3" xfId="21225"/>
    <cellStyle name="RowTitles-Detail 3 3 7 3 2" xfId="21226"/>
    <cellStyle name="RowTitles-Detail 3 3 7 3 2 2" xfId="21227"/>
    <cellStyle name="RowTitles-Detail 3 3 7 3 2_Tertiary Salaries Survey" xfId="21228"/>
    <cellStyle name="RowTitles-Detail 3 3 7 3 3" xfId="21229"/>
    <cellStyle name="RowTitles-Detail 3 3 7 3_Tertiary Salaries Survey" xfId="21230"/>
    <cellStyle name="RowTitles-Detail 3 3 7 4" xfId="21231"/>
    <cellStyle name="RowTitles-Detail 3 3 7 5" xfId="21232"/>
    <cellStyle name="RowTitles-Detail 3 3 7 5 2" xfId="21233"/>
    <cellStyle name="RowTitles-Detail 3 3 7 5_Tertiary Salaries Survey" xfId="21234"/>
    <cellStyle name="RowTitles-Detail 3 3 7 6" xfId="21235"/>
    <cellStyle name="RowTitles-Detail 3 3 7_Tertiary Salaries Survey" xfId="21236"/>
    <cellStyle name="RowTitles-Detail 3 3 8" xfId="21237"/>
    <cellStyle name="RowTitles-Detail 3 3 8 2" xfId="21238"/>
    <cellStyle name="RowTitles-Detail 3 3 8 2 2" xfId="21239"/>
    <cellStyle name="RowTitles-Detail 3 3 8 2 2 2" xfId="21240"/>
    <cellStyle name="RowTitles-Detail 3 3 8 2 2_Tertiary Salaries Survey" xfId="21241"/>
    <cellStyle name="RowTitles-Detail 3 3 8 2 3" xfId="21242"/>
    <cellStyle name="RowTitles-Detail 3 3 8 2_Tertiary Salaries Survey" xfId="21243"/>
    <cellStyle name="RowTitles-Detail 3 3 8 3" xfId="21244"/>
    <cellStyle name="RowTitles-Detail 3 3 8 3 2" xfId="21245"/>
    <cellStyle name="RowTitles-Detail 3 3 8 3 2 2" xfId="21246"/>
    <cellStyle name="RowTitles-Detail 3 3 8 3 2_Tertiary Salaries Survey" xfId="21247"/>
    <cellStyle name="RowTitles-Detail 3 3 8 3 3" xfId="21248"/>
    <cellStyle name="RowTitles-Detail 3 3 8 3_Tertiary Salaries Survey" xfId="21249"/>
    <cellStyle name="RowTitles-Detail 3 3 8 4" xfId="21250"/>
    <cellStyle name="RowTitles-Detail 3 3 8 4 2" xfId="21251"/>
    <cellStyle name="RowTitles-Detail 3 3 8 4_Tertiary Salaries Survey" xfId="21252"/>
    <cellStyle name="RowTitles-Detail 3 3 8 5" xfId="21253"/>
    <cellStyle name="RowTitles-Detail 3 3 8_Tertiary Salaries Survey" xfId="21254"/>
    <cellStyle name="RowTitles-Detail 3 3 9" xfId="21255"/>
    <cellStyle name="RowTitles-Detail 3 3 9 2" xfId="21256"/>
    <cellStyle name="RowTitles-Detail 3 3 9 2 2" xfId="21257"/>
    <cellStyle name="RowTitles-Detail 3 3 9 2 2 2" xfId="21258"/>
    <cellStyle name="RowTitles-Detail 3 3 9 2 2_Tertiary Salaries Survey" xfId="21259"/>
    <cellStyle name="RowTitles-Detail 3 3 9 2 3" xfId="21260"/>
    <cellStyle name="RowTitles-Detail 3 3 9 2_Tertiary Salaries Survey" xfId="21261"/>
    <cellStyle name="RowTitles-Detail 3 3 9 3" xfId="21262"/>
    <cellStyle name="RowTitles-Detail 3 3 9 3 2" xfId="21263"/>
    <cellStyle name="RowTitles-Detail 3 3 9 3 2 2" xfId="21264"/>
    <cellStyle name="RowTitles-Detail 3 3 9 3 2_Tertiary Salaries Survey" xfId="21265"/>
    <cellStyle name="RowTitles-Detail 3 3 9 3 3" xfId="21266"/>
    <cellStyle name="RowTitles-Detail 3 3 9 3_Tertiary Salaries Survey" xfId="21267"/>
    <cellStyle name="RowTitles-Detail 3 3 9 4" xfId="21268"/>
    <cellStyle name="RowTitles-Detail 3 3 9 4 2" xfId="21269"/>
    <cellStyle name="RowTitles-Detail 3 3 9 4_Tertiary Salaries Survey" xfId="21270"/>
    <cellStyle name="RowTitles-Detail 3 3 9 5" xfId="21271"/>
    <cellStyle name="RowTitles-Detail 3 3 9_Tertiary Salaries Survey" xfId="21272"/>
    <cellStyle name="RowTitles-Detail 3 3_STUD aligned by INSTIT" xfId="21273"/>
    <cellStyle name="RowTitles-Detail 3 4" xfId="21274"/>
    <cellStyle name="RowTitles-Detail 3 4 2" xfId="21275"/>
    <cellStyle name="RowTitles-Detail 3 4 2 2" xfId="21276"/>
    <cellStyle name="RowTitles-Detail 3 4 2 2 2" xfId="21277"/>
    <cellStyle name="RowTitles-Detail 3 4 2 2 2 2" xfId="21278"/>
    <cellStyle name="RowTitles-Detail 3 4 2 2 2_Tertiary Salaries Survey" xfId="21279"/>
    <cellStyle name="RowTitles-Detail 3 4 2 2 3" xfId="21280"/>
    <cellStyle name="RowTitles-Detail 3 4 2 2_Tertiary Salaries Survey" xfId="21281"/>
    <cellStyle name="RowTitles-Detail 3 4 2 3" xfId="21282"/>
    <cellStyle name="RowTitles-Detail 3 4 2 3 2" xfId="21283"/>
    <cellStyle name="RowTitles-Detail 3 4 2 3 2 2" xfId="21284"/>
    <cellStyle name="RowTitles-Detail 3 4 2 3 2_Tertiary Salaries Survey" xfId="21285"/>
    <cellStyle name="RowTitles-Detail 3 4 2 3 3" xfId="21286"/>
    <cellStyle name="RowTitles-Detail 3 4 2 3_Tertiary Salaries Survey" xfId="21287"/>
    <cellStyle name="RowTitles-Detail 3 4 2 4" xfId="21288"/>
    <cellStyle name="RowTitles-Detail 3 4 2 5" xfId="21289"/>
    <cellStyle name="RowTitles-Detail 3 4 2_Tertiary Salaries Survey" xfId="21290"/>
    <cellStyle name="RowTitles-Detail 3 4 3" xfId="21291"/>
    <cellStyle name="RowTitles-Detail 3 4 3 2" xfId="21292"/>
    <cellStyle name="RowTitles-Detail 3 4 3 2 2" xfId="21293"/>
    <cellStyle name="RowTitles-Detail 3 4 3 2 2 2" xfId="21294"/>
    <cellStyle name="RowTitles-Detail 3 4 3 2 2_Tertiary Salaries Survey" xfId="21295"/>
    <cellStyle name="RowTitles-Detail 3 4 3 2 3" xfId="21296"/>
    <cellStyle name="RowTitles-Detail 3 4 3 2_Tertiary Salaries Survey" xfId="21297"/>
    <cellStyle name="RowTitles-Detail 3 4 3 3" xfId="21298"/>
    <cellStyle name="RowTitles-Detail 3 4 3 3 2" xfId="21299"/>
    <cellStyle name="RowTitles-Detail 3 4 3 3 2 2" xfId="21300"/>
    <cellStyle name="RowTitles-Detail 3 4 3 3 2_Tertiary Salaries Survey" xfId="21301"/>
    <cellStyle name="RowTitles-Detail 3 4 3 3 3" xfId="21302"/>
    <cellStyle name="RowTitles-Detail 3 4 3 3_Tertiary Salaries Survey" xfId="21303"/>
    <cellStyle name="RowTitles-Detail 3 4 3 4" xfId="21304"/>
    <cellStyle name="RowTitles-Detail 3 4 3 5" xfId="21305"/>
    <cellStyle name="RowTitles-Detail 3 4 3 5 2" xfId="21306"/>
    <cellStyle name="RowTitles-Detail 3 4 3 5_Tertiary Salaries Survey" xfId="21307"/>
    <cellStyle name="RowTitles-Detail 3 4 3 6" xfId="21308"/>
    <cellStyle name="RowTitles-Detail 3 4 3_Tertiary Salaries Survey" xfId="21309"/>
    <cellStyle name="RowTitles-Detail 3 4 4" xfId="21310"/>
    <cellStyle name="RowTitles-Detail 3 4 4 2" xfId="21311"/>
    <cellStyle name="RowTitles-Detail 3 4 4 2 2" xfId="21312"/>
    <cellStyle name="RowTitles-Detail 3 4 4 2 2 2" xfId="21313"/>
    <cellStyle name="RowTitles-Detail 3 4 4 2 2_Tertiary Salaries Survey" xfId="21314"/>
    <cellStyle name="RowTitles-Detail 3 4 4 2 3" xfId="21315"/>
    <cellStyle name="RowTitles-Detail 3 4 4 2_Tertiary Salaries Survey" xfId="21316"/>
    <cellStyle name="RowTitles-Detail 3 4 4 3" xfId="21317"/>
    <cellStyle name="RowTitles-Detail 3 4 4 3 2" xfId="21318"/>
    <cellStyle name="RowTitles-Detail 3 4 4 3 2 2" xfId="21319"/>
    <cellStyle name="RowTitles-Detail 3 4 4 3 2_Tertiary Salaries Survey" xfId="21320"/>
    <cellStyle name="RowTitles-Detail 3 4 4 3 3" xfId="21321"/>
    <cellStyle name="RowTitles-Detail 3 4 4 3_Tertiary Salaries Survey" xfId="21322"/>
    <cellStyle name="RowTitles-Detail 3 4 4 4" xfId="21323"/>
    <cellStyle name="RowTitles-Detail 3 4 4 4 2" xfId="21324"/>
    <cellStyle name="RowTitles-Detail 3 4 4 4_Tertiary Salaries Survey" xfId="21325"/>
    <cellStyle name="RowTitles-Detail 3 4 4 5" xfId="21326"/>
    <cellStyle name="RowTitles-Detail 3 4 4_Tertiary Salaries Survey" xfId="21327"/>
    <cellStyle name="RowTitles-Detail 3 4 5" xfId="21328"/>
    <cellStyle name="RowTitles-Detail 3 4 5 2" xfId="21329"/>
    <cellStyle name="RowTitles-Detail 3 4 5 2 2" xfId="21330"/>
    <cellStyle name="RowTitles-Detail 3 4 5 2 2 2" xfId="21331"/>
    <cellStyle name="RowTitles-Detail 3 4 5 2 2_Tertiary Salaries Survey" xfId="21332"/>
    <cellStyle name="RowTitles-Detail 3 4 5 2 3" xfId="21333"/>
    <cellStyle name="RowTitles-Detail 3 4 5 2_Tertiary Salaries Survey" xfId="21334"/>
    <cellStyle name="RowTitles-Detail 3 4 5 3" xfId="21335"/>
    <cellStyle name="RowTitles-Detail 3 4 5 3 2" xfId="21336"/>
    <cellStyle name="RowTitles-Detail 3 4 5 3 2 2" xfId="21337"/>
    <cellStyle name="RowTitles-Detail 3 4 5 3 2_Tertiary Salaries Survey" xfId="21338"/>
    <cellStyle name="RowTitles-Detail 3 4 5 3 3" xfId="21339"/>
    <cellStyle name="RowTitles-Detail 3 4 5 3_Tertiary Salaries Survey" xfId="21340"/>
    <cellStyle name="RowTitles-Detail 3 4 5 4" xfId="21341"/>
    <cellStyle name="RowTitles-Detail 3 4 5 4 2" xfId="21342"/>
    <cellStyle name="RowTitles-Detail 3 4 5 4_Tertiary Salaries Survey" xfId="21343"/>
    <cellStyle name="RowTitles-Detail 3 4 5 5" xfId="21344"/>
    <cellStyle name="RowTitles-Detail 3 4 5_Tertiary Salaries Survey" xfId="21345"/>
    <cellStyle name="RowTitles-Detail 3 4 6" xfId="21346"/>
    <cellStyle name="RowTitles-Detail 3 4 6 2" xfId="21347"/>
    <cellStyle name="RowTitles-Detail 3 4 6 2 2" xfId="21348"/>
    <cellStyle name="RowTitles-Detail 3 4 6 2 2 2" xfId="21349"/>
    <cellStyle name="RowTitles-Detail 3 4 6 2 2_Tertiary Salaries Survey" xfId="21350"/>
    <cellStyle name="RowTitles-Detail 3 4 6 2 3" xfId="21351"/>
    <cellStyle name="RowTitles-Detail 3 4 6 2_Tertiary Salaries Survey" xfId="21352"/>
    <cellStyle name="RowTitles-Detail 3 4 6 3" xfId="21353"/>
    <cellStyle name="RowTitles-Detail 3 4 6 3 2" xfId="21354"/>
    <cellStyle name="RowTitles-Detail 3 4 6 3 2 2" xfId="21355"/>
    <cellStyle name="RowTitles-Detail 3 4 6 3 2_Tertiary Salaries Survey" xfId="21356"/>
    <cellStyle name="RowTitles-Detail 3 4 6 3 3" xfId="21357"/>
    <cellStyle name="RowTitles-Detail 3 4 6 3_Tertiary Salaries Survey" xfId="21358"/>
    <cellStyle name="RowTitles-Detail 3 4 6 4" xfId="21359"/>
    <cellStyle name="RowTitles-Detail 3 4 6 4 2" xfId="21360"/>
    <cellStyle name="RowTitles-Detail 3 4 6 4_Tertiary Salaries Survey" xfId="21361"/>
    <cellStyle name="RowTitles-Detail 3 4 6 5" xfId="21362"/>
    <cellStyle name="RowTitles-Detail 3 4 6_Tertiary Salaries Survey" xfId="21363"/>
    <cellStyle name="RowTitles-Detail 3 4 7" xfId="21364"/>
    <cellStyle name="RowTitles-Detail 3 4 7 2" xfId="21365"/>
    <cellStyle name="RowTitles-Detail 3 4 7 2 2" xfId="21366"/>
    <cellStyle name="RowTitles-Detail 3 4 7 2_Tertiary Salaries Survey" xfId="21367"/>
    <cellStyle name="RowTitles-Detail 3 4 7 3" xfId="21368"/>
    <cellStyle name="RowTitles-Detail 3 4 7_Tertiary Salaries Survey" xfId="21369"/>
    <cellStyle name="RowTitles-Detail 3 4 8" xfId="21370"/>
    <cellStyle name="RowTitles-Detail 3 4 9" xfId="21371"/>
    <cellStyle name="RowTitles-Detail 3 4_STUD aligned by INSTIT" xfId="21372"/>
    <cellStyle name="RowTitles-Detail 3 5" xfId="21373"/>
    <cellStyle name="RowTitles-Detail 3 5 2" xfId="21374"/>
    <cellStyle name="RowTitles-Detail 3 5 2 2" xfId="21375"/>
    <cellStyle name="RowTitles-Detail 3 5 2 2 2" xfId="21376"/>
    <cellStyle name="RowTitles-Detail 3 5 2 2 2 2" xfId="21377"/>
    <cellStyle name="RowTitles-Detail 3 5 2 2 2_Tertiary Salaries Survey" xfId="21378"/>
    <cellStyle name="RowTitles-Detail 3 5 2 2 3" xfId="21379"/>
    <cellStyle name="RowTitles-Detail 3 5 2 2_Tertiary Salaries Survey" xfId="21380"/>
    <cellStyle name="RowTitles-Detail 3 5 2 3" xfId="21381"/>
    <cellStyle name="RowTitles-Detail 3 5 2 3 2" xfId="21382"/>
    <cellStyle name="RowTitles-Detail 3 5 2 3 2 2" xfId="21383"/>
    <cellStyle name="RowTitles-Detail 3 5 2 3 2_Tertiary Salaries Survey" xfId="21384"/>
    <cellStyle name="RowTitles-Detail 3 5 2 3 3" xfId="21385"/>
    <cellStyle name="RowTitles-Detail 3 5 2 3_Tertiary Salaries Survey" xfId="21386"/>
    <cellStyle name="RowTitles-Detail 3 5 2 4" xfId="21387"/>
    <cellStyle name="RowTitles-Detail 3 5 2 5" xfId="21388"/>
    <cellStyle name="RowTitles-Detail 3 5 2 5 2" xfId="21389"/>
    <cellStyle name="RowTitles-Detail 3 5 2 5_Tertiary Salaries Survey" xfId="21390"/>
    <cellStyle name="RowTitles-Detail 3 5 2 6" xfId="21391"/>
    <cellStyle name="RowTitles-Detail 3 5 2_Tertiary Salaries Survey" xfId="21392"/>
    <cellStyle name="RowTitles-Detail 3 5 3" xfId="21393"/>
    <cellStyle name="RowTitles-Detail 3 5 3 2" xfId="21394"/>
    <cellStyle name="RowTitles-Detail 3 5 3 2 2" xfId="21395"/>
    <cellStyle name="RowTitles-Detail 3 5 3 2 2 2" xfId="21396"/>
    <cellStyle name="RowTitles-Detail 3 5 3 2 2_Tertiary Salaries Survey" xfId="21397"/>
    <cellStyle name="RowTitles-Detail 3 5 3 2 3" xfId="21398"/>
    <cellStyle name="RowTitles-Detail 3 5 3 2_Tertiary Salaries Survey" xfId="21399"/>
    <cellStyle name="RowTitles-Detail 3 5 3 3" xfId="21400"/>
    <cellStyle name="RowTitles-Detail 3 5 3 3 2" xfId="21401"/>
    <cellStyle name="RowTitles-Detail 3 5 3 3 2 2" xfId="21402"/>
    <cellStyle name="RowTitles-Detail 3 5 3 3 2_Tertiary Salaries Survey" xfId="21403"/>
    <cellStyle name="RowTitles-Detail 3 5 3 3 3" xfId="21404"/>
    <cellStyle name="RowTitles-Detail 3 5 3 3_Tertiary Salaries Survey" xfId="21405"/>
    <cellStyle name="RowTitles-Detail 3 5 3 4" xfId="21406"/>
    <cellStyle name="RowTitles-Detail 3 5 3 5" xfId="21407"/>
    <cellStyle name="RowTitles-Detail 3 5 3_Tertiary Salaries Survey" xfId="21408"/>
    <cellStyle name="RowTitles-Detail 3 5 4" xfId="21409"/>
    <cellStyle name="RowTitles-Detail 3 5 4 2" xfId="21410"/>
    <cellStyle name="RowTitles-Detail 3 5 4 2 2" xfId="21411"/>
    <cellStyle name="RowTitles-Detail 3 5 4 2 2 2" xfId="21412"/>
    <cellStyle name="RowTitles-Detail 3 5 4 2 2_Tertiary Salaries Survey" xfId="21413"/>
    <cellStyle name="RowTitles-Detail 3 5 4 2 3" xfId="21414"/>
    <cellStyle name="RowTitles-Detail 3 5 4 2_Tertiary Salaries Survey" xfId="21415"/>
    <cellStyle name="RowTitles-Detail 3 5 4 3" xfId="21416"/>
    <cellStyle name="RowTitles-Detail 3 5 4 3 2" xfId="21417"/>
    <cellStyle name="RowTitles-Detail 3 5 4 3 2 2" xfId="21418"/>
    <cellStyle name="RowTitles-Detail 3 5 4 3 2_Tertiary Salaries Survey" xfId="21419"/>
    <cellStyle name="RowTitles-Detail 3 5 4 3 3" xfId="21420"/>
    <cellStyle name="RowTitles-Detail 3 5 4 3_Tertiary Salaries Survey" xfId="21421"/>
    <cellStyle name="RowTitles-Detail 3 5 4 4" xfId="21422"/>
    <cellStyle name="RowTitles-Detail 3 5 4 4 2" xfId="21423"/>
    <cellStyle name="RowTitles-Detail 3 5 4 4_Tertiary Salaries Survey" xfId="21424"/>
    <cellStyle name="RowTitles-Detail 3 5 4 5" xfId="21425"/>
    <cellStyle name="RowTitles-Detail 3 5 4_Tertiary Salaries Survey" xfId="21426"/>
    <cellStyle name="RowTitles-Detail 3 5 5" xfId="21427"/>
    <cellStyle name="RowTitles-Detail 3 5 5 2" xfId="21428"/>
    <cellStyle name="RowTitles-Detail 3 5 5 2 2" xfId="21429"/>
    <cellStyle name="RowTitles-Detail 3 5 5 2 2 2" xfId="21430"/>
    <cellStyle name="RowTitles-Detail 3 5 5 2 2_Tertiary Salaries Survey" xfId="21431"/>
    <cellStyle name="RowTitles-Detail 3 5 5 2 3" xfId="21432"/>
    <cellStyle name="RowTitles-Detail 3 5 5 2_Tertiary Salaries Survey" xfId="21433"/>
    <cellStyle name="RowTitles-Detail 3 5 5 3" xfId="21434"/>
    <cellStyle name="RowTitles-Detail 3 5 5 3 2" xfId="21435"/>
    <cellStyle name="RowTitles-Detail 3 5 5 3 2 2" xfId="21436"/>
    <cellStyle name="RowTitles-Detail 3 5 5 3 2_Tertiary Salaries Survey" xfId="21437"/>
    <cellStyle name="RowTitles-Detail 3 5 5 3 3" xfId="21438"/>
    <cellStyle name="RowTitles-Detail 3 5 5 3_Tertiary Salaries Survey" xfId="21439"/>
    <cellStyle name="RowTitles-Detail 3 5 5 4" xfId="21440"/>
    <cellStyle name="RowTitles-Detail 3 5 5 4 2" xfId="21441"/>
    <cellStyle name="RowTitles-Detail 3 5 5 4_Tertiary Salaries Survey" xfId="21442"/>
    <cellStyle name="RowTitles-Detail 3 5 5 5" xfId="21443"/>
    <cellStyle name="RowTitles-Detail 3 5 5_Tertiary Salaries Survey" xfId="21444"/>
    <cellStyle name="RowTitles-Detail 3 5 6" xfId="21445"/>
    <cellStyle name="RowTitles-Detail 3 5 6 2" xfId="21446"/>
    <cellStyle name="RowTitles-Detail 3 5 6 2 2" xfId="21447"/>
    <cellStyle name="RowTitles-Detail 3 5 6 2 2 2" xfId="21448"/>
    <cellStyle name="RowTitles-Detail 3 5 6 2 2_Tertiary Salaries Survey" xfId="21449"/>
    <cellStyle name="RowTitles-Detail 3 5 6 2 3" xfId="21450"/>
    <cellStyle name="RowTitles-Detail 3 5 6 2_Tertiary Salaries Survey" xfId="21451"/>
    <cellStyle name="RowTitles-Detail 3 5 6 3" xfId="21452"/>
    <cellStyle name="RowTitles-Detail 3 5 6 3 2" xfId="21453"/>
    <cellStyle name="RowTitles-Detail 3 5 6 3 2 2" xfId="21454"/>
    <cellStyle name="RowTitles-Detail 3 5 6 3 2_Tertiary Salaries Survey" xfId="21455"/>
    <cellStyle name="RowTitles-Detail 3 5 6 3 3" xfId="21456"/>
    <cellStyle name="RowTitles-Detail 3 5 6 3_Tertiary Salaries Survey" xfId="21457"/>
    <cellStyle name="RowTitles-Detail 3 5 6 4" xfId="21458"/>
    <cellStyle name="RowTitles-Detail 3 5 6 4 2" xfId="21459"/>
    <cellStyle name="RowTitles-Detail 3 5 6 4_Tertiary Salaries Survey" xfId="21460"/>
    <cellStyle name="RowTitles-Detail 3 5 6 5" xfId="21461"/>
    <cellStyle name="RowTitles-Detail 3 5 6_Tertiary Salaries Survey" xfId="21462"/>
    <cellStyle name="RowTitles-Detail 3 5 7" xfId="21463"/>
    <cellStyle name="RowTitles-Detail 3 5 7 2" xfId="21464"/>
    <cellStyle name="RowTitles-Detail 3 5 7 2 2" xfId="21465"/>
    <cellStyle name="RowTitles-Detail 3 5 7 2_Tertiary Salaries Survey" xfId="21466"/>
    <cellStyle name="RowTitles-Detail 3 5 7 3" xfId="21467"/>
    <cellStyle name="RowTitles-Detail 3 5 7_Tertiary Salaries Survey" xfId="21468"/>
    <cellStyle name="RowTitles-Detail 3 5 8" xfId="21469"/>
    <cellStyle name="RowTitles-Detail 3 5 8 2" xfId="21470"/>
    <cellStyle name="RowTitles-Detail 3 5 8 2 2" xfId="21471"/>
    <cellStyle name="RowTitles-Detail 3 5 8 2_Tertiary Salaries Survey" xfId="21472"/>
    <cellStyle name="RowTitles-Detail 3 5 8 3" xfId="21473"/>
    <cellStyle name="RowTitles-Detail 3 5 8_Tertiary Salaries Survey" xfId="21474"/>
    <cellStyle name="RowTitles-Detail 3 5 9" xfId="21475"/>
    <cellStyle name="RowTitles-Detail 3 5_STUD aligned by INSTIT" xfId="21476"/>
    <cellStyle name="RowTitles-Detail 3 6" xfId="21477"/>
    <cellStyle name="RowTitles-Detail 3 6 2" xfId="21478"/>
    <cellStyle name="RowTitles-Detail 3 6 2 2" xfId="21479"/>
    <cellStyle name="RowTitles-Detail 3 6 2 2 2" xfId="21480"/>
    <cellStyle name="RowTitles-Detail 3 6 2 2 2 2" xfId="21481"/>
    <cellStyle name="RowTitles-Detail 3 6 2 2 2_Tertiary Salaries Survey" xfId="21482"/>
    <cellStyle name="RowTitles-Detail 3 6 2 2 3" xfId="21483"/>
    <cellStyle name="RowTitles-Detail 3 6 2 2_Tertiary Salaries Survey" xfId="21484"/>
    <cellStyle name="RowTitles-Detail 3 6 2 3" xfId="21485"/>
    <cellStyle name="RowTitles-Detail 3 6 2 3 2" xfId="21486"/>
    <cellStyle name="RowTitles-Detail 3 6 2 3 2 2" xfId="21487"/>
    <cellStyle name="RowTitles-Detail 3 6 2 3 2_Tertiary Salaries Survey" xfId="21488"/>
    <cellStyle name="RowTitles-Detail 3 6 2 3 3" xfId="21489"/>
    <cellStyle name="RowTitles-Detail 3 6 2 3_Tertiary Salaries Survey" xfId="21490"/>
    <cellStyle name="RowTitles-Detail 3 6 2 4" xfId="21491"/>
    <cellStyle name="RowTitles-Detail 3 6 2 5" xfId="21492"/>
    <cellStyle name="RowTitles-Detail 3 6 2 5 2" xfId="21493"/>
    <cellStyle name="RowTitles-Detail 3 6 2 5_Tertiary Salaries Survey" xfId="21494"/>
    <cellStyle name="RowTitles-Detail 3 6 2 6" xfId="21495"/>
    <cellStyle name="RowTitles-Detail 3 6 2_Tertiary Salaries Survey" xfId="21496"/>
    <cellStyle name="RowTitles-Detail 3 6 3" xfId="21497"/>
    <cellStyle name="RowTitles-Detail 3 6 3 2" xfId="21498"/>
    <cellStyle name="RowTitles-Detail 3 6 3 2 2" xfId="21499"/>
    <cellStyle name="RowTitles-Detail 3 6 3 2 2 2" xfId="21500"/>
    <cellStyle name="RowTitles-Detail 3 6 3 2 2_Tertiary Salaries Survey" xfId="21501"/>
    <cellStyle name="RowTitles-Detail 3 6 3 2 3" xfId="21502"/>
    <cellStyle name="RowTitles-Detail 3 6 3 2_Tertiary Salaries Survey" xfId="21503"/>
    <cellStyle name="RowTitles-Detail 3 6 3 3" xfId="21504"/>
    <cellStyle name="RowTitles-Detail 3 6 3 3 2" xfId="21505"/>
    <cellStyle name="RowTitles-Detail 3 6 3 3 2 2" xfId="21506"/>
    <cellStyle name="RowTitles-Detail 3 6 3 3 2_Tertiary Salaries Survey" xfId="21507"/>
    <cellStyle name="RowTitles-Detail 3 6 3 3 3" xfId="21508"/>
    <cellStyle name="RowTitles-Detail 3 6 3 3_Tertiary Salaries Survey" xfId="21509"/>
    <cellStyle name="RowTitles-Detail 3 6 3 4" xfId="21510"/>
    <cellStyle name="RowTitles-Detail 3 6 3 5" xfId="21511"/>
    <cellStyle name="RowTitles-Detail 3 6 3_Tertiary Salaries Survey" xfId="21512"/>
    <cellStyle name="RowTitles-Detail 3 6 4" xfId="21513"/>
    <cellStyle name="RowTitles-Detail 3 6 4 2" xfId="21514"/>
    <cellStyle name="RowTitles-Detail 3 6 4 2 2" xfId="21515"/>
    <cellStyle name="RowTitles-Detail 3 6 4 2 2 2" xfId="21516"/>
    <cellStyle name="RowTitles-Detail 3 6 4 2 2_Tertiary Salaries Survey" xfId="21517"/>
    <cellStyle name="RowTitles-Detail 3 6 4 2 3" xfId="21518"/>
    <cellStyle name="RowTitles-Detail 3 6 4 2_Tertiary Salaries Survey" xfId="21519"/>
    <cellStyle name="RowTitles-Detail 3 6 4 3" xfId="21520"/>
    <cellStyle name="RowTitles-Detail 3 6 4 3 2" xfId="21521"/>
    <cellStyle name="RowTitles-Detail 3 6 4 3 2 2" xfId="21522"/>
    <cellStyle name="RowTitles-Detail 3 6 4 3 2_Tertiary Salaries Survey" xfId="21523"/>
    <cellStyle name="RowTitles-Detail 3 6 4 3 3" xfId="21524"/>
    <cellStyle name="RowTitles-Detail 3 6 4 3_Tertiary Salaries Survey" xfId="21525"/>
    <cellStyle name="RowTitles-Detail 3 6 4 4" xfId="21526"/>
    <cellStyle name="RowTitles-Detail 3 6 4 5" xfId="21527"/>
    <cellStyle name="RowTitles-Detail 3 6 4 5 2" xfId="21528"/>
    <cellStyle name="RowTitles-Detail 3 6 4 5_Tertiary Salaries Survey" xfId="21529"/>
    <cellStyle name="RowTitles-Detail 3 6 4 6" xfId="21530"/>
    <cellStyle name="RowTitles-Detail 3 6 4_Tertiary Salaries Survey" xfId="21531"/>
    <cellStyle name="RowTitles-Detail 3 6 5" xfId="21532"/>
    <cellStyle name="RowTitles-Detail 3 6 5 2" xfId="21533"/>
    <cellStyle name="RowTitles-Detail 3 6 5 2 2" xfId="21534"/>
    <cellStyle name="RowTitles-Detail 3 6 5 2 2 2" xfId="21535"/>
    <cellStyle name="RowTitles-Detail 3 6 5 2 2_Tertiary Salaries Survey" xfId="21536"/>
    <cellStyle name="RowTitles-Detail 3 6 5 2 3" xfId="21537"/>
    <cellStyle name="RowTitles-Detail 3 6 5 2_Tertiary Salaries Survey" xfId="21538"/>
    <cellStyle name="RowTitles-Detail 3 6 5 3" xfId="21539"/>
    <cellStyle name="RowTitles-Detail 3 6 5 3 2" xfId="21540"/>
    <cellStyle name="RowTitles-Detail 3 6 5 3 2 2" xfId="21541"/>
    <cellStyle name="RowTitles-Detail 3 6 5 3 2_Tertiary Salaries Survey" xfId="21542"/>
    <cellStyle name="RowTitles-Detail 3 6 5 3 3" xfId="21543"/>
    <cellStyle name="RowTitles-Detail 3 6 5 3_Tertiary Salaries Survey" xfId="21544"/>
    <cellStyle name="RowTitles-Detail 3 6 5 4" xfId="21545"/>
    <cellStyle name="RowTitles-Detail 3 6 5 4 2" xfId="21546"/>
    <cellStyle name="RowTitles-Detail 3 6 5 4_Tertiary Salaries Survey" xfId="21547"/>
    <cellStyle name="RowTitles-Detail 3 6 5 5" xfId="21548"/>
    <cellStyle name="RowTitles-Detail 3 6 5_Tertiary Salaries Survey" xfId="21549"/>
    <cellStyle name="RowTitles-Detail 3 6 6" xfId="21550"/>
    <cellStyle name="RowTitles-Detail 3 6 6 2" xfId="21551"/>
    <cellStyle name="RowTitles-Detail 3 6 6 2 2" xfId="21552"/>
    <cellStyle name="RowTitles-Detail 3 6 6 2 2 2" xfId="21553"/>
    <cellStyle name="RowTitles-Detail 3 6 6 2 2_Tertiary Salaries Survey" xfId="21554"/>
    <cellStyle name="RowTitles-Detail 3 6 6 2 3" xfId="21555"/>
    <cellStyle name="RowTitles-Detail 3 6 6 2_Tertiary Salaries Survey" xfId="21556"/>
    <cellStyle name="RowTitles-Detail 3 6 6 3" xfId="21557"/>
    <cellStyle name="RowTitles-Detail 3 6 6 3 2" xfId="21558"/>
    <cellStyle name="RowTitles-Detail 3 6 6 3 2 2" xfId="21559"/>
    <cellStyle name="RowTitles-Detail 3 6 6 3 2_Tertiary Salaries Survey" xfId="21560"/>
    <cellStyle name="RowTitles-Detail 3 6 6 3 3" xfId="21561"/>
    <cellStyle name="RowTitles-Detail 3 6 6 3_Tertiary Salaries Survey" xfId="21562"/>
    <cellStyle name="RowTitles-Detail 3 6 6 4" xfId="21563"/>
    <cellStyle name="RowTitles-Detail 3 6 6 4 2" xfId="21564"/>
    <cellStyle name="RowTitles-Detail 3 6 6 4_Tertiary Salaries Survey" xfId="21565"/>
    <cellStyle name="RowTitles-Detail 3 6 6 5" xfId="21566"/>
    <cellStyle name="RowTitles-Detail 3 6 6_Tertiary Salaries Survey" xfId="21567"/>
    <cellStyle name="RowTitles-Detail 3 6 7" xfId="21568"/>
    <cellStyle name="RowTitles-Detail 3 6 7 2" xfId="21569"/>
    <cellStyle name="RowTitles-Detail 3 6 7 2 2" xfId="21570"/>
    <cellStyle name="RowTitles-Detail 3 6 7 2_Tertiary Salaries Survey" xfId="21571"/>
    <cellStyle name="RowTitles-Detail 3 6 7 3" xfId="21572"/>
    <cellStyle name="RowTitles-Detail 3 6 7_Tertiary Salaries Survey" xfId="21573"/>
    <cellStyle name="RowTitles-Detail 3 6 8" xfId="21574"/>
    <cellStyle name="RowTitles-Detail 3 6 9" xfId="21575"/>
    <cellStyle name="RowTitles-Detail 3 6_STUD aligned by INSTIT" xfId="21576"/>
    <cellStyle name="RowTitles-Detail 3 7" xfId="21577"/>
    <cellStyle name="RowTitles-Detail 3 7 2" xfId="21578"/>
    <cellStyle name="RowTitles-Detail 3 7 2 2" xfId="21579"/>
    <cellStyle name="RowTitles-Detail 3 7 2 2 2" xfId="21580"/>
    <cellStyle name="RowTitles-Detail 3 7 2 2_Tertiary Salaries Survey" xfId="21581"/>
    <cellStyle name="RowTitles-Detail 3 7 2 3" xfId="21582"/>
    <cellStyle name="RowTitles-Detail 3 7 2_Tertiary Salaries Survey" xfId="21583"/>
    <cellStyle name="RowTitles-Detail 3 7 3" xfId="21584"/>
    <cellStyle name="RowTitles-Detail 3 7 3 2" xfId="21585"/>
    <cellStyle name="RowTitles-Detail 3 7 3 2 2" xfId="21586"/>
    <cellStyle name="RowTitles-Detail 3 7 3 2_Tertiary Salaries Survey" xfId="21587"/>
    <cellStyle name="RowTitles-Detail 3 7 3 3" xfId="21588"/>
    <cellStyle name="RowTitles-Detail 3 7 3_Tertiary Salaries Survey" xfId="21589"/>
    <cellStyle name="RowTitles-Detail 3 7 4" xfId="21590"/>
    <cellStyle name="RowTitles-Detail 3 7 5" xfId="21591"/>
    <cellStyle name="RowTitles-Detail 3 7 5 2" xfId="21592"/>
    <cellStyle name="RowTitles-Detail 3 7 5_Tertiary Salaries Survey" xfId="21593"/>
    <cellStyle name="RowTitles-Detail 3 7 6" xfId="21594"/>
    <cellStyle name="RowTitles-Detail 3 7_Tertiary Salaries Survey" xfId="21595"/>
    <cellStyle name="RowTitles-Detail 3 8" xfId="21596"/>
    <cellStyle name="RowTitles-Detail 3 8 2" xfId="21597"/>
    <cellStyle name="RowTitles-Detail 3 8 2 2" xfId="21598"/>
    <cellStyle name="RowTitles-Detail 3 8 2 2 2" xfId="21599"/>
    <cellStyle name="RowTitles-Detail 3 8 2 2_Tertiary Salaries Survey" xfId="21600"/>
    <cellStyle name="RowTitles-Detail 3 8 2 3" xfId="21601"/>
    <cellStyle name="RowTitles-Detail 3 8 2_Tertiary Salaries Survey" xfId="21602"/>
    <cellStyle name="RowTitles-Detail 3 8 3" xfId="21603"/>
    <cellStyle name="RowTitles-Detail 3 8 3 2" xfId="21604"/>
    <cellStyle name="RowTitles-Detail 3 8 3 2 2" xfId="21605"/>
    <cellStyle name="RowTitles-Detail 3 8 3 2_Tertiary Salaries Survey" xfId="21606"/>
    <cellStyle name="RowTitles-Detail 3 8 3 3" xfId="21607"/>
    <cellStyle name="RowTitles-Detail 3 8 3_Tertiary Salaries Survey" xfId="21608"/>
    <cellStyle name="RowTitles-Detail 3 8 4" xfId="21609"/>
    <cellStyle name="RowTitles-Detail 3 8 5" xfId="21610"/>
    <cellStyle name="RowTitles-Detail 3 8_Tertiary Salaries Survey" xfId="21611"/>
    <cellStyle name="RowTitles-Detail 3 9" xfId="21612"/>
    <cellStyle name="RowTitles-Detail 3 9 2" xfId="21613"/>
    <cellStyle name="RowTitles-Detail 3 9 2 2" xfId="21614"/>
    <cellStyle name="RowTitles-Detail 3 9 2 2 2" xfId="21615"/>
    <cellStyle name="RowTitles-Detail 3 9 2 2_Tertiary Salaries Survey" xfId="21616"/>
    <cellStyle name="RowTitles-Detail 3 9 2 3" xfId="21617"/>
    <cellStyle name="RowTitles-Detail 3 9 2_Tertiary Salaries Survey" xfId="21618"/>
    <cellStyle name="RowTitles-Detail 3 9 3" xfId="21619"/>
    <cellStyle name="RowTitles-Detail 3 9 3 2" xfId="21620"/>
    <cellStyle name="RowTitles-Detail 3 9 3 2 2" xfId="21621"/>
    <cellStyle name="RowTitles-Detail 3 9 3 2_Tertiary Salaries Survey" xfId="21622"/>
    <cellStyle name="RowTitles-Detail 3 9 3 3" xfId="21623"/>
    <cellStyle name="RowTitles-Detail 3 9 3_Tertiary Salaries Survey" xfId="21624"/>
    <cellStyle name="RowTitles-Detail 3 9 4" xfId="21625"/>
    <cellStyle name="RowTitles-Detail 3 9 5" xfId="21626"/>
    <cellStyle name="RowTitles-Detail 3 9 5 2" xfId="21627"/>
    <cellStyle name="RowTitles-Detail 3 9 5_Tertiary Salaries Survey" xfId="21628"/>
    <cellStyle name="RowTitles-Detail 3 9 6" xfId="21629"/>
    <cellStyle name="RowTitles-Detail 3 9_Tertiary Salaries Survey" xfId="21630"/>
    <cellStyle name="RowTitles-Detail 3_STUD aligned by INSTIT" xfId="21631"/>
    <cellStyle name="RowTitles-Detail 30" xfId="29785"/>
    <cellStyle name="RowTitles-Detail 31" xfId="29786"/>
    <cellStyle name="RowTitles-Detail 32" xfId="29787"/>
    <cellStyle name="RowTitles-Detail 33" xfId="29788"/>
    <cellStyle name="RowTitles-Detail 34" xfId="29789"/>
    <cellStyle name="RowTitles-Detail 35" xfId="29790"/>
    <cellStyle name="RowTitles-Detail 36" xfId="29791"/>
    <cellStyle name="RowTitles-Detail 37" xfId="29792"/>
    <cellStyle name="RowTitles-Detail 38" xfId="29793"/>
    <cellStyle name="RowTitles-Detail 39" xfId="29794"/>
    <cellStyle name="RowTitles-Detail 4" xfId="21632"/>
    <cellStyle name="RowTitles-Detail 4 10" xfId="21633"/>
    <cellStyle name="RowTitles-Detail 4 10 2" xfId="21634"/>
    <cellStyle name="RowTitles-Detail 4 10 2 2" xfId="21635"/>
    <cellStyle name="RowTitles-Detail 4 10 2 2 2" xfId="21636"/>
    <cellStyle name="RowTitles-Detail 4 10 2 2_Tertiary Salaries Survey" xfId="21637"/>
    <cellStyle name="RowTitles-Detail 4 10 2 3" xfId="21638"/>
    <cellStyle name="RowTitles-Detail 4 10 2_Tertiary Salaries Survey" xfId="21639"/>
    <cellStyle name="RowTitles-Detail 4 10 3" xfId="21640"/>
    <cellStyle name="RowTitles-Detail 4 10 3 2" xfId="21641"/>
    <cellStyle name="RowTitles-Detail 4 10 3 2 2" xfId="21642"/>
    <cellStyle name="RowTitles-Detail 4 10 3 2_Tertiary Salaries Survey" xfId="21643"/>
    <cellStyle name="RowTitles-Detail 4 10 3 3" xfId="21644"/>
    <cellStyle name="RowTitles-Detail 4 10 3_Tertiary Salaries Survey" xfId="21645"/>
    <cellStyle name="RowTitles-Detail 4 10 4" xfId="21646"/>
    <cellStyle name="RowTitles-Detail 4 10 4 2" xfId="21647"/>
    <cellStyle name="RowTitles-Detail 4 10 4_Tertiary Salaries Survey" xfId="21648"/>
    <cellStyle name="RowTitles-Detail 4 10 5" xfId="21649"/>
    <cellStyle name="RowTitles-Detail 4 10_Tertiary Salaries Survey" xfId="21650"/>
    <cellStyle name="RowTitles-Detail 4 11" xfId="21651"/>
    <cellStyle name="RowTitles-Detail 4 11 2" xfId="21652"/>
    <cellStyle name="RowTitles-Detail 4 11 2 2" xfId="21653"/>
    <cellStyle name="RowTitles-Detail 4 11 2 2 2" xfId="21654"/>
    <cellStyle name="RowTitles-Detail 4 11 2 2_Tertiary Salaries Survey" xfId="21655"/>
    <cellStyle name="RowTitles-Detail 4 11 2 3" xfId="21656"/>
    <cellStyle name="RowTitles-Detail 4 11 2_Tertiary Salaries Survey" xfId="21657"/>
    <cellStyle name="RowTitles-Detail 4 11 3" xfId="21658"/>
    <cellStyle name="RowTitles-Detail 4 11 3 2" xfId="21659"/>
    <cellStyle name="RowTitles-Detail 4 11 3 2 2" xfId="21660"/>
    <cellStyle name="RowTitles-Detail 4 11 3 2_Tertiary Salaries Survey" xfId="21661"/>
    <cellStyle name="RowTitles-Detail 4 11 3 3" xfId="21662"/>
    <cellStyle name="RowTitles-Detail 4 11 3_Tertiary Salaries Survey" xfId="21663"/>
    <cellStyle name="RowTitles-Detail 4 11 4" xfId="21664"/>
    <cellStyle name="RowTitles-Detail 4 11 4 2" xfId="21665"/>
    <cellStyle name="RowTitles-Detail 4 11 4_Tertiary Salaries Survey" xfId="21666"/>
    <cellStyle name="RowTitles-Detail 4 11 5" xfId="21667"/>
    <cellStyle name="RowTitles-Detail 4 11_Tertiary Salaries Survey" xfId="21668"/>
    <cellStyle name="RowTitles-Detail 4 12" xfId="21669"/>
    <cellStyle name="RowTitles-Detail 4 12 2" xfId="21670"/>
    <cellStyle name="RowTitles-Detail 4 12 2 2" xfId="21671"/>
    <cellStyle name="RowTitles-Detail 4 12 2_Tertiary Salaries Survey" xfId="21672"/>
    <cellStyle name="RowTitles-Detail 4 12 3" xfId="21673"/>
    <cellStyle name="RowTitles-Detail 4 12_Tertiary Salaries Survey" xfId="21674"/>
    <cellStyle name="RowTitles-Detail 4 13" xfId="21675"/>
    <cellStyle name="RowTitles-Detail 4 14" xfId="21676"/>
    <cellStyle name="RowTitles-Detail 4 15" xfId="21677"/>
    <cellStyle name="RowTitles-Detail 4 2" xfId="21678"/>
    <cellStyle name="RowTitles-Detail 4 2 10" xfId="21679"/>
    <cellStyle name="RowTitles-Detail 4 2 10 2" xfId="21680"/>
    <cellStyle name="RowTitles-Detail 4 2 10 2 2" xfId="21681"/>
    <cellStyle name="RowTitles-Detail 4 2 10 2 2 2" xfId="21682"/>
    <cellStyle name="RowTitles-Detail 4 2 10 2 2_Tertiary Salaries Survey" xfId="21683"/>
    <cellStyle name="RowTitles-Detail 4 2 10 2 3" xfId="21684"/>
    <cellStyle name="RowTitles-Detail 4 2 10 2_Tertiary Salaries Survey" xfId="21685"/>
    <cellStyle name="RowTitles-Detail 4 2 10 3" xfId="21686"/>
    <cellStyle name="RowTitles-Detail 4 2 10 3 2" xfId="21687"/>
    <cellStyle name="RowTitles-Detail 4 2 10 3 2 2" xfId="21688"/>
    <cellStyle name="RowTitles-Detail 4 2 10 3 2_Tertiary Salaries Survey" xfId="21689"/>
    <cellStyle name="RowTitles-Detail 4 2 10 3 3" xfId="21690"/>
    <cellStyle name="RowTitles-Detail 4 2 10 3_Tertiary Salaries Survey" xfId="21691"/>
    <cellStyle name="RowTitles-Detail 4 2 10 4" xfId="21692"/>
    <cellStyle name="RowTitles-Detail 4 2 10 4 2" xfId="21693"/>
    <cellStyle name="RowTitles-Detail 4 2 10 4_Tertiary Salaries Survey" xfId="21694"/>
    <cellStyle name="RowTitles-Detail 4 2 10 5" xfId="21695"/>
    <cellStyle name="RowTitles-Detail 4 2 10_Tertiary Salaries Survey" xfId="21696"/>
    <cellStyle name="RowTitles-Detail 4 2 11" xfId="21697"/>
    <cellStyle name="RowTitles-Detail 4 2 11 2" xfId="21698"/>
    <cellStyle name="RowTitles-Detail 4 2 11 2 2" xfId="21699"/>
    <cellStyle name="RowTitles-Detail 4 2 11 2_Tertiary Salaries Survey" xfId="21700"/>
    <cellStyle name="RowTitles-Detail 4 2 11 3" xfId="21701"/>
    <cellStyle name="RowTitles-Detail 4 2 11_Tertiary Salaries Survey" xfId="21702"/>
    <cellStyle name="RowTitles-Detail 4 2 12" xfId="21703"/>
    <cellStyle name="RowTitles-Detail 4 2 13" xfId="21704"/>
    <cellStyle name="RowTitles-Detail 4 2 2" xfId="21705"/>
    <cellStyle name="RowTitles-Detail 4 2 2 10" xfId="21706"/>
    <cellStyle name="RowTitles-Detail 4 2 2 10 2" xfId="21707"/>
    <cellStyle name="RowTitles-Detail 4 2 2 10 2 2" xfId="21708"/>
    <cellStyle name="RowTitles-Detail 4 2 2 10 2_Tertiary Salaries Survey" xfId="21709"/>
    <cellStyle name="RowTitles-Detail 4 2 2 10 3" xfId="21710"/>
    <cellStyle name="RowTitles-Detail 4 2 2 10_Tertiary Salaries Survey" xfId="21711"/>
    <cellStyle name="RowTitles-Detail 4 2 2 11" xfId="21712"/>
    <cellStyle name="RowTitles-Detail 4 2 2 12" xfId="21713"/>
    <cellStyle name="RowTitles-Detail 4 2 2 2" xfId="21714"/>
    <cellStyle name="RowTitles-Detail 4 2 2 2 2" xfId="21715"/>
    <cellStyle name="RowTitles-Detail 4 2 2 2 2 2" xfId="21716"/>
    <cellStyle name="RowTitles-Detail 4 2 2 2 2 2 2" xfId="21717"/>
    <cellStyle name="RowTitles-Detail 4 2 2 2 2 2 2 2" xfId="21718"/>
    <cellStyle name="RowTitles-Detail 4 2 2 2 2 2 2_Tertiary Salaries Survey" xfId="21719"/>
    <cellStyle name="RowTitles-Detail 4 2 2 2 2 2 3" xfId="21720"/>
    <cellStyle name="RowTitles-Detail 4 2 2 2 2 2_Tertiary Salaries Survey" xfId="21721"/>
    <cellStyle name="RowTitles-Detail 4 2 2 2 2 3" xfId="21722"/>
    <cellStyle name="RowTitles-Detail 4 2 2 2 2 3 2" xfId="21723"/>
    <cellStyle name="RowTitles-Detail 4 2 2 2 2 3 2 2" xfId="21724"/>
    <cellStyle name="RowTitles-Detail 4 2 2 2 2 3 2_Tertiary Salaries Survey" xfId="21725"/>
    <cellStyle name="RowTitles-Detail 4 2 2 2 2 3 3" xfId="21726"/>
    <cellStyle name="RowTitles-Detail 4 2 2 2 2 3_Tertiary Salaries Survey" xfId="21727"/>
    <cellStyle name="RowTitles-Detail 4 2 2 2 2 4" xfId="21728"/>
    <cellStyle name="RowTitles-Detail 4 2 2 2 2 5" xfId="21729"/>
    <cellStyle name="RowTitles-Detail 4 2 2 2 2_Tertiary Salaries Survey" xfId="21730"/>
    <cellStyle name="RowTitles-Detail 4 2 2 2 3" xfId="21731"/>
    <cellStyle name="RowTitles-Detail 4 2 2 2 3 2" xfId="21732"/>
    <cellStyle name="RowTitles-Detail 4 2 2 2 3 2 2" xfId="21733"/>
    <cellStyle name="RowTitles-Detail 4 2 2 2 3 2 2 2" xfId="21734"/>
    <cellStyle name="RowTitles-Detail 4 2 2 2 3 2 2_Tertiary Salaries Survey" xfId="21735"/>
    <cellStyle name="RowTitles-Detail 4 2 2 2 3 2 3" xfId="21736"/>
    <cellStyle name="RowTitles-Detail 4 2 2 2 3 2_Tertiary Salaries Survey" xfId="21737"/>
    <cellStyle name="RowTitles-Detail 4 2 2 2 3 3" xfId="21738"/>
    <cellStyle name="RowTitles-Detail 4 2 2 2 3 3 2" xfId="21739"/>
    <cellStyle name="RowTitles-Detail 4 2 2 2 3 3 2 2" xfId="21740"/>
    <cellStyle name="RowTitles-Detail 4 2 2 2 3 3 2_Tertiary Salaries Survey" xfId="21741"/>
    <cellStyle name="RowTitles-Detail 4 2 2 2 3 3 3" xfId="21742"/>
    <cellStyle name="RowTitles-Detail 4 2 2 2 3 3_Tertiary Salaries Survey" xfId="21743"/>
    <cellStyle name="RowTitles-Detail 4 2 2 2 3 4" xfId="21744"/>
    <cellStyle name="RowTitles-Detail 4 2 2 2 3 5" xfId="21745"/>
    <cellStyle name="RowTitles-Detail 4 2 2 2 3 5 2" xfId="21746"/>
    <cellStyle name="RowTitles-Detail 4 2 2 2 3 5_Tertiary Salaries Survey" xfId="21747"/>
    <cellStyle name="RowTitles-Detail 4 2 2 2 3 6" xfId="21748"/>
    <cellStyle name="RowTitles-Detail 4 2 2 2 3_Tertiary Salaries Survey" xfId="21749"/>
    <cellStyle name="RowTitles-Detail 4 2 2 2 4" xfId="21750"/>
    <cellStyle name="RowTitles-Detail 4 2 2 2 4 2" xfId="21751"/>
    <cellStyle name="RowTitles-Detail 4 2 2 2 4 2 2" xfId="21752"/>
    <cellStyle name="RowTitles-Detail 4 2 2 2 4 2 2 2" xfId="21753"/>
    <cellStyle name="RowTitles-Detail 4 2 2 2 4 2 2_Tertiary Salaries Survey" xfId="21754"/>
    <cellStyle name="RowTitles-Detail 4 2 2 2 4 2 3" xfId="21755"/>
    <cellStyle name="RowTitles-Detail 4 2 2 2 4 2_Tertiary Salaries Survey" xfId="21756"/>
    <cellStyle name="RowTitles-Detail 4 2 2 2 4 3" xfId="21757"/>
    <cellStyle name="RowTitles-Detail 4 2 2 2 4 3 2" xfId="21758"/>
    <cellStyle name="RowTitles-Detail 4 2 2 2 4 3 2 2" xfId="21759"/>
    <cellStyle name="RowTitles-Detail 4 2 2 2 4 3 2_Tertiary Salaries Survey" xfId="21760"/>
    <cellStyle name="RowTitles-Detail 4 2 2 2 4 3 3" xfId="21761"/>
    <cellStyle name="RowTitles-Detail 4 2 2 2 4 3_Tertiary Salaries Survey" xfId="21762"/>
    <cellStyle name="RowTitles-Detail 4 2 2 2 4 4" xfId="21763"/>
    <cellStyle name="RowTitles-Detail 4 2 2 2 4 4 2" xfId="21764"/>
    <cellStyle name="RowTitles-Detail 4 2 2 2 4 4_Tertiary Salaries Survey" xfId="21765"/>
    <cellStyle name="RowTitles-Detail 4 2 2 2 4 5" xfId="21766"/>
    <cellStyle name="RowTitles-Detail 4 2 2 2 4_Tertiary Salaries Survey" xfId="21767"/>
    <cellStyle name="RowTitles-Detail 4 2 2 2 5" xfId="21768"/>
    <cellStyle name="RowTitles-Detail 4 2 2 2 5 2" xfId="21769"/>
    <cellStyle name="RowTitles-Detail 4 2 2 2 5 2 2" xfId="21770"/>
    <cellStyle name="RowTitles-Detail 4 2 2 2 5 2 2 2" xfId="21771"/>
    <cellStyle name="RowTitles-Detail 4 2 2 2 5 2 2_Tertiary Salaries Survey" xfId="21772"/>
    <cellStyle name="RowTitles-Detail 4 2 2 2 5 2 3" xfId="21773"/>
    <cellStyle name="RowTitles-Detail 4 2 2 2 5 2_Tertiary Salaries Survey" xfId="21774"/>
    <cellStyle name="RowTitles-Detail 4 2 2 2 5 3" xfId="21775"/>
    <cellStyle name="RowTitles-Detail 4 2 2 2 5 3 2" xfId="21776"/>
    <cellStyle name="RowTitles-Detail 4 2 2 2 5 3 2 2" xfId="21777"/>
    <cellStyle name="RowTitles-Detail 4 2 2 2 5 3 2_Tertiary Salaries Survey" xfId="21778"/>
    <cellStyle name="RowTitles-Detail 4 2 2 2 5 3 3" xfId="21779"/>
    <cellStyle name="RowTitles-Detail 4 2 2 2 5 3_Tertiary Salaries Survey" xfId="21780"/>
    <cellStyle name="RowTitles-Detail 4 2 2 2 5 4" xfId="21781"/>
    <cellStyle name="RowTitles-Detail 4 2 2 2 5 4 2" xfId="21782"/>
    <cellStyle name="RowTitles-Detail 4 2 2 2 5 4_Tertiary Salaries Survey" xfId="21783"/>
    <cellStyle name="RowTitles-Detail 4 2 2 2 5 5" xfId="21784"/>
    <cellStyle name="RowTitles-Detail 4 2 2 2 5_Tertiary Salaries Survey" xfId="21785"/>
    <cellStyle name="RowTitles-Detail 4 2 2 2 6" xfId="21786"/>
    <cellStyle name="RowTitles-Detail 4 2 2 2 6 2" xfId="21787"/>
    <cellStyle name="RowTitles-Detail 4 2 2 2 6 2 2" xfId="21788"/>
    <cellStyle name="RowTitles-Detail 4 2 2 2 6 2 2 2" xfId="21789"/>
    <cellStyle name="RowTitles-Detail 4 2 2 2 6 2 2_Tertiary Salaries Survey" xfId="21790"/>
    <cellStyle name="RowTitles-Detail 4 2 2 2 6 2 3" xfId="21791"/>
    <cellStyle name="RowTitles-Detail 4 2 2 2 6 2_Tertiary Salaries Survey" xfId="21792"/>
    <cellStyle name="RowTitles-Detail 4 2 2 2 6 3" xfId="21793"/>
    <cellStyle name="RowTitles-Detail 4 2 2 2 6 3 2" xfId="21794"/>
    <cellStyle name="RowTitles-Detail 4 2 2 2 6 3 2 2" xfId="21795"/>
    <cellStyle name="RowTitles-Detail 4 2 2 2 6 3 2_Tertiary Salaries Survey" xfId="21796"/>
    <cellStyle name="RowTitles-Detail 4 2 2 2 6 3 3" xfId="21797"/>
    <cellStyle name="RowTitles-Detail 4 2 2 2 6 3_Tertiary Salaries Survey" xfId="21798"/>
    <cellStyle name="RowTitles-Detail 4 2 2 2 6 4" xfId="21799"/>
    <cellStyle name="RowTitles-Detail 4 2 2 2 6 4 2" xfId="21800"/>
    <cellStyle name="RowTitles-Detail 4 2 2 2 6 4_Tertiary Salaries Survey" xfId="21801"/>
    <cellStyle name="RowTitles-Detail 4 2 2 2 6 5" xfId="21802"/>
    <cellStyle name="RowTitles-Detail 4 2 2 2 6_Tertiary Salaries Survey" xfId="21803"/>
    <cellStyle name="RowTitles-Detail 4 2 2 2 7" xfId="21804"/>
    <cellStyle name="RowTitles-Detail 4 2 2 2 7 2" xfId="21805"/>
    <cellStyle name="RowTitles-Detail 4 2 2 2 7 2 2" xfId="21806"/>
    <cellStyle name="RowTitles-Detail 4 2 2 2 7 2_Tertiary Salaries Survey" xfId="21807"/>
    <cellStyle name="RowTitles-Detail 4 2 2 2 7 3" xfId="21808"/>
    <cellStyle name="RowTitles-Detail 4 2 2 2 7_Tertiary Salaries Survey" xfId="21809"/>
    <cellStyle name="RowTitles-Detail 4 2 2 2 8" xfId="21810"/>
    <cellStyle name="RowTitles-Detail 4 2 2 2 9" xfId="21811"/>
    <cellStyle name="RowTitles-Detail 4 2 2 2_STUD aligned by INSTIT" xfId="21812"/>
    <cellStyle name="RowTitles-Detail 4 2 2 3" xfId="21813"/>
    <cellStyle name="RowTitles-Detail 4 2 2 3 2" xfId="21814"/>
    <cellStyle name="RowTitles-Detail 4 2 2 3 2 2" xfId="21815"/>
    <cellStyle name="RowTitles-Detail 4 2 2 3 2 2 2" xfId="21816"/>
    <cellStyle name="RowTitles-Detail 4 2 2 3 2 2 2 2" xfId="21817"/>
    <cellStyle name="RowTitles-Detail 4 2 2 3 2 2 2_Tertiary Salaries Survey" xfId="21818"/>
    <cellStyle name="RowTitles-Detail 4 2 2 3 2 2 3" xfId="21819"/>
    <cellStyle name="RowTitles-Detail 4 2 2 3 2 2_Tertiary Salaries Survey" xfId="21820"/>
    <cellStyle name="RowTitles-Detail 4 2 2 3 2 3" xfId="21821"/>
    <cellStyle name="RowTitles-Detail 4 2 2 3 2 3 2" xfId="21822"/>
    <cellStyle name="RowTitles-Detail 4 2 2 3 2 3 2 2" xfId="21823"/>
    <cellStyle name="RowTitles-Detail 4 2 2 3 2 3 2_Tertiary Salaries Survey" xfId="21824"/>
    <cellStyle name="RowTitles-Detail 4 2 2 3 2 3 3" xfId="21825"/>
    <cellStyle name="RowTitles-Detail 4 2 2 3 2 3_Tertiary Salaries Survey" xfId="21826"/>
    <cellStyle name="RowTitles-Detail 4 2 2 3 2 4" xfId="21827"/>
    <cellStyle name="RowTitles-Detail 4 2 2 3 2 5" xfId="21828"/>
    <cellStyle name="RowTitles-Detail 4 2 2 3 2 5 2" xfId="21829"/>
    <cellStyle name="RowTitles-Detail 4 2 2 3 2 5_Tertiary Salaries Survey" xfId="21830"/>
    <cellStyle name="RowTitles-Detail 4 2 2 3 2 6" xfId="21831"/>
    <cellStyle name="RowTitles-Detail 4 2 2 3 2_Tertiary Salaries Survey" xfId="21832"/>
    <cellStyle name="RowTitles-Detail 4 2 2 3 3" xfId="21833"/>
    <cellStyle name="RowTitles-Detail 4 2 2 3 3 2" xfId="21834"/>
    <cellStyle name="RowTitles-Detail 4 2 2 3 3 2 2" xfId="21835"/>
    <cellStyle name="RowTitles-Detail 4 2 2 3 3 2 2 2" xfId="21836"/>
    <cellStyle name="RowTitles-Detail 4 2 2 3 3 2 2_Tertiary Salaries Survey" xfId="21837"/>
    <cellStyle name="RowTitles-Detail 4 2 2 3 3 2 3" xfId="21838"/>
    <cellStyle name="RowTitles-Detail 4 2 2 3 3 2_Tertiary Salaries Survey" xfId="21839"/>
    <cellStyle name="RowTitles-Detail 4 2 2 3 3 3" xfId="21840"/>
    <cellStyle name="RowTitles-Detail 4 2 2 3 3 3 2" xfId="21841"/>
    <cellStyle name="RowTitles-Detail 4 2 2 3 3 3 2 2" xfId="21842"/>
    <cellStyle name="RowTitles-Detail 4 2 2 3 3 3 2_Tertiary Salaries Survey" xfId="21843"/>
    <cellStyle name="RowTitles-Detail 4 2 2 3 3 3 3" xfId="21844"/>
    <cellStyle name="RowTitles-Detail 4 2 2 3 3 3_Tertiary Salaries Survey" xfId="21845"/>
    <cellStyle name="RowTitles-Detail 4 2 2 3 3 4" xfId="21846"/>
    <cellStyle name="RowTitles-Detail 4 2 2 3 3 5" xfId="21847"/>
    <cellStyle name="RowTitles-Detail 4 2 2 3 3_Tertiary Salaries Survey" xfId="21848"/>
    <cellStyle name="RowTitles-Detail 4 2 2 3 4" xfId="21849"/>
    <cellStyle name="RowTitles-Detail 4 2 2 3 4 2" xfId="21850"/>
    <cellStyle name="RowTitles-Detail 4 2 2 3 4 2 2" xfId="21851"/>
    <cellStyle name="RowTitles-Detail 4 2 2 3 4 2 2 2" xfId="21852"/>
    <cellStyle name="RowTitles-Detail 4 2 2 3 4 2 2_Tertiary Salaries Survey" xfId="21853"/>
    <cellStyle name="RowTitles-Detail 4 2 2 3 4 2 3" xfId="21854"/>
    <cellStyle name="RowTitles-Detail 4 2 2 3 4 2_Tertiary Salaries Survey" xfId="21855"/>
    <cellStyle name="RowTitles-Detail 4 2 2 3 4 3" xfId="21856"/>
    <cellStyle name="RowTitles-Detail 4 2 2 3 4 3 2" xfId="21857"/>
    <cellStyle name="RowTitles-Detail 4 2 2 3 4 3 2 2" xfId="21858"/>
    <cellStyle name="RowTitles-Detail 4 2 2 3 4 3 2_Tertiary Salaries Survey" xfId="21859"/>
    <cellStyle name="RowTitles-Detail 4 2 2 3 4 3 3" xfId="21860"/>
    <cellStyle name="RowTitles-Detail 4 2 2 3 4 3_Tertiary Salaries Survey" xfId="21861"/>
    <cellStyle name="RowTitles-Detail 4 2 2 3 4 4" xfId="21862"/>
    <cellStyle name="RowTitles-Detail 4 2 2 3 4 4 2" xfId="21863"/>
    <cellStyle name="RowTitles-Detail 4 2 2 3 4 4_Tertiary Salaries Survey" xfId="21864"/>
    <cellStyle name="RowTitles-Detail 4 2 2 3 4 5" xfId="21865"/>
    <cellStyle name="RowTitles-Detail 4 2 2 3 4_Tertiary Salaries Survey" xfId="21866"/>
    <cellStyle name="RowTitles-Detail 4 2 2 3 5" xfId="21867"/>
    <cellStyle name="RowTitles-Detail 4 2 2 3 5 2" xfId="21868"/>
    <cellStyle name="RowTitles-Detail 4 2 2 3 5 2 2" xfId="21869"/>
    <cellStyle name="RowTitles-Detail 4 2 2 3 5 2 2 2" xfId="21870"/>
    <cellStyle name="RowTitles-Detail 4 2 2 3 5 2 2_Tertiary Salaries Survey" xfId="21871"/>
    <cellStyle name="RowTitles-Detail 4 2 2 3 5 2 3" xfId="21872"/>
    <cellStyle name="RowTitles-Detail 4 2 2 3 5 2_Tertiary Salaries Survey" xfId="21873"/>
    <cellStyle name="RowTitles-Detail 4 2 2 3 5 3" xfId="21874"/>
    <cellStyle name="RowTitles-Detail 4 2 2 3 5 3 2" xfId="21875"/>
    <cellStyle name="RowTitles-Detail 4 2 2 3 5 3 2 2" xfId="21876"/>
    <cellStyle name="RowTitles-Detail 4 2 2 3 5 3 2_Tertiary Salaries Survey" xfId="21877"/>
    <cellStyle name="RowTitles-Detail 4 2 2 3 5 3 3" xfId="21878"/>
    <cellStyle name="RowTitles-Detail 4 2 2 3 5 3_Tertiary Salaries Survey" xfId="21879"/>
    <cellStyle name="RowTitles-Detail 4 2 2 3 5 4" xfId="21880"/>
    <cellStyle name="RowTitles-Detail 4 2 2 3 5 4 2" xfId="21881"/>
    <cellStyle name="RowTitles-Detail 4 2 2 3 5 4_Tertiary Salaries Survey" xfId="21882"/>
    <cellStyle name="RowTitles-Detail 4 2 2 3 5 5" xfId="21883"/>
    <cellStyle name="RowTitles-Detail 4 2 2 3 5_Tertiary Salaries Survey" xfId="21884"/>
    <cellStyle name="RowTitles-Detail 4 2 2 3 6" xfId="21885"/>
    <cellStyle name="RowTitles-Detail 4 2 2 3 6 2" xfId="21886"/>
    <cellStyle name="RowTitles-Detail 4 2 2 3 6 2 2" xfId="21887"/>
    <cellStyle name="RowTitles-Detail 4 2 2 3 6 2 2 2" xfId="21888"/>
    <cellStyle name="RowTitles-Detail 4 2 2 3 6 2 2_Tertiary Salaries Survey" xfId="21889"/>
    <cellStyle name="RowTitles-Detail 4 2 2 3 6 2 3" xfId="21890"/>
    <cellStyle name="RowTitles-Detail 4 2 2 3 6 2_Tertiary Salaries Survey" xfId="21891"/>
    <cellStyle name="RowTitles-Detail 4 2 2 3 6 3" xfId="21892"/>
    <cellStyle name="RowTitles-Detail 4 2 2 3 6 3 2" xfId="21893"/>
    <cellStyle name="RowTitles-Detail 4 2 2 3 6 3 2 2" xfId="21894"/>
    <cellStyle name="RowTitles-Detail 4 2 2 3 6 3 2_Tertiary Salaries Survey" xfId="21895"/>
    <cellStyle name="RowTitles-Detail 4 2 2 3 6 3 3" xfId="21896"/>
    <cellStyle name="RowTitles-Detail 4 2 2 3 6 3_Tertiary Salaries Survey" xfId="21897"/>
    <cellStyle name="RowTitles-Detail 4 2 2 3 6 4" xfId="21898"/>
    <cellStyle name="RowTitles-Detail 4 2 2 3 6 4 2" xfId="21899"/>
    <cellStyle name="RowTitles-Detail 4 2 2 3 6 4_Tertiary Salaries Survey" xfId="21900"/>
    <cellStyle name="RowTitles-Detail 4 2 2 3 6 5" xfId="21901"/>
    <cellStyle name="RowTitles-Detail 4 2 2 3 6_Tertiary Salaries Survey" xfId="21902"/>
    <cellStyle name="RowTitles-Detail 4 2 2 3 7" xfId="21903"/>
    <cellStyle name="RowTitles-Detail 4 2 2 3 7 2" xfId="21904"/>
    <cellStyle name="RowTitles-Detail 4 2 2 3 7 2 2" xfId="21905"/>
    <cellStyle name="RowTitles-Detail 4 2 2 3 7 2_Tertiary Salaries Survey" xfId="21906"/>
    <cellStyle name="RowTitles-Detail 4 2 2 3 7 3" xfId="21907"/>
    <cellStyle name="RowTitles-Detail 4 2 2 3 7_Tertiary Salaries Survey" xfId="21908"/>
    <cellStyle name="RowTitles-Detail 4 2 2 3 8" xfId="21909"/>
    <cellStyle name="RowTitles-Detail 4 2 2 3 8 2" xfId="21910"/>
    <cellStyle name="RowTitles-Detail 4 2 2 3 8 2 2" xfId="21911"/>
    <cellStyle name="RowTitles-Detail 4 2 2 3 8 2_Tertiary Salaries Survey" xfId="21912"/>
    <cellStyle name="RowTitles-Detail 4 2 2 3 8 3" xfId="21913"/>
    <cellStyle name="RowTitles-Detail 4 2 2 3 8_Tertiary Salaries Survey" xfId="21914"/>
    <cellStyle name="RowTitles-Detail 4 2 2 3 9" xfId="21915"/>
    <cellStyle name="RowTitles-Detail 4 2 2 3_STUD aligned by INSTIT" xfId="21916"/>
    <cellStyle name="RowTitles-Detail 4 2 2 4" xfId="21917"/>
    <cellStyle name="RowTitles-Detail 4 2 2 4 2" xfId="21918"/>
    <cellStyle name="RowTitles-Detail 4 2 2 4 2 2" xfId="21919"/>
    <cellStyle name="RowTitles-Detail 4 2 2 4 2 2 2" xfId="21920"/>
    <cellStyle name="RowTitles-Detail 4 2 2 4 2 2 2 2" xfId="21921"/>
    <cellStyle name="RowTitles-Detail 4 2 2 4 2 2 2_Tertiary Salaries Survey" xfId="21922"/>
    <cellStyle name="RowTitles-Detail 4 2 2 4 2 2 3" xfId="21923"/>
    <cellStyle name="RowTitles-Detail 4 2 2 4 2 2_Tertiary Salaries Survey" xfId="21924"/>
    <cellStyle name="RowTitles-Detail 4 2 2 4 2 3" xfId="21925"/>
    <cellStyle name="RowTitles-Detail 4 2 2 4 2 3 2" xfId="21926"/>
    <cellStyle name="RowTitles-Detail 4 2 2 4 2 3 2 2" xfId="21927"/>
    <cellStyle name="RowTitles-Detail 4 2 2 4 2 3 2_Tertiary Salaries Survey" xfId="21928"/>
    <cellStyle name="RowTitles-Detail 4 2 2 4 2 3 3" xfId="21929"/>
    <cellStyle name="RowTitles-Detail 4 2 2 4 2 3_Tertiary Salaries Survey" xfId="21930"/>
    <cellStyle name="RowTitles-Detail 4 2 2 4 2 4" xfId="21931"/>
    <cellStyle name="RowTitles-Detail 4 2 2 4 2 5" xfId="21932"/>
    <cellStyle name="RowTitles-Detail 4 2 2 4 2 5 2" xfId="21933"/>
    <cellStyle name="RowTitles-Detail 4 2 2 4 2 5_Tertiary Salaries Survey" xfId="21934"/>
    <cellStyle name="RowTitles-Detail 4 2 2 4 2 6" xfId="21935"/>
    <cellStyle name="RowTitles-Detail 4 2 2 4 2_Tertiary Salaries Survey" xfId="21936"/>
    <cellStyle name="RowTitles-Detail 4 2 2 4 3" xfId="21937"/>
    <cellStyle name="RowTitles-Detail 4 2 2 4 3 2" xfId="21938"/>
    <cellStyle name="RowTitles-Detail 4 2 2 4 3 2 2" xfId="21939"/>
    <cellStyle name="RowTitles-Detail 4 2 2 4 3 2 2 2" xfId="21940"/>
    <cellStyle name="RowTitles-Detail 4 2 2 4 3 2 2_Tertiary Salaries Survey" xfId="21941"/>
    <cellStyle name="RowTitles-Detail 4 2 2 4 3 2 3" xfId="21942"/>
    <cellStyle name="RowTitles-Detail 4 2 2 4 3 2_Tertiary Salaries Survey" xfId="21943"/>
    <cellStyle name="RowTitles-Detail 4 2 2 4 3 3" xfId="21944"/>
    <cellStyle name="RowTitles-Detail 4 2 2 4 3 3 2" xfId="21945"/>
    <cellStyle name="RowTitles-Detail 4 2 2 4 3 3 2 2" xfId="21946"/>
    <cellStyle name="RowTitles-Detail 4 2 2 4 3 3 2_Tertiary Salaries Survey" xfId="21947"/>
    <cellStyle name="RowTitles-Detail 4 2 2 4 3 3 3" xfId="21948"/>
    <cellStyle name="RowTitles-Detail 4 2 2 4 3 3_Tertiary Salaries Survey" xfId="21949"/>
    <cellStyle name="RowTitles-Detail 4 2 2 4 3 4" xfId="21950"/>
    <cellStyle name="RowTitles-Detail 4 2 2 4 3 5" xfId="21951"/>
    <cellStyle name="RowTitles-Detail 4 2 2 4 3_Tertiary Salaries Survey" xfId="21952"/>
    <cellStyle name="RowTitles-Detail 4 2 2 4 4" xfId="21953"/>
    <cellStyle name="RowTitles-Detail 4 2 2 4 4 2" xfId="21954"/>
    <cellStyle name="RowTitles-Detail 4 2 2 4 4 2 2" xfId="21955"/>
    <cellStyle name="RowTitles-Detail 4 2 2 4 4 2 2 2" xfId="21956"/>
    <cellStyle name="RowTitles-Detail 4 2 2 4 4 2 2_Tertiary Salaries Survey" xfId="21957"/>
    <cellStyle name="RowTitles-Detail 4 2 2 4 4 2 3" xfId="21958"/>
    <cellStyle name="RowTitles-Detail 4 2 2 4 4 2_Tertiary Salaries Survey" xfId="21959"/>
    <cellStyle name="RowTitles-Detail 4 2 2 4 4 3" xfId="21960"/>
    <cellStyle name="RowTitles-Detail 4 2 2 4 4 3 2" xfId="21961"/>
    <cellStyle name="RowTitles-Detail 4 2 2 4 4 3 2 2" xfId="21962"/>
    <cellStyle name="RowTitles-Detail 4 2 2 4 4 3 2_Tertiary Salaries Survey" xfId="21963"/>
    <cellStyle name="RowTitles-Detail 4 2 2 4 4 3 3" xfId="21964"/>
    <cellStyle name="RowTitles-Detail 4 2 2 4 4 3_Tertiary Salaries Survey" xfId="21965"/>
    <cellStyle name="RowTitles-Detail 4 2 2 4 4 4" xfId="21966"/>
    <cellStyle name="RowTitles-Detail 4 2 2 4 4 5" xfId="21967"/>
    <cellStyle name="RowTitles-Detail 4 2 2 4 4 5 2" xfId="21968"/>
    <cellStyle name="RowTitles-Detail 4 2 2 4 4 5_Tertiary Salaries Survey" xfId="21969"/>
    <cellStyle name="RowTitles-Detail 4 2 2 4 4 6" xfId="21970"/>
    <cellStyle name="RowTitles-Detail 4 2 2 4 4_Tertiary Salaries Survey" xfId="21971"/>
    <cellStyle name="RowTitles-Detail 4 2 2 4 5" xfId="21972"/>
    <cellStyle name="RowTitles-Detail 4 2 2 4 5 2" xfId="21973"/>
    <cellStyle name="RowTitles-Detail 4 2 2 4 5 2 2" xfId="21974"/>
    <cellStyle name="RowTitles-Detail 4 2 2 4 5 2 2 2" xfId="21975"/>
    <cellStyle name="RowTitles-Detail 4 2 2 4 5 2 2_Tertiary Salaries Survey" xfId="21976"/>
    <cellStyle name="RowTitles-Detail 4 2 2 4 5 2 3" xfId="21977"/>
    <cellStyle name="RowTitles-Detail 4 2 2 4 5 2_Tertiary Salaries Survey" xfId="21978"/>
    <cellStyle name="RowTitles-Detail 4 2 2 4 5 3" xfId="21979"/>
    <cellStyle name="RowTitles-Detail 4 2 2 4 5 3 2" xfId="21980"/>
    <cellStyle name="RowTitles-Detail 4 2 2 4 5 3 2 2" xfId="21981"/>
    <cellStyle name="RowTitles-Detail 4 2 2 4 5 3 2_Tertiary Salaries Survey" xfId="21982"/>
    <cellStyle name="RowTitles-Detail 4 2 2 4 5 3 3" xfId="21983"/>
    <cellStyle name="RowTitles-Detail 4 2 2 4 5 3_Tertiary Salaries Survey" xfId="21984"/>
    <cellStyle name="RowTitles-Detail 4 2 2 4 5 4" xfId="21985"/>
    <cellStyle name="RowTitles-Detail 4 2 2 4 5 4 2" xfId="21986"/>
    <cellStyle name="RowTitles-Detail 4 2 2 4 5 4_Tertiary Salaries Survey" xfId="21987"/>
    <cellStyle name="RowTitles-Detail 4 2 2 4 5 5" xfId="21988"/>
    <cellStyle name="RowTitles-Detail 4 2 2 4 5_Tertiary Salaries Survey" xfId="21989"/>
    <cellStyle name="RowTitles-Detail 4 2 2 4 6" xfId="21990"/>
    <cellStyle name="RowTitles-Detail 4 2 2 4 6 2" xfId="21991"/>
    <cellStyle name="RowTitles-Detail 4 2 2 4 6 2 2" xfId="21992"/>
    <cellStyle name="RowTitles-Detail 4 2 2 4 6 2 2 2" xfId="21993"/>
    <cellStyle name="RowTitles-Detail 4 2 2 4 6 2 2_Tertiary Salaries Survey" xfId="21994"/>
    <cellStyle name="RowTitles-Detail 4 2 2 4 6 2 3" xfId="21995"/>
    <cellStyle name="RowTitles-Detail 4 2 2 4 6 2_Tertiary Salaries Survey" xfId="21996"/>
    <cellStyle name="RowTitles-Detail 4 2 2 4 6 3" xfId="21997"/>
    <cellStyle name="RowTitles-Detail 4 2 2 4 6 3 2" xfId="21998"/>
    <cellStyle name="RowTitles-Detail 4 2 2 4 6 3 2 2" xfId="21999"/>
    <cellStyle name="RowTitles-Detail 4 2 2 4 6 3 2_Tertiary Salaries Survey" xfId="22000"/>
    <cellStyle name="RowTitles-Detail 4 2 2 4 6 3 3" xfId="22001"/>
    <cellStyle name="RowTitles-Detail 4 2 2 4 6 3_Tertiary Salaries Survey" xfId="22002"/>
    <cellStyle name="RowTitles-Detail 4 2 2 4 6 4" xfId="22003"/>
    <cellStyle name="RowTitles-Detail 4 2 2 4 6 4 2" xfId="22004"/>
    <cellStyle name="RowTitles-Detail 4 2 2 4 6 4_Tertiary Salaries Survey" xfId="22005"/>
    <cellStyle name="RowTitles-Detail 4 2 2 4 6 5" xfId="22006"/>
    <cellStyle name="RowTitles-Detail 4 2 2 4 6_Tertiary Salaries Survey" xfId="22007"/>
    <cellStyle name="RowTitles-Detail 4 2 2 4 7" xfId="22008"/>
    <cellStyle name="RowTitles-Detail 4 2 2 4 7 2" xfId="22009"/>
    <cellStyle name="RowTitles-Detail 4 2 2 4 7 2 2" xfId="22010"/>
    <cellStyle name="RowTitles-Detail 4 2 2 4 7 2_Tertiary Salaries Survey" xfId="22011"/>
    <cellStyle name="RowTitles-Detail 4 2 2 4 7 3" xfId="22012"/>
    <cellStyle name="RowTitles-Detail 4 2 2 4 7_Tertiary Salaries Survey" xfId="22013"/>
    <cellStyle name="RowTitles-Detail 4 2 2 4 8" xfId="22014"/>
    <cellStyle name="RowTitles-Detail 4 2 2 4 9" xfId="22015"/>
    <cellStyle name="RowTitles-Detail 4 2 2 4_STUD aligned by INSTIT" xfId="22016"/>
    <cellStyle name="RowTitles-Detail 4 2 2 5" xfId="22017"/>
    <cellStyle name="RowTitles-Detail 4 2 2 5 2" xfId="22018"/>
    <cellStyle name="RowTitles-Detail 4 2 2 5 2 2" xfId="22019"/>
    <cellStyle name="RowTitles-Detail 4 2 2 5 2 2 2" xfId="22020"/>
    <cellStyle name="RowTitles-Detail 4 2 2 5 2 2_Tertiary Salaries Survey" xfId="22021"/>
    <cellStyle name="RowTitles-Detail 4 2 2 5 2 3" xfId="22022"/>
    <cellStyle name="RowTitles-Detail 4 2 2 5 2_Tertiary Salaries Survey" xfId="22023"/>
    <cellStyle name="RowTitles-Detail 4 2 2 5 3" xfId="22024"/>
    <cellStyle name="RowTitles-Detail 4 2 2 5 3 2" xfId="22025"/>
    <cellStyle name="RowTitles-Detail 4 2 2 5 3 2 2" xfId="22026"/>
    <cellStyle name="RowTitles-Detail 4 2 2 5 3 2_Tertiary Salaries Survey" xfId="22027"/>
    <cellStyle name="RowTitles-Detail 4 2 2 5 3 3" xfId="22028"/>
    <cellStyle name="RowTitles-Detail 4 2 2 5 3_Tertiary Salaries Survey" xfId="22029"/>
    <cellStyle name="RowTitles-Detail 4 2 2 5 4" xfId="22030"/>
    <cellStyle name="RowTitles-Detail 4 2 2 5 5" xfId="22031"/>
    <cellStyle name="RowTitles-Detail 4 2 2 5 5 2" xfId="22032"/>
    <cellStyle name="RowTitles-Detail 4 2 2 5 5_Tertiary Salaries Survey" xfId="22033"/>
    <cellStyle name="RowTitles-Detail 4 2 2 5 6" xfId="22034"/>
    <cellStyle name="RowTitles-Detail 4 2 2 5_Tertiary Salaries Survey" xfId="22035"/>
    <cellStyle name="RowTitles-Detail 4 2 2 6" xfId="22036"/>
    <cellStyle name="RowTitles-Detail 4 2 2 6 2" xfId="22037"/>
    <cellStyle name="RowTitles-Detail 4 2 2 6 2 2" xfId="22038"/>
    <cellStyle name="RowTitles-Detail 4 2 2 6 2 2 2" xfId="22039"/>
    <cellStyle name="RowTitles-Detail 4 2 2 6 2 2_Tertiary Salaries Survey" xfId="22040"/>
    <cellStyle name="RowTitles-Detail 4 2 2 6 2 3" xfId="22041"/>
    <cellStyle name="RowTitles-Detail 4 2 2 6 2_Tertiary Salaries Survey" xfId="22042"/>
    <cellStyle name="RowTitles-Detail 4 2 2 6 3" xfId="22043"/>
    <cellStyle name="RowTitles-Detail 4 2 2 6 3 2" xfId="22044"/>
    <cellStyle name="RowTitles-Detail 4 2 2 6 3 2 2" xfId="22045"/>
    <cellStyle name="RowTitles-Detail 4 2 2 6 3 2_Tertiary Salaries Survey" xfId="22046"/>
    <cellStyle name="RowTitles-Detail 4 2 2 6 3 3" xfId="22047"/>
    <cellStyle name="RowTitles-Detail 4 2 2 6 3_Tertiary Salaries Survey" xfId="22048"/>
    <cellStyle name="RowTitles-Detail 4 2 2 6 4" xfId="22049"/>
    <cellStyle name="RowTitles-Detail 4 2 2 6 5" xfId="22050"/>
    <cellStyle name="RowTitles-Detail 4 2 2 6_Tertiary Salaries Survey" xfId="22051"/>
    <cellStyle name="RowTitles-Detail 4 2 2 7" xfId="22052"/>
    <cellStyle name="RowTitles-Detail 4 2 2 7 2" xfId="22053"/>
    <cellStyle name="RowTitles-Detail 4 2 2 7 2 2" xfId="22054"/>
    <cellStyle name="RowTitles-Detail 4 2 2 7 2 2 2" xfId="22055"/>
    <cellStyle name="RowTitles-Detail 4 2 2 7 2 2_Tertiary Salaries Survey" xfId="22056"/>
    <cellStyle name="RowTitles-Detail 4 2 2 7 2 3" xfId="22057"/>
    <cellStyle name="RowTitles-Detail 4 2 2 7 2_Tertiary Salaries Survey" xfId="22058"/>
    <cellStyle name="RowTitles-Detail 4 2 2 7 3" xfId="22059"/>
    <cellStyle name="RowTitles-Detail 4 2 2 7 3 2" xfId="22060"/>
    <cellStyle name="RowTitles-Detail 4 2 2 7 3 2 2" xfId="22061"/>
    <cellStyle name="RowTitles-Detail 4 2 2 7 3 2_Tertiary Salaries Survey" xfId="22062"/>
    <cellStyle name="RowTitles-Detail 4 2 2 7 3 3" xfId="22063"/>
    <cellStyle name="RowTitles-Detail 4 2 2 7 3_Tertiary Salaries Survey" xfId="22064"/>
    <cellStyle name="RowTitles-Detail 4 2 2 7 4" xfId="22065"/>
    <cellStyle name="RowTitles-Detail 4 2 2 7 5" xfId="22066"/>
    <cellStyle name="RowTitles-Detail 4 2 2 7 5 2" xfId="22067"/>
    <cellStyle name="RowTitles-Detail 4 2 2 7 5_Tertiary Salaries Survey" xfId="22068"/>
    <cellStyle name="RowTitles-Detail 4 2 2 7 6" xfId="22069"/>
    <cellStyle name="RowTitles-Detail 4 2 2 7_Tertiary Salaries Survey" xfId="22070"/>
    <cellStyle name="RowTitles-Detail 4 2 2 8" xfId="22071"/>
    <cellStyle name="RowTitles-Detail 4 2 2 8 2" xfId="22072"/>
    <cellStyle name="RowTitles-Detail 4 2 2 8 2 2" xfId="22073"/>
    <cellStyle name="RowTitles-Detail 4 2 2 8 2 2 2" xfId="22074"/>
    <cellStyle name="RowTitles-Detail 4 2 2 8 2 2_Tertiary Salaries Survey" xfId="22075"/>
    <cellStyle name="RowTitles-Detail 4 2 2 8 2 3" xfId="22076"/>
    <cellStyle name="RowTitles-Detail 4 2 2 8 2_Tertiary Salaries Survey" xfId="22077"/>
    <cellStyle name="RowTitles-Detail 4 2 2 8 3" xfId="22078"/>
    <cellStyle name="RowTitles-Detail 4 2 2 8 3 2" xfId="22079"/>
    <cellStyle name="RowTitles-Detail 4 2 2 8 3 2 2" xfId="22080"/>
    <cellStyle name="RowTitles-Detail 4 2 2 8 3 2_Tertiary Salaries Survey" xfId="22081"/>
    <cellStyle name="RowTitles-Detail 4 2 2 8 3 3" xfId="22082"/>
    <cellStyle name="RowTitles-Detail 4 2 2 8 3_Tertiary Salaries Survey" xfId="22083"/>
    <cellStyle name="RowTitles-Detail 4 2 2 8 4" xfId="22084"/>
    <cellStyle name="RowTitles-Detail 4 2 2 8 4 2" xfId="22085"/>
    <cellStyle name="RowTitles-Detail 4 2 2 8 4_Tertiary Salaries Survey" xfId="22086"/>
    <cellStyle name="RowTitles-Detail 4 2 2 8 5" xfId="22087"/>
    <cellStyle name="RowTitles-Detail 4 2 2 8_Tertiary Salaries Survey" xfId="22088"/>
    <cellStyle name="RowTitles-Detail 4 2 2 9" xfId="22089"/>
    <cellStyle name="RowTitles-Detail 4 2 2 9 2" xfId="22090"/>
    <cellStyle name="RowTitles-Detail 4 2 2 9 2 2" xfId="22091"/>
    <cellStyle name="RowTitles-Detail 4 2 2 9 2 2 2" xfId="22092"/>
    <cellStyle name="RowTitles-Detail 4 2 2 9 2 2_Tertiary Salaries Survey" xfId="22093"/>
    <cellStyle name="RowTitles-Detail 4 2 2 9 2 3" xfId="22094"/>
    <cellStyle name="RowTitles-Detail 4 2 2 9 2_Tertiary Salaries Survey" xfId="22095"/>
    <cellStyle name="RowTitles-Detail 4 2 2 9 3" xfId="22096"/>
    <cellStyle name="RowTitles-Detail 4 2 2 9 3 2" xfId="22097"/>
    <cellStyle name="RowTitles-Detail 4 2 2 9 3 2 2" xfId="22098"/>
    <cellStyle name="RowTitles-Detail 4 2 2 9 3 2_Tertiary Salaries Survey" xfId="22099"/>
    <cellStyle name="RowTitles-Detail 4 2 2 9 3 3" xfId="22100"/>
    <cellStyle name="RowTitles-Detail 4 2 2 9 3_Tertiary Salaries Survey" xfId="22101"/>
    <cellStyle name="RowTitles-Detail 4 2 2 9 4" xfId="22102"/>
    <cellStyle name="RowTitles-Detail 4 2 2 9 4 2" xfId="22103"/>
    <cellStyle name="RowTitles-Detail 4 2 2 9 4_Tertiary Salaries Survey" xfId="22104"/>
    <cellStyle name="RowTitles-Detail 4 2 2 9 5" xfId="22105"/>
    <cellStyle name="RowTitles-Detail 4 2 2 9_Tertiary Salaries Survey" xfId="22106"/>
    <cellStyle name="RowTitles-Detail 4 2 2_STUD aligned by INSTIT" xfId="22107"/>
    <cellStyle name="RowTitles-Detail 4 2 3" xfId="22108"/>
    <cellStyle name="RowTitles-Detail 4 2 3 2" xfId="22109"/>
    <cellStyle name="RowTitles-Detail 4 2 3 2 2" xfId="22110"/>
    <cellStyle name="RowTitles-Detail 4 2 3 2 2 2" xfId="22111"/>
    <cellStyle name="RowTitles-Detail 4 2 3 2 2 2 2" xfId="22112"/>
    <cellStyle name="RowTitles-Detail 4 2 3 2 2 2_Tertiary Salaries Survey" xfId="22113"/>
    <cellStyle name="RowTitles-Detail 4 2 3 2 2 3" xfId="22114"/>
    <cellStyle name="RowTitles-Detail 4 2 3 2 2_Tertiary Salaries Survey" xfId="22115"/>
    <cellStyle name="RowTitles-Detail 4 2 3 2 3" xfId="22116"/>
    <cellStyle name="RowTitles-Detail 4 2 3 2 3 2" xfId="22117"/>
    <cellStyle name="RowTitles-Detail 4 2 3 2 3 2 2" xfId="22118"/>
    <cellStyle name="RowTitles-Detail 4 2 3 2 3 2_Tertiary Salaries Survey" xfId="22119"/>
    <cellStyle name="RowTitles-Detail 4 2 3 2 3 3" xfId="22120"/>
    <cellStyle name="RowTitles-Detail 4 2 3 2 3_Tertiary Salaries Survey" xfId="22121"/>
    <cellStyle name="RowTitles-Detail 4 2 3 2 4" xfId="22122"/>
    <cellStyle name="RowTitles-Detail 4 2 3 2 5" xfId="22123"/>
    <cellStyle name="RowTitles-Detail 4 2 3 2_Tertiary Salaries Survey" xfId="22124"/>
    <cellStyle name="RowTitles-Detail 4 2 3 3" xfId="22125"/>
    <cellStyle name="RowTitles-Detail 4 2 3 3 2" xfId="22126"/>
    <cellStyle name="RowTitles-Detail 4 2 3 3 2 2" xfId="22127"/>
    <cellStyle name="RowTitles-Detail 4 2 3 3 2 2 2" xfId="22128"/>
    <cellStyle name="RowTitles-Detail 4 2 3 3 2 2_Tertiary Salaries Survey" xfId="22129"/>
    <cellStyle name="RowTitles-Detail 4 2 3 3 2 3" xfId="22130"/>
    <cellStyle name="RowTitles-Detail 4 2 3 3 2_Tertiary Salaries Survey" xfId="22131"/>
    <cellStyle name="RowTitles-Detail 4 2 3 3 3" xfId="22132"/>
    <cellStyle name="RowTitles-Detail 4 2 3 3 3 2" xfId="22133"/>
    <cellStyle name="RowTitles-Detail 4 2 3 3 3 2 2" xfId="22134"/>
    <cellStyle name="RowTitles-Detail 4 2 3 3 3 2_Tertiary Salaries Survey" xfId="22135"/>
    <cellStyle name="RowTitles-Detail 4 2 3 3 3 3" xfId="22136"/>
    <cellStyle name="RowTitles-Detail 4 2 3 3 3_Tertiary Salaries Survey" xfId="22137"/>
    <cellStyle name="RowTitles-Detail 4 2 3 3 4" xfId="22138"/>
    <cellStyle name="RowTitles-Detail 4 2 3 3 5" xfId="22139"/>
    <cellStyle name="RowTitles-Detail 4 2 3 3 5 2" xfId="22140"/>
    <cellStyle name="RowTitles-Detail 4 2 3 3 5_Tertiary Salaries Survey" xfId="22141"/>
    <cellStyle name="RowTitles-Detail 4 2 3 3 6" xfId="22142"/>
    <cellStyle name="RowTitles-Detail 4 2 3 3_Tertiary Salaries Survey" xfId="22143"/>
    <cellStyle name="RowTitles-Detail 4 2 3 4" xfId="22144"/>
    <cellStyle name="RowTitles-Detail 4 2 3 4 2" xfId="22145"/>
    <cellStyle name="RowTitles-Detail 4 2 3 4 2 2" xfId="22146"/>
    <cellStyle name="RowTitles-Detail 4 2 3 4 2 2 2" xfId="22147"/>
    <cellStyle name="RowTitles-Detail 4 2 3 4 2 2_Tertiary Salaries Survey" xfId="22148"/>
    <cellStyle name="RowTitles-Detail 4 2 3 4 2 3" xfId="22149"/>
    <cellStyle name="RowTitles-Detail 4 2 3 4 2_Tertiary Salaries Survey" xfId="22150"/>
    <cellStyle name="RowTitles-Detail 4 2 3 4 3" xfId="22151"/>
    <cellStyle name="RowTitles-Detail 4 2 3 4 3 2" xfId="22152"/>
    <cellStyle name="RowTitles-Detail 4 2 3 4 3 2 2" xfId="22153"/>
    <cellStyle name="RowTitles-Detail 4 2 3 4 3 2_Tertiary Salaries Survey" xfId="22154"/>
    <cellStyle name="RowTitles-Detail 4 2 3 4 3 3" xfId="22155"/>
    <cellStyle name="RowTitles-Detail 4 2 3 4 3_Tertiary Salaries Survey" xfId="22156"/>
    <cellStyle name="RowTitles-Detail 4 2 3 4 4" xfId="22157"/>
    <cellStyle name="RowTitles-Detail 4 2 3 4 4 2" xfId="22158"/>
    <cellStyle name="RowTitles-Detail 4 2 3 4 4_Tertiary Salaries Survey" xfId="22159"/>
    <cellStyle name="RowTitles-Detail 4 2 3 4 5" xfId="22160"/>
    <cellStyle name="RowTitles-Detail 4 2 3 4_Tertiary Salaries Survey" xfId="22161"/>
    <cellStyle name="RowTitles-Detail 4 2 3 5" xfId="22162"/>
    <cellStyle name="RowTitles-Detail 4 2 3 5 2" xfId="22163"/>
    <cellStyle name="RowTitles-Detail 4 2 3 5 2 2" xfId="22164"/>
    <cellStyle name="RowTitles-Detail 4 2 3 5 2 2 2" xfId="22165"/>
    <cellStyle name="RowTitles-Detail 4 2 3 5 2 2_Tertiary Salaries Survey" xfId="22166"/>
    <cellStyle name="RowTitles-Detail 4 2 3 5 2 3" xfId="22167"/>
    <cellStyle name="RowTitles-Detail 4 2 3 5 2_Tertiary Salaries Survey" xfId="22168"/>
    <cellStyle name="RowTitles-Detail 4 2 3 5 3" xfId="22169"/>
    <cellStyle name="RowTitles-Detail 4 2 3 5 3 2" xfId="22170"/>
    <cellStyle name="RowTitles-Detail 4 2 3 5 3 2 2" xfId="22171"/>
    <cellStyle name="RowTitles-Detail 4 2 3 5 3 2_Tertiary Salaries Survey" xfId="22172"/>
    <cellStyle name="RowTitles-Detail 4 2 3 5 3 3" xfId="22173"/>
    <cellStyle name="RowTitles-Detail 4 2 3 5 3_Tertiary Salaries Survey" xfId="22174"/>
    <cellStyle name="RowTitles-Detail 4 2 3 5 4" xfId="22175"/>
    <cellStyle name="RowTitles-Detail 4 2 3 5 4 2" xfId="22176"/>
    <cellStyle name="RowTitles-Detail 4 2 3 5 4_Tertiary Salaries Survey" xfId="22177"/>
    <cellStyle name="RowTitles-Detail 4 2 3 5 5" xfId="22178"/>
    <cellStyle name="RowTitles-Detail 4 2 3 5_Tertiary Salaries Survey" xfId="22179"/>
    <cellStyle name="RowTitles-Detail 4 2 3 6" xfId="22180"/>
    <cellStyle name="RowTitles-Detail 4 2 3 6 2" xfId="22181"/>
    <cellStyle name="RowTitles-Detail 4 2 3 6 2 2" xfId="22182"/>
    <cellStyle name="RowTitles-Detail 4 2 3 6 2 2 2" xfId="22183"/>
    <cellStyle name="RowTitles-Detail 4 2 3 6 2 2_Tertiary Salaries Survey" xfId="22184"/>
    <cellStyle name="RowTitles-Detail 4 2 3 6 2 3" xfId="22185"/>
    <cellStyle name="RowTitles-Detail 4 2 3 6 2_Tertiary Salaries Survey" xfId="22186"/>
    <cellStyle name="RowTitles-Detail 4 2 3 6 3" xfId="22187"/>
    <cellStyle name="RowTitles-Detail 4 2 3 6 3 2" xfId="22188"/>
    <cellStyle name="RowTitles-Detail 4 2 3 6 3 2 2" xfId="22189"/>
    <cellStyle name="RowTitles-Detail 4 2 3 6 3 2_Tertiary Salaries Survey" xfId="22190"/>
    <cellStyle name="RowTitles-Detail 4 2 3 6 3 3" xfId="22191"/>
    <cellStyle name="RowTitles-Detail 4 2 3 6 3_Tertiary Salaries Survey" xfId="22192"/>
    <cellStyle name="RowTitles-Detail 4 2 3 6 4" xfId="22193"/>
    <cellStyle name="RowTitles-Detail 4 2 3 6 4 2" xfId="22194"/>
    <cellStyle name="RowTitles-Detail 4 2 3 6 4_Tertiary Salaries Survey" xfId="22195"/>
    <cellStyle name="RowTitles-Detail 4 2 3 6 5" xfId="22196"/>
    <cellStyle name="RowTitles-Detail 4 2 3 6_Tertiary Salaries Survey" xfId="22197"/>
    <cellStyle name="RowTitles-Detail 4 2 3 7" xfId="22198"/>
    <cellStyle name="RowTitles-Detail 4 2 3 7 2" xfId="22199"/>
    <cellStyle name="RowTitles-Detail 4 2 3 7 2 2" xfId="22200"/>
    <cellStyle name="RowTitles-Detail 4 2 3 7 2_Tertiary Salaries Survey" xfId="22201"/>
    <cellStyle name="RowTitles-Detail 4 2 3 7 3" xfId="22202"/>
    <cellStyle name="RowTitles-Detail 4 2 3 7_Tertiary Salaries Survey" xfId="22203"/>
    <cellStyle name="RowTitles-Detail 4 2 3 8" xfId="22204"/>
    <cellStyle name="RowTitles-Detail 4 2 3 9" xfId="22205"/>
    <cellStyle name="RowTitles-Detail 4 2 3_STUD aligned by INSTIT" xfId="22206"/>
    <cellStyle name="RowTitles-Detail 4 2 4" xfId="22207"/>
    <cellStyle name="RowTitles-Detail 4 2 4 2" xfId="22208"/>
    <cellStyle name="RowTitles-Detail 4 2 4 2 2" xfId="22209"/>
    <cellStyle name="RowTitles-Detail 4 2 4 2 2 2" xfId="22210"/>
    <cellStyle name="RowTitles-Detail 4 2 4 2 2 2 2" xfId="22211"/>
    <cellStyle name="RowTitles-Detail 4 2 4 2 2 2_Tertiary Salaries Survey" xfId="22212"/>
    <cellStyle name="RowTitles-Detail 4 2 4 2 2 3" xfId="22213"/>
    <cellStyle name="RowTitles-Detail 4 2 4 2 2_Tertiary Salaries Survey" xfId="22214"/>
    <cellStyle name="RowTitles-Detail 4 2 4 2 3" xfId="22215"/>
    <cellStyle name="RowTitles-Detail 4 2 4 2 3 2" xfId="22216"/>
    <cellStyle name="RowTitles-Detail 4 2 4 2 3 2 2" xfId="22217"/>
    <cellStyle name="RowTitles-Detail 4 2 4 2 3 2_Tertiary Salaries Survey" xfId="22218"/>
    <cellStyle name="RowTitles-Detail 4 2 4 2 3 3" xfId="22219"/>
    <cellStyle name="RowTitles-Detail 4 2 4 2 3_Tertiary Salaries Survey" xfId="22220"/>
    <cellStyle name="RowTitles-Detail 4 2 4 2 4" xfId="22221"/>
    <cellStyle name="RowTitles-Detail 4 2 4 2 5" xfId="22222"/>
    <cellStyle name="RowTitles-Detail 4 2 4 2 5 2" xfId="22223"/>
    <cellStyle name="RowTitles-Detail 4 2 4 2 5_Tertiary Salaries Survey" xfId="22224"/>
    <cellStyle name="RowTitles-Detail 4 2 4 2 6" xfId="22225"/>
    <cellStyle name="RowTitles-Detail 4 2 4 2_Tertiary Salaries Survey" xfId="22226"/>
    <cellStyle name="RowTitles-Detail 4 2 4 3" xfId="22227"/>
    <cellStyle name="RowTitles-Detail 4 2 4 3 2" xfId="22228"/>
    <cellStyle name="RowTitles-Detail 4 2 4 3 2 2" xfId="22229"/>
    <cellStyle name="RowTitles-Detail 4 2 4 3 2 2 2" xfId="22230"/>
    <cellStyle name="RowTitles-Detail 4 2 4 3 2 2_Tertiary Salaries Survey" xfId="22231"/>
    <cellStyle name="RowTitles-Detail 4 2 4 3 2 3" xfId="22232"/>
    <cellStyle name="RowTitles-Detail 4 2 4 3 2_Tertiary Salaries Survey" xfId="22233"/>
    <cellStyle name="RowTitles-Detail 4 2 4 3 3" xfId="22234"/>
    <cellStyle name="RowTitles-Detail 4 2 4 3 3 2" xfId="22235"/>
    <cellStyle name="RowTitles-Detail 4 2 4 3 3 2 2" xfId="22236"/>
    <cellStyle name="RowTitles-Detail 4 2 4 3 3 2_Tertiary Salaries Survey" xfId="22237"/>
    <cellStyle name="RowTitles-Detail 4 2 4 3 3 3" xfId="22238"/>
    <cellStyle name="RowTitles-Detail 4 2 4 3 3_Tertiary Salaries Survey" xfId="22239"/>
    <cellStyle name="RowTitles-Detail 4 2 4 3 4" xfId="22240"/>
    <cellStyle name="RowTitles-Detail 4 2 4 3 5" xfId="22241"/>
    <cellStyle name="RowTitles-Detail 4 2 4 3_Tertiary Salaries Survey" xfId="22242"/>
    <cellStyle name="RowTitles-Detail 4 2 4 4" xfId="22243"/>
    <cellStyle name="RowTitles-Detail 4 2 4 4 2" xfId="22244"/>
    <cellStyle name="RowTitles-Detail 4 2 4 4 2 2" xfId="22245"/>
    <cellStyle name="RowTitles-Detail 4 2 4 4 2 2 2" xfId="22246"/>
    <cellStyle name="RowTitles-Detail 4 2 4 4 2 2_Tertiary Salaries Survey" xfId="22247"/>
    <cellStyle name="RowTitles-Detail 4 2 4 4 2 3" xfId="22248"/>
    <cellStyle name="RowTitles-Detail 4 2 4 4 2_Tertiary Salaries Survey" xfId="22249"/>
    <cellStyle name="RowTitles-Detail 4 2 4 4 3" xfId="22250"/>
    <cellStyle name="RowTitles-Detail 4 2 4 4 3 2" xfId="22251"/>
    <cellStyle name="RowTitles-Detail 4 2 4 4 3 2 2" xfId="22252"/>
    <cellStyle name="RowTitles-Detail 4 2 4 4 3 2_Tertiary Salaries Survey" xfId="22253"/>
    <cellStyle name="RowTitles-Detail 4 2 4 4 3 3" xfId="22254"/>
    <cellStyle name="RowTitles-Detail 4 2 4 4 3_Tertiary Salaries Survey" xfId="22255"/>
    <cellStyle name="RowTitles-Detail 4 2 4 4 4" xfId="22256"/>
    <cellStyle name="RowTitles-Detail 4 2 4 4 4 2" xfId="22257"/>
    <cellStyle name="RowTitles-Detail 4 2 4 4 4_Tertiary Salaries Survey" xfId="22258"/>
    <cellStyle name="RowTitles-Detail 4 2 4 4 5" xfId="22259"/>
    <cellStyle name="RowTitles-Detail 4 2 4 4_Tertiary Salaries Survey" xfId="22260"/>
    <cellStyle name="RowTitles-Detail 4 2 4 5" xfId="22261"/>
    <cellStyle name="RowTitles-Detail 4 2 4 5 2" xfId="22262"/>
    <cellStyle name="RowTitles-Detail 4 2 4 5 2 2" xfId="22263"/>
    <cellStyle name="RowTitles-Detail 4 2 4 5 2 2 2" xfId="22264"/>
    <cellStyle name="RowTitles-Detail 4 2 4 5 2 2_Tertiary Salaries Survey" xfId="22265"/>
    <cellStyle name="RowTitles-Detail 4 2 4 5 2 3" xfId="22266"/>
    <cellStyle name="RowTitles-Detail 4 2 4 5 2_Tertiary Salaries Survey" xfId="22267"/>
    <cellStyle name="RowTitles-Detail 4 2 4 5 3" xfId="22268"/>
    <cellStyle name="RowTitles-Detail 4 2 4 5 3 2" xfId="22269"/>
    <cellStyle name="RowTitles-Detail 4 2 4 5 3 2 2" xfId="22270"/>
    <cellStyle name="RowTitles-Detail 4 2 4 5 3 2_Tertiary Salaries Survey" xfId="22271"/>
    <cellStyle name="RowTitles-Detail 4 2 4 5 3 3" xfId="22272"/>
    <cellStyle name="RowTitles-Detail 4 2 4 5 3_Tertiary Salaries Survey" xfId="22273"/>
    <cellStyle name="RowTitles-Detail 4 2 4 5 4" xfId="22274"/>
    <cellStyle name="RowTitles-Detail 4 2 4 5 4 2" xfId="22275"/>
    <cellStyle name="RowTitles-Detail 4 2 4 5 4_Tertiary Salaries Survey" xfId="22276"/>
    <cellStyle name="RowTitles-Detail 4 2 4 5 5" xfId="22277"/>
    <cellStyle name="RowTitles-Detail 4 2 4 5_Tertiary Salaries Survey" xfId="22278"/>
    <cellStyle name="RowTitles-Detail 4 2 4 6" xfId="22279"/>
    <cellStyle name="RowTitles-Detail 4 2 4 6 2" xfId="22280"/>
    <cellStyle name="RowTitles-Detail 4 2 4 6 2 2" xfId="22281"/>
    <cellStyle name="RowTitles-Detail 4 2 4 6 2 2 2" xfId="22282"/>
    <cellStyle name="RowTitles-Detail 4 2 4 6 2 2_Tertiary Salaries Survey" xfId="22283"/>
    <cellStyle name="RowTitles-Detail 4 2 4 6 2 3" xfId="22284"/>
    <cellStyle name="RowTitles-Detail 4 2 4 6 2_Tertiary Salaries Survey" xfId="22285"/>
    <cellStyle name="RowTitles-Detail 4 2 4 6 3" xfId="22286"/>
    <cellStyle name="RowTitles-Detail 4 2 4 6 3 2" xfId="22287"/>
    <cellStyle name="RowTitles-Detail 4 2 4 6 3 2 2" xfId="22288"/>
    <cellStyle name="RowTitles-Detail 4 2 4 6 3 2_Tertiary Salaries Survey" xfId="22289"/>
    <cellStyle name="RowTitles-Detail 4 2 4 6 3 3" xfId="22290"/>
    <cellStyle name="RowTitles-Detail 4 2 4 6 3_Tertiary Salaries Survey" xfId="22291"/>
    <cellStyle name="RowTitles-Detail 4 2 4 6 4" xfId="22292"/>
    <cellStyle name="RowTitles-Detail 4 2 4 6 4 2" xfId="22293"/>
    <cellStyle name="RowTitles-Detail 4 2 4 6 4_Tertiary Salaries Survey" xfId="22294"/>
    <cellStyle name="RowTitles-Detail 4 2 4 6 5" xfId="22295"/>
    <cellStyle name="RowTitles-Detail 4 2 4 6_Tertiary Salaries Survey" xfId="22296"/>
    <cellStyle name="RowTitles-Detail 4 2 4 7" xfId="22297"/>
    <cellStyle name="RowTitles-Detail 4 2 4 7 2" xfId="22298"/>
    <cellStyle name="RowTitles-Detail 4 2 4 7 2 2" xfId="22299"/>
    <cellStyle name="RowTitles-Detail 4 2 4 7 2_Tertiary Salaries Survey" xfId="22300"/>
    <cellStyle name="RowTitles-Detail 4 2 4 7 3" xfId="22301"/>
    <cellStyle name="RowTitles-Detail 4 2 4 7_Tertiary Salaries Survey" xfId="22302"/>
    <cellStyle name="RowTitles-Detail 4 2 4 8" xfId="22303"/>
    <cellStyle name="RowTitles-Detail 4 2 4 8 2" xfId="22304"/>
    <cellStyle name="RowTitles-Detail 4 2 4 8 2 2" xfId="22305"/>
    <cellStyle name="RowTitles-Detail 4 2 4 8 2_Tertiary Salaries Survey" xfId="22306"/>
    <cellStyle name="RowTitles-Detail 4 2 4 8 3" xfId="22307"/>
    <cellStyle name="RowTitles-Detail 4 2 4 8_Tertiary Salaries Survey" xfId="22308"/>
    <cellStyle name="RowTitles-Detail 4 2 4 9" xfId="22309"/>
    <cellStyle name="RowTitles-Detail 4 2 4_STUD aligned by INSTIT" xfId="22310"/>
    <cellStyle name="RowTitles-Detail 4 2 5" xfId="22311"/>
    <cellStyle name="RowTitles-Detail 4 2 5 2" xfId="22312"/>
    <cellStyle name="RowTitles-Detail 4 2 5 2 2" xfId="22313"/>
    <cellStyle name="RowTitles-Detail 4 2 5 2 2 2" xfId="22314"/>
    <cellStyle name="RowTitles-Detail 4 2 5 2 2 2 2" xfId="22315"/>
    <cellStyle name="RowTitles-Detail 4 2 5 2 2 2_Tertiary Salaries Survey" xfId="22316"/>
    <cellStyle name="RowTitles-Detail 4 2 5 2 2 3" xfId="22317"/>
    <cellStyle name="RowTitles-Detail 4 2 5 2 2_Tertiary Salaries Survey" xfId="22318"/>
    <cellStyle name="RowTitles-Detail 4 2 5 2 3" xfId="22319"/>
    <cellStyle name="RowTitles-Detail 4 2 5 2 3 2" xfId="22320"/>
    <cellStyle name="RowTitles-Detail 4 2 5 2 3 2 2" xfId="22321"/>
    <cellStyle name="RowTitles-Detail 4 2 5 2 3 2_Tertiary Salaries Survey" xfId="22322"/>
    <cellStyle name="RowTitles-Detail 4 2 5 2 3 3" xfId="22323"/>
    <cellStyle name="RowTitles-Detail 4 2 5 2 3_Tertiary Salaries Survey" xfId="22324"/>
    <cellStyle name="RowTitles-Detail 4 2 5 2 4" xfId="22325"/>
    <cellStyle name="RowTitles-Detail 4 2 5 2 5" xfId="22326"/>
    <cellStyle name="RowTitles-Detail 4 2 5 2 5 2" xfId="22327"/>
    <cellStyle name="RowTitles-Detail 4 2 5 2 5_Tertiary Salaries Survey" xfId="22328"/>
    <cellStyle name="RowTitles-Detail 4 2 5 2 6" xfId="22329"/>
    <cellStyle name="RowTitles-Detail 4 2 5 2_Tertiary Salaries Survey" xfId="22330"/>
    <cellStyle name="RowTitles-Detail 4 2 5 3" xfId="22331"/>
    <cellStyle name="RowTitles-Detail 4 2 5 3 2" xfId="22332"/>
    <cellStyle name="RowTitles-Detail 4 2 5 3 2 2" xfId="22333"/>
    <cellStyle name="RowTitles-Detail 4 2 5 3 2 2 2" xfId="22334"/>
    <cellStyle name="RowTitles-Detail 4 2 5 3 2 2_Tertiary Salaries Survey" xfId="22335"/>
    <cellStyle name="RowTitles-Detail 4 2 5 3 2 3" xfId="22336"/>
    <cellStyle name="RowTitles-Detail 4 2 5 3 2_Tertiary Salaries Survey" xfId="22337"/>
    <cellStyle name="RowTitles-Detail 4 2 5 3 3" xfId="22338"/>
    <cellStyle name="RowTitles-Detail 4 2 5 3 3 2" xfId="22339"/>
    <cellStyle name="RowTitles-Detail 4 2 5 3 3 2 2" xfId="22340"/>
    <cellStyle name="RowTitles-Detail 4 2 5 3 3 2_Tertiary Salaries Survey" xfId="22341"/>
    <cellStyle name="RowTitles-Detail 4 2 5 3 3 3" xfId="22342"/>
    <cellStyle name="RowTitles-Detail 4 2 5 3 3_Tertiary Salaries Survey" xfId="22343"/>
    <cellStyle name="RowTitles-Detail 4 2 5 3 4" xfId="22344"/>
    <cellStyle name="RowTitles-Detail 4 2 5 3 5" xfId="22345"/>
    <cellStyle name="RowTitles-Detail 4 2 5 3_Tertiary Salaries Survey" xfId="22346"/>
    <cellStyle name="RowTitles-Detail 4 2 5 4" xfId="22347"/>
    <cellStyle name="RowTitles-Detail 4 2 5 4 2" xfId="22348"/>
    <cellStyle name="RowTitles-Detail 4 2 5 4 2 2" xfId="22349"/>
    <cellStyle name="RowTitles-Detail 4 2 5 4 2 2 2" xfId="22350"/>
    <cellStyle name="RowTitles-Detail 4 2 5 4 2 2_Tertiary Salaries Survey" xfId="22351"/>
    <cellStyle name="RowTitles-Detail 4 2 5 4 2 3" xfId="22352"/>
    <cellStyle name="RowTitles-Detail 4 2 5 4 2_Tertiary Salaries Survey" xfId="22353"/>
    <cellStyle name="RowTitles-Detail 4 2 5 4 3" xfId="22354"/>
    <cellStyle name="RowTitles-Detail 4 2 5 4 3 2" xfId="22355"/>
    <cellStyle name="RowTitles-Detail 4 2 5 4 3 2 2" xfId="22356"/>
    <cellStyle name="RowTitles-Detail 4 2 5 4 3 2_Tertiary Salaries Survey" xfId="22357"/>
    <cellStyle name="RowTitles-Detail 4 2 5 4 3 3" xfId="22358"/>
    <cellStyle name="RowTitles-Detail 4 2 5 4 3_Tertiary Salaries Survey" xfId="22359"/>
    <cellStyle name="RowTitles-Detail 4 2 5 4 4" xfId="22360"/>
    <cellStyle name="RowTitles-Detail 4 2 5 4 5" xfId="22361"/>
    <cellStyle name="RowTitles-Detail 4 2 5 4 5 2" xfId="22362"/>
    <cellStyle name="RowTitles-Detail 4 2 5 4 5_Tertiary Salaries Survey" xfId="22363"/>
    <cellStyle name="RowTitles-Detail 4 2 5 4 6" xfId="22364"/>
    <cellStyle name="RowTitles-Detail 4 2 5 4_Tertiary Salaries Survey" xfId="22365"/>
    <cellStyle name="RowTitles-Detail 4 2 5 5" xfId="22366"/>
    <cellStyle name="RowTitles-Detail 4 2 5 5 2" xfId="22367"/>
    <cellStyle name="RowTitles-Detail 4 2 5 5 2 2" xfId="22368"/>
    <cellStyle name="RowTitles-Detail 4 2 5 5 2 2 2" xfId="22369"/>
    <cellStyle name="RowTitles-Detail 4 2 5 5 2 2_Tertiary Salaries Survey" xfId="22370"/>
    <cellStyle name="RowTitles-Detail 4 2 5 5 2 3" xfId="22371"/>
    <cellStyle name="RowTitles-Detail 4 2 5 5 2_Tertiary Salaries Survey" xfId="22372"/>
    <cellStyle name="RowTitles-Detail 4 2 5 5 3" xfId="22373"/>
    <cellStyle name="RowTitles-Detail 4 2 5 5 3 2" xfId="22374"/>
    <cellStyle name="RowTitles-Detail 4 2 5 5 3 2 2" xfId="22375"/>
    <cellStyle name="RowTitles-Detail 4 2 5 5 3 2_Tertiary Salaries Survey" xfId="22376"/>
    <cellStyle name="RowTitles-Detail 4 2 5 5 3 3" xfId="22377"/>
    <cellStyle name="RowTitles-Detail 4 2 5 5 3_Tertiary Salaries Survey" xfId="22378"/>
    <cellStyle name="RowTitles-Detail 4 2 5 5 4" xfId="22379"/>
    <cellStyle name="RowTitles-Detail 4 2 5 5 4 2" xfId="22380"/>
    <cellStyle name="RowTitles-Detail 4 2 5 5 4_Tertiary Salaries Survey" xfId="22381"/>
    <cellStyle name="RowTitles-Detail 4 2 5 5 5" xfId="22382"/>
    <cellStyle name="RowTitles-Detail 4 2 5 5_Tertiary Salaries Survey" xfId="22383"/>
    <cellStyle name="RowTitles-Detail 4 2 5 6" xfId="22384"/>
    <cellStyle name="RowTitles-Detail 4 2 5 6 2" xfId="22385"/>
    <cellStyle name="RowTitles-Detail 4 2 5 6 2 2" xfId="22386"/>
    <cellStyle name="RowTitles-Detail 4 2 5 6 2 2 2" xfId="22387"/>
    <cellStyle name="RowTitles-Detail 4 2 5 6 2 2_Tertiary Salaries Survey" xfId="22388"/>
    <cellStyle name="RowTitles-Detail 4 2 5 6 2 3" xfId="22389"/>
    <cellStyle name="RowTitles-Detail 4 2 5 6 2_Tertiary Salaries Survey" xfId="22390"/>
    <cellStyle name="RowTitles-Detail 4 2 5 6 3" xfId="22391"/>
    <cellStyle name="RowTitles-Detail 4 2 5 6 3 2" xfId="22392"/>
    <cellStyle name="RowTitles-Detail 4 2 5 6 3 2 2" xfId="22393"/>
    <cellStyle name="RowTitles-Detail 4 2 5 6 3 2_Tertiary Salaries Survey" xfId="22394"/>
    <cellStyle name="RowTitles-Detail 4 2 5 6 3 3" xfId="22395"/>
    <cellStyle name="RowTitles-Detail 4 2 5 6 3_Tertiary Salaries Survey" xfId="22396"/>
    <cellStyle name="RowTitles-Detail 4 2 5 6 4" xfId="22397"/>
    <cellStyle name="RowTitles-Detail 4 2 5 6 4 2" xfId="22398"/>
    <cellStyle name="RowTitles-Detail 4 2 5 6 4_Tertiary Salaries Survey" xfId="22399"/>
    <cellStyle name="RowTitles-Detail 4 2 5 6 5" xfId="22400"/>
    <cellStyle name="RowTitles-Detail 4 2 5 6_Tertiary Salaries Survey" xfId="22401"/>
    <cellStyle name="RowTitles-Detail 4 2 5 7" xfId="22402"/>
    <cellStyle name="RowTitles-Detail 4 2 5 7 2" xfId="22403"/>
    <cellStyle name="RowTitles-Detail 4 2 5 7 2 2" xfId="22404"/>
    <cellStyle name="RowTitles-Detail 4 2 5 7 2_Tertiary Salaries Survey" xfId="22405"/>
    <cellStyle name="RowTitles-Detail 4 2 5 7 3" xfId="22406"/>
    <cellStyle name="RowTitles-Detail 4 2 5 7_Tertiary Salaries Survey" xfId="22407"/>
    <cellStyle name="RowTitles-Detail 4 2 5 8" xfId="22408"/>
    <cellStyle name="RowTitles-Detail 4 2 5 9" xfId="22409"/>
    <cellStyle name="RowTitles-Detail 4 2 5_STUD aligned by INSTIT" xfId="22410"/>
    <cellStyle name="RowTitles-Detail 4 2 6" xfId="22411"/>
    <cellStyle name="RowTitles-Detail 4 2 6 2" xfId="22412"/>
    <cellStyle name="RowTitles-Detail 4 2 6 2 2" xfId="22413"/>
    <cellStyle name="RowTitles-Detail 4 2 6 2 2 2" xfId="22414"/>
    <cellStyle name="RowTitles-Detail 4 2 6 2 2_Tertiary Salaries Survey" xfId="22415"/>
    <cellStyle name="RowTitles-Detail 4 2 6 2 3" xfId="22416"/>
    <cellStyle name="RowTitles-Detail 4 2 6 2_Tertiary Salaries Survey" xfId="22417"/>
    <cellStyle name="RowTitles-Detail 4 2 6 3" xfId="22418"/>
    <cellStyle name="RowTitles-Detail 4 2 6 3 2" xfId="22419"/>
    <cellStyle name="RowTitles-Detail 4 2 6 3 2 2" xfId="22420"/>
    <cellStyle name="RowTitles-Detail 4 2 6 3 2_Tertiary Salaries Survey" xfId="22421"/>
    <cellStyle name="RowTitles-Detail 4 2 6 3 3" xfId="22422"/>
    <cellStyle name="RowTitles-Detail 4 2 6 3_Tertiary Salaries Survey" xfId="22423"/>
    <cellStyle name="RowTitles-Detail 4 2 6 4" xfId="22424"/>
    <cellStyle name="RowTitles-Detail 4 2 6 5" xfId="22425"/>
    <cellStyle name="RowTitles-Detail 4 2 6 5 2" xfId="22426"/>
    <cellStyle name="RowTitles-Detail 4 2 6 5_Tertiary Salaries Survey" xfId="22427"/>
    <cellStyle name="RowTitles-Detail 4 2 6 6" xfId="22428"/>
    <cellStyle name="RowTitles-Detail 4 2 6_Tertiary Salaries Survey" xfId="22429"/>
    <cellStyle name="RowTitles-Detail 4 2 7" xfId="22430"/>
    <cellStyle name="RowTitles-Detail 4 2 7 2" xfId="22431"/>
    <cellStyle name="RowTitles-Detail 4 2 7 2 2" xfId="22432"/>
    <cellStyle name="RowTitles-Detail 4 2 7 2 2 2" xfId="22433"/>
    <cellStyle name="RowTitles-Detail 4 2 7 2 2_Tertiary Salaries Survey" xfId="22434"/>
    <cellStyle name="RowTitles-Detail 4 2 7 2 3" xfId="22435"/>
    <cellStyle name="RowTitles-Detail 4 2 7 2_Tertiary Salaries Survey" xfId="22436"/>
    <cellStyle name="RowTitles-Detail 4 2 7 3" xfId="22437"/>
    <cellStyle name="RowTitles-Detail 4 2 7 3 2" xfId="22438"/>
    <cellStyle name="RowTitles-Detail 4 2 7 3 2 2" xfId="22439"/>
    <cellStyle name="RowTitles-Detail 4 2 7 3 2_Tertiary Salaries Survey" xfId="22440"/>
    <cellStyle name="RowTitles-Detail 4 2 7 3 3" xfId="22441"/>
    <cellStyle name="RowTitles-Detail 4 2 7 3_Tertiary Salaries Survey" xfId="22442"/>
    <cellStyle name="RowTitles-Detail 4 2 7 4" xfId="22443"/>
    <cellStyle name="RowTitles-Detail 4 2 7 5" xfId="22444"/>
    <cellStyle name="RowTitles-Detail 4 2 7_Tertiary Salaries Survey" xfId="22445"/>
    <cellStyle name="RowTitles-Detail 4 2 8" xfId="22446"/>
    <cellStyle name="RowTitles-Detail 4 2 8 2" xfId="22447"/>
    <cellStyle name="RowTitles-Detail 4 2 8 2 2" xfId="22448"/>
    <cellStyle name="RowTitles-Detail 4 2 8 2 2 2" xfId="22449"/>
    <cellStyle name="RowTitles-Detail 4 2 8 2 2_Tertiary Salaries Survey" xfId="22450"/>
    <cellStyle name="RowTitles-Detail 4 2 8 2 3" xfId="22451"/>
    <cellStyle name="RowTitles-Detail 4 2 8 2_Tertiary Salaries Survey" xfId="22452"/>
    <cellStyle name="RowTitles-Detail 4 2 8 3" xfId="22453"/>
    <cellStyle name="RowTitles-Detail 4 2 8 3 2" xfId="22454"/>
    <cellStyle name="RowTitles-Detail 4 2 8 3 2 2" xfId="22455"/>
    <cellStyle name="RowTitles-Detail 4 2 8 3 2_Tertiary Salaries Survey" xfId="22456"/>
    <cellStyle name="RowTitles-Detail 4 2 8 3 3" xfId="22457"/>
    <cellStyle name="RowTitles-Detail 4 2 8 3_Tertiary Salaries Survey" xfId="22458"/>
    <cellStyle name="RowTitles-Detail 4 2 8 4" xfId="22459"/>
    <cellStyle name="RowTitles-Detail 4 2 8 5" xfId="22460"/>
    <cellStyle name="RowTitles-Detail 4 2 8 5 2" xfId="22461"/>
    <cellStyle name="RowTitles-Detail 4 2 8 5_Tertiary Salaries Survey" xfId="22462"/>
    <cellStyle name="RowTitles-Detail 4 2 8 6" xfId="22463"/>
    <cellStyle name="RowTitles-Detail 4 2 8_Tertiary Salaries Survey" xfId="22464"/>
    <cellStyle name="RowTitles-Detail 4 2 9" xfId="22465"/>
    <cellStyle name="RowTitles-Detail 4 2 9 2" xfId="22466"/>
    <cellStyle name="RowTitles-Detail 4 2 9 2 2" xfId="22467"/>
    <cellStyle name="RowTitles-Detail 4 2 9 2 2 2" xfId="22468"/>
    <cellStyle name="RowTitles-Detail 4 2 9 2 2_Tertiary Salaries Survey" xfId="22469"/>
    <cellStyle name="RowTitles-Detail 4 2 9 2 3" xfId="22470"/>
    <cellStyle name="RowTitles-Detail 4 2 9 2_Tertiary Salaries Survey" xfId="22471"/>
    <cellStyle name="RowTitles-Detail 4 2 9 3" xfId="22472"/>
    <cellStyle name="RowTitles-Detail 4 2 9 3 2" xfId="22473"/>
    <cellStyle name="RowTitles-Detail 4 2 9 3 2 2" xfId="22474"/>
    <cellStyle name="RowTitles-Detail 4 2 9 3 2_Tertiary Salaries Survey" xfId="22475"/>
    <cellStyle name="RowTitles-Detail 4 2 9 3 3" xfId="22476"/>
    <cellStyle name="RowTitles-Detail 4 2 9 3_Tertiary Salaries Survey" xfId="22477"/>
    <cellStyle name="RowTitles-Detail 4 2 9 4" xfId="22478"/>
    <cellStyle name="RowTitles-Detail 4 2 9 4 2" xfId="22479"/>
    <cellStyle name="RowTitles-Detail 4 2 9 4_Tertiary Salaries Survey" xfId="22480"/>
    <cellStyle name="RowTitles-Detail 4 2 9 5" xfId="22481"/>
    <cellStyle name="RowTitles-Detail 4 2 9_Tertiary Salaries Survey" xfId="22482"/>
    <cellStyle name="RowTitles-Detail 4 2_STUD aligned by INSTIT" xfId="22483"/>
    <cellStyle name="RowTitles-Detail 4 3" xfId="22484"/>
    <cellStyle name="RowTitles-Detail 4 3 10" xfId="22485"/>
    <cellStyle name="RowTitles-Detail 4 3 10 2" xfId="22486"/>
    <cellStyle name="RowTitles-Detail 4 3 10 2 2" xfId="22487"/>
    <cellStyle name="RowTitles-Detail 4 3 10 2_Tertiary Salaries Survey" xfId="22488"/>
    <cellStyle name="RowTitles-Detail 4 3 10 3" xfId="22489"/>
    <cellStyle name="RowTitles-Detail 4 3 10_Tertiary Salaries Survey" xfId="22490"/>
    <cellStyle name="RowTitles-Detail 4 3 11" xfId="22491"/>
    <cellStyle name="RowTitles-Detail 4 3 12" xfId="22492"/>
    <cellStyle name="RowTitles-Detail 4 3 2" xfId="22493"/>
    <cellStyle name="RowTitles-Detail 4 3 2 2" xfId="22494"/>
    <cellStyle name="RowTitles-Detail 4 3 2 2 2" xfId="22495"/>
    <cellStyle name="RowTitles-Detail 4 3 2 2 2 2" xfId="22496"/>
    <cellStyle name="RowTitles-Detail 4 3 2 2 2 2 2" xfId="22497"/>
    <cellStyle name="RowTitles-Detail 4 3 2 2 2 2_Tertiary Salaries Survey" xfId="22498"/>
    <cellStyle name="RowTitles-Detail 4 3 2 2 2 3" xfId="22499"/>
    <cellStyle name="RowTitles-Detail 4 3 2 2 2_Tertiary Salaries Survey" xfId="22500"/>
    <cellStyle name="RowTitles-Detail 4 3 2 2 3" xfId="22501"/>
    <cellStyle name="RowTitles-Detail 4 3 2 2 3 2" xfId="22502"/>
    <cellStyle name="RowTitles-Detail 4 3 2 2 3 2 2" xfId="22503"/>
    <cellStyle name="RowTitles-Detail 4 3 2 2 3 2_Tertiary Salaries Survey" xfId="22504"/>
    <cellStyle name="RowTitles-Detail 4 3 2 2 3 3" xfId="22505"/>
    <cellStyle name="RowTitles-Detail 4 3 2 2 3_Tertiary Salaries Survey" xfId="22506"/>
    <cellStyle name="RowTitles-Detail 4 3 2 2 4" xfId="22507"/>
    <cellStyle name="RowTitles-Detail 4 3 2 2 5" xfId="22508"/>
    <cellStyle name="RowTitles-Detail 4 3 2 2_Tertiary Salaries Survey" xfId="22509"/>
    <cellStyle name="RowTitles-Detail 4 3 2 3" xfId="22510"/>
    <cellStyle name="RowTitles-Detail 4 3 2 3 2" xfId="22511"/>
    <cellStyle name="RowTitles-Detail 4 3 2 3 2 2" xfId="22512"/>
    <cellStyle name="RowTitles-Detail 4 3 2 3 2 2 2" xfId="22513"/>
    <cellStyle name="RowTitles-Detail 4 3 2 3 2 2_Tertiary Salaries Survey" xfId="22514"/>
    <cellStyle name="RowTitles-Detail 4 3 2 3 2 3" xfId="22515"/>
    <cellStyle name="RowTitles-Detail 4 3 2 3 2_Tertiary Salaries Survey" xfId="22516"/>
    <cellStyle name="RowTitles-Detail 4 3 2 3 3" xfId="22517"/>
    <cellStyle name="RowTitles-Detail 4 3 2 3 3 2" xfId="22518"/>
    <cellStyle name="RowTitles-Detail 4 3 2 3 3 2 2" xfId="22519"/>
    <cellStyle name="RowTitles-Detail 4 3 2 3 3 2_Tertiary Salaries Survey" xfId="22520"/>
    <cellStyle name="RowTitles-Detail 4 3 2 3 3 3" xfId="22521"/>
    <cellStyle name="RowTitles-Detail 4 3 2 3 3_Tertiary Salaries Survey" xfId="22522"/>
    <cellStyle name="RowTitles-Detail 4 3 2 3 4" xfId="22523"/>
    <cellStyle name="RowTitles-Detail 4 3 2 3 5" xfId="22524"/>
    <cellStyle name="RowTitles-Detail 4 3 2 3 5 2" xfId="22525"/>
    <cellStyle name="RowTitles-Detail 4 3 2 3 5_Tertiary Salaries Survey" xfId="22526"/>
    <cellStyle name="RowTitles-Detail 4 3 2 3 6" xfId="22527"/>
    <cellStyle name="RowTitles-Detail 4 3 2 3_Tertiary Salaries Survey" xfId="22528"/>
    <cellStyle name="RowTitles-Detail 4 3 2 4" xfId="22529"/>
    <cellStyle name="RowTitles-Detail 4 3 2 4 2" xfId="22530"/>
    <cellStyle name="RowTitles-Detail 4 3 2 4 2 2" xfId="22531"/>
    <cellStyle name="RowTitles-Detail 4 3 2 4 2 2 2" xfId="22532"/>
    <cellStyle name="RowTitles-Detail 4 3 2 4 2 2_Tertiary Salaries Survey" xfId="22533"/>
    <cellStyle name="RowTitles-Detail 4 3 2 4 2 3" xfId="22534"/>
    <cellStyle name="RowTitles-Detail 4 3 2 4 2_Tertiary Salaries Survey" xfId="22535"/>
    <cellStyle name="RowTitles-Detail 4 3 2 4 3" xfId="22536"/>
    <cellStyle name="RowTitles-Detail 4 3 2 4 3 2" xfId="22537"/>
    <cellStyle name="RowTitles-Detail 4 3 2 4 3 2 2" xfId="22538"/>
    <cellStyle name="RowTitles-Detail 4 3 2 4 3 2_Tertiary Salaries Survey" xfId="22539"/>
    <cellStyle name="RowTitles-Detail 4 3 2 4 3 3" xfId="22540"/>
    <cellStyle name="RowTitles-Detail 4 3 2 4 3_Tertiary Salaries Survey" xfId="22541"/>
    <cellStyle name="RowTitles-Detail 4 3 2 4 4" xfId="22542"/>
    <cellStyle name="RowTitles-Detail 4 3 2 4 4 2" xfId="22543"/>
    <cellStyle name="RowTitles-Detail 4 3 2 4 4_Tertiary Salaries Survey" xfId="22544"/>
    <cellStyle name="RowTitles-Detail 4 3 2 4 5" xfId="22545"/>
    <cellStyle name="RowTitles-Detail 4 3 2 4_Tertiary Salaries Survey" xfId="22546"/>
    <cellStyle name="RowTitles-Detail 4 3 2 5" xfId="22547"/>
    <cellStyle name="RowTitles-Detail 4 3 2 5 2" xfId="22548"/>
    <cellStyle name="RowTitles-Detail 4 3 2 5 2 2" xfId="22549"/>
    <cellStyle name="RowTitles-Detail 4 3 2 5 2 2 2" xfId="22550"/>
    <cellStyle name="RowTitles-Detail 4 3 2 5 2 2_Tertiary Salaries Survey" xfId="22551"/>
    <cellStyle name="RowTitles-Detail 4 3 2 5 2 3" xfId="22552"/>
    <cellStyle name="RowTitles-Detail 4 3 2 5 2_Tertiary Salaries Survey" xfId="22553"/>
    <cellStyle name="RowTitles-Detail 4 3 2 5 3" xfId="22554"/>
    <cellStyle name="RowTitles-Detail 4 3 2 5 3 2" xfId="22555"/>
    <cellStyle name="RowTitles-Detail 4 3 2 5 3 2 2" xfId="22556"/>
    <cellStyle name="RowTitles-Detail 4 3 2 5 3 2_Tertiary Salaries Survey" xfId="22557"/>
    <cellStyle name="RowTitles-Detail 4 3 2 5 3 3" xfId="22558"/>
    <cellStyle name="RowTitles-Detail 4 3 2 5 3_Tertiary Salaries Survey" xfId="22559"/>
    <cellStyle name="RowTitles-Detail 4 3 2 5 4" xfId="22560"/>
    <cellStyle name="RowTitles-Detail 4 3 2 5 4 2" xfId="22561"/>
    <cellStyle name="RowTitles-Detail 4 3 2 5 4_Tertiary Salaries Survey" xfId="22562"/>
    <cellStyle name="RowTitles-Detail 4 3 2 5 5" xfId="22563"/>
    <cellStyle name="RowTitles-Detail 4 3 2 5_Tertiary Salaries Survey" xfId="22564"/>
    <cellStyle name="RowTitles-Detail 4 3 2 6" xfId="22565"/>
    <cellStyle name="RowTitles-Detail 4 3 2 6 2" xfId="22566"/>
    <cellStyle name="RowTitles-Detail 4 3 2 6 2 2" xfId="22567"/>
    <cellStyle name="RowTitles-Detail 4 3 2 6 2 2 2" xfId="22568"/>
    <cellStyle name="RowTitles-Detail 4 3 2 6 2 2_Tertiary Salaries Survey" xfId="22569"/>
    <cellStyle name="RowTitles-Detail 4 3 2 6 2 3" xfId="22570"/>
    <cellStyle name="RowTitles-Detail 4 3 2 6 2_Tertiary Salaries Survey" xfId="22571"/>
    <cellStyle name="RowTitles-Detail 4 3 2 6 3" xfId="22572"/>
    <cellStyle name="RowTitles-Detail 4 3 2 6 3 2" xfId="22573"/>
    <cellStyle name="RowTitles-Detail 4 3 2 6 3 2 2" xfId="22574"/>
    <cellStyle name="RowTitles-Detail 4 3 2 6 3 2_Tertiary Salaries Survey" xfId="22575"/>
    <cellStyle name="RowTitles-Detail 4 3 2 6 3 3" xfId="22576"/>
    <cellStyle name="RowTitles-Detail 4 3 2 6 3_Tertiary Salaries Survey" xfId="22577"/>
    <cellStyle name="RowTitles-Detail 4 3 2 6 4" xfId="22578"/>
    <cellStyle name="RowTitles-Detail 4 3 2 6 4 2" xfId="22579"/>
    <cellStyle name="RowTitles-Detail 4 3 2 6 4_Tertiary Salaries Survey" xfId="22580"/>
    <cellStyle name="RowTitles-Detail 4 3 2 6 5" xfId="22581"/>
    <cellStyle name="RowTitles-Detail 4 3 2 6_Tertiary Salaries Survey" xfId="22582"/>
    <cellStyle name="RowTitles-Detail 4 3 2 7" xfId="22583"/>
    <cellStyle name="RowTitles-Detail 4 3 2 7 2" xfId="22584"/>
    <cellStyle name="RowTitles-Detail 4 3 2 7 2 2" xfId="22585"/>
    <cellStyle name="RowTitles-Detail 4 3 2 7 2_Tertiary Salaries Survey" xfId="22586"/>
    <cellStyle name="RowTitles-Detail 4 3 2 7 3" xfId="22587"/>
    <cellStyle name="RowTitles-Detail 4 3 2 7_Tertiary Salaries Survey" xfId="22588"/>
    <cellStyle name="RowTitles-Detail 4 3 2 8" xfId="22589"/>
    <cellStyle name="RowTitles-Detail 4 3 2 9" xfId="22590"/>
    <cellStyle name="RowTitles-Detail 4 3 2_STUD aligned by INSTIT" xfId="22591"/>
    <cellStyle name="RowTitles-Detail 4 3 3" xfId="22592"/>
    <cellStyle name="RowTitles-Detail 4 3 3 2" xfId="22593"/>
    <cellStyle name="RowTitles-Detail 4 3 3 2 2" xfId="22594"/>
    <cellStyle name="RowTitles-Detail 4 3 3 2 2 2" xfId="22595"/>
    <cellStyle name="RowTitles-Detail 4 3 3 2 2 2 2" xfId="22596"/>
    <cellStyle name="RowTitles-Detail 4 3 3 2 2 2_Tertiary Salaries Survey" xfId="22597"/>
    <cellStyle name="RowTitles-Detail 4 3 3 2 2 3" xfId="22598"/>
    <cellStyle name="RowTitles-Detail 4 3 3 2 2_Tertiary Salaries Survey" xfId="22599"/>
    <cellStyle name="RowTitles-Detail 4 3 3 2 3" xfId="22600"/>
    <cellStyle name="RowTitles-Detail 4 3 3 2 3 2" xfId="22601"/>
    <cellStyle name="RowTitles-Detail 4 3 3 2 3 2 2" xfId="22602"/>
    <cellStyle name="RowTitles-Detail 4 3 3 2 3 2_Tertiary Salaries Survey" xfId="22603"/>
    <cellStyle name="RowTitles-Detail 4 3 3 2 3 3" xfId="22604"/>
    <cellStyle name="RowTitles-Detail 4 3 3 2 3_Tertiary Salaries Survey" xfId="22605"/>
    <cellStyle name="RowTitles-Detail 4 3 3 2 4" xfId="22606"/>
    <cellStyle name="RowTitles-Detail 4 3 3 2 5" xfId="22607"/>
    <cellStyle name="RowTitles-Detail 4 3 3 2 5 2" xfId="22608"/>
    <cellStyle name="RowTitles-Detail 4 3 3 2 5_Tertiary Salaries Survey" xfId="22609"/>
    <cellStyle name="RowTitles-Detail 4 3 3 2 6" xfId="22610"/>
    <cellStyle name="RowTitles-Detail 4 3 3 2_Tertiary Salaries Survey" xfId="22611"/>
    <cellStyle name="RowTitles-Detail 4 3 3 3" xfId="22612"/>
    <cellStyle name="RowTitles-Detail 4 3 3 3 2" xfId="22613"/>
    <cellStyle name="RowTitles-Detail 4 3 3 3 2 2" xfId="22614"/>
    <cellStyle name="RowTitles-Detail 4 3 3 3 2 2 2" xfId="22615"/>
    <cellStyle name="RowTitles-Detail 4 3 3 3 2 2_Tertiary Salaries Survey" xfId="22616"/>
    <cellStyle name="RowTitles-Detail 4 3 3 3 2 3" xfId="22617"/>
    <cellStyle name="RowTitles-Detail 4 3 3 3 2_Tertiary Salaries Survey" xfId="22618"/>
    <cellStyle name="RowTitles-Detail 4 3 3 3 3" xfId="22619"/>
    <cellStyle name="RowTitles-Detail 4 3 3 3 3 2" xfId="22620"/>
    <cellStyle name="RowTitles-Detail 4 3 3 3 3 2 2" xfId="22621"/>
    <cellStyle name="RowTitles-Detail 4 3 3 3 3 2_Tertiary Salaries Survey" xfId="22622"/>
    <cellStyle name="RowTitles-Detail 4 3 3 3 3 3" xfId="22623"/>
    <cellStyle name="RowTitles-Detail 4 3 3 3 3_Tertiary Salaries Survey" xfId="22624"/>
    <cellStyle name="RowTitles-Detail 4 3 3 3 4" xfId="22625"/>
    <cellStyle name="RowTitles-Detail 4 3 3 3 5" xfId="22626"/>
    <cellStyle name="RowTitles-Detail 4 3 3 3_Tertiary Salaries Survey" xfId="22627"/>
    <cellStyle name="RowTitles-Detail 4 3 3 4" xfId="22628"/>
    <cellStyle name="RowTitles-Detail 4 3 3 4 2" xfId="22629"/>
    <cellStyle name="RowTitles-Detail 4 3 3 4 2 2" xfId="22630"/>
    <cellStyle name="RowTitles-Detail 4 3 3 4 2 2 2" xfId="22631"/>
    <cellStyle name="RowTitles-Detail 4 3 3 4 2 2_Tertiary Salaries Survey" xfId="22632"/>
    <cellStyle name="RowTitles-Detail 4 3 3 4 2 3" xfId="22633"/>
    <cellStyle name="RowTitles-Detail 4 3 3 4 2_Tertiary Salaries Survey" xfId="22634"/>
    <cellStyle name="RowTitles-Detail 4 3 3 4 3" xfId="22635"/>
    <cellStyle name="RowTitles-Detail 4 3 3 4 3 2" xfId="22636"/>
    <cellStyle name="RowTitles-Detail 4 3 3 4 3 2 2" xfId="22637"/>
    <cellStyle name="RowTitles-Detail 4 3 3 4 3 2_Tertiary Salaries Survey" xfId="22638"/>
    <cellStyle name="RowTitles-Detail 4 3 3 4 3 3" xfId="22639"/>
    <cellStyle name="RowTitles-Detail 4 3 3 4 3_Tertiary Salaries Survey" xfId="22640"/>
    <cellStyle name="RowTitles-Detail 4 3 3 4 4" xfId="22641"/>
    <cellStyle name="RowTitles-Detail 4 3 3 4 4 2" xfId="22642"/>
    <cellStyle name="RowTitles-Detail 4 3 3 4 4_Tertiary Salaries Survey" xfId="22643"/>
    <cellStyle name="RowTitles-Detail 4 3 3 4 5" xfId="22644"/>
    <cellStyle name="RowTitles-Detail 4 3 3 4_Tertiary Salaries Survey" xfId="22645"/>
    <cellStyle name="RowTitles-Detail 4 3 3 5" xfId="22646"/>
    <cellStyle name="RowTitles-Detail 4 3 3 5 2" xfId="22647"/>
    <cellStyle name="RowTitles-Detail 4 3 3 5 2 2" xfId="22648"/>
    <cellStyle name="RowTitles-Detail 4 3 3 5 2 2 2" xfId="22649"/>
    <cellStyle name="RowTitles-Detail 4 3 3 5 2 2_Tertiary Salaries Survey" xfId="22650"/>
    <cellStyle name="RowTitles-Detail 4 3 3 5 2 3" xfId="22651"/>
    <cellStyle name="RowTitles-Detail 4 3 3 5 2_Tertiary Salaries Survey" xfId="22652"/>
    <cellStyle name="RowTitles-Detail 4 3 3 5 3" xfId="22653"/>
    <cellStyle name="RowTitles-Detail 4 3 3 5 3 2" xfId="22654"/>
    <cellStyle name="RowTitles-Detail 4 3 3 5 3 2 2" xfId="22655"/>
    <cellStyle name="RowTitles-Detail 4 3 3 5 3 2_Tertiary Salaries Survey" xfId="22656"/>
    <cellStyle name="RowTitles-Detail 4 3 3 5 3 3" xfId="22657"/>
    <cellStyle name="RowTitles-Detail 4 3 3 5 3_Tertiary Salaries Survey" xfId="22658"/>
    <cellStyle name="RowTitles-Detail 4 3 3 5 4" xfId="22659"/>
    <cellStyle name="RowTitles-Detail 4 3 3 5 4 2" xfId="22660"/>
    <cellStyle name="RowTitles-Detail 4 3 3 5 4_Tertiary Salaries Survey" xfId="22661"/>
    <cellStyle name="RowTitles-Detail 4 3 3 5 5" xfId="22662"/>
    <cellStyle name="RowTitles-Detail 4 3 3 5_Tertiary Salaries Survey" xfId="22663"/>
    <cellStyle name="RowTitles-Detail 4 3 3 6" xfId="22664"/>
    <cellStyle name="RowTitles-Detail 4 3 3 6 2" xfId="22665"/>
    <cellStyle name="RowTitles-Detail 4 3 3 6 2 2" xfId="22666"/>
    <cellStyle name="RowTitles-Detail 4 3 3 6 2 2 2" xfId="22667"/>
    <cellStyle name="RowTitles-Detail 4 3 3 6 2 2_Tertiary Salaries Survey" xfId="22668"/>
    <cellStyle name="RowTitles-Detail 4 3 3 6 2 3" xfId="22669"/>
    <cellStyle name="RowTitles-Detail 4 3 3 6 2_Tertiary Salaries Survey" xfId="22670"/>
    <cellStyle name="RowTitles-Detail 4 3 3 6 3" xfId="22671"/>
    <cellStyle name="RowTitles-Detail 4 3 3 6 3 2" xfId="22672"/>
    <cellStyle name="RowTitles-Detail 4 3 3 6 3 2 2" xfId="22673"/>
    <cellStyle name="RowTitles-Detail 4 3 3 6 3 2_Tertiary Salaries Survey" xfId="22674"/>
    <cellStyle name="RowTitles-Detail 4 3 3 6 3 3" xfId="22675"/>
    <cellStyle name="RowTitles-Detail 4 3 3 6 3_Tertiary Salaries Survey" xfId="22676"/>
    <cellStyle name="RowTitles-Detail 4 3 3 6 4" xfId="22677"/>
    <cellStyle name="RowTitles-Detail 4 3 3 6 4 2" xfId="22678"/>
    <cellStyle name="RowTitles-Detail 4 3 3 6 4_Tertiary Salaries Survey" xfId="22679"/>
    <cellStyle name="RowTitles-Detail 4 3 3 6 5" xfId="22680"/>
    <cellStyle name="RowTitles-Detail 4 3 3 6_Tertiary Salaries Survey" xfId="22681"/>
    <cellStyle name="RowTitles-Detail 4 3 3 7" xfId="22682"/>
    <cellStyle name="RowTitles-Detail 4 3 3 7 2" xfId="22683"/>
    <cellStyle name="RowTitles-Detail 4 3 3 7 2 2" xfId="22684"/>
    <cellStyle name="RowTitles-Detail 4 3 3 7 2_Tertiary Salaries Survey" xfId="22685"/>
    <cellStyle name="RowTitles-Detail 4 3 3 7 3" xfId="22686"/>
    <cellStyle name="RowTitles-Detail 4 3 3 7_Tertiary Salaries Survey" xfId="22687"/>
    <cellStyle name="RowTitles-Detail 4 3 3 8" xfId="22688"/>
    <cellStyle name="RowTitles-Detail 4 3 3 8 2" xfId="22689"/>
    <cellStyle name="RowTitles-Detail 4 3 3 8 2 2" xfId="22690"/>
    <cellStyle name="RowTitles-Detail 4 3 3 8 2_Tertiary Salaries Survey" xfId="22691"/>
    <cellStyle name="RowTitles-Detail 4 3 3 8 3" xfId="22692"/>
    <cellStyle name="RowTitles-Detail 4 3 3 8_Tertiary Salaries Survey" xfId="22693"/>
    <cellStyle name="RowTitles-Detail 4 3 3 9" xfId="22694"/>
    <cellStyle name="RowTitles-Detail 4 3 3_STUD aligned by INSTIT" xfId="22695"/>
    <cellStyle name="RowTitles-Detail 4 3 4" xfId="22696"/>
    <cellStyle name="RowTitles-Detail 4 3 4 2" xfId="22697"/>
    <cellStyle name="RowTitles-Detail 4 3 4 2 2" xfId="22698"/>
    <cellStyle name="RowTitles-Detail 4 3 4 2 2 2" xfId="22699"/>
    <cellStyle name="RowTitles-Detail 4 3 4 2 2 2 2" xfId="22700"/>
    <cellStyle name="RowTitles-Detail 4 3 4 2 2 2_Tertiary Salaries Survey" xfId="22701"/>
    <cellStyle name="RowTitles-Detail 4 3 4 2 2 3" xfId="22702"/>
    <cellStyle name="RowTitles-Detail 4 3 4 2 2_Tertiary Salaries Survey" xfId="22703"/>
    <cellStyle name="RowTitles-Detail 4 3 4 2 3" xfId="22704"/>
    <cellStyle name="RowTitles-Detail 4 3 4 2 3 2" xfId="22705"/>
    <cellStyle name="RowTitles-Detail 4 3 4 2 3 2 2" xfId="22706"/>
    <cellStyle name="RowTitles-Detail 4 3 4 2 3 2_Tertiary Salaries Survey" xfId="22707"/>
    <cellStyle name="RowTitles-Detail 4 3 4 2 3 3" xfId="22708"/>
    <cellStyle name="RowTitles-Detail 4 3 4 2 3_Tertiary Salaries Survey" xfId="22709"/>
    <cellStyle name="RowTitles-Detail 4 3 4 2 4" xfId="22710"/>
    <cellStyle name="RowTitles-Detail 4 3 4 2 5" xfId="22711"/>
    <cellStyle name="RowTitles-Detail 4 3 4 2 5 2" xfId="22712"/>
    <cellStyle name="RowTitles-Detail 4 3 4 2 5_Tertiary Salaries Survey" xfId="22713"/>
    <cellStyle name="RowTitles-Detail 4 3 4 2 6" xfId="22714"/>
    <cellStyle name="RowTitles-Detail 4 3 4 2_Tertiary Salaries Survey" xfId="22715"/>
    <cellStyle name="RowTitles-Detail 4 3 4 3" xfId="22716"/>
    <cellStyle name="RowTitles-Detail 4 3 4 3 2" xfId="22717"/>
    <cellStyle name="RowTitles-Detail 4 3 4 3 2 2" xfId="22718"/>
    <cellStyle name="RowTitles-Detail 4 3 4 3 2 2 2" xfId="22719"/>
    <cellStyle name="RowTitles-Detail 4 3 4 3 2 2_Tertiary Salaries Survey" xfId="22720"/>
    <cellStyle name="RowTitles-Detail 4 3 4 3 2 3" xfId="22721"/>
    <cellStyle name="RowTitles-Detail 4 3 4 3 2_Tertiary Salaries Survey" xfId="22722"/>
    <cellStyle name="RowTitles-Detail 4 3 4 3 3" xfId="22723"/>
    <cellStyle name="RowTitles-Detail 4 3 4 3 3 2" xfId="22724"/>
    <cellStyle name="RowTitles-Detail 4 3 4 3 3 2 2" xfId="22725"/>
    <cellStyle name="RowTitles-Detail 4 3 4 3 3 2_Tertiary Salaries Survey" xfId="22726"/>
    <cellStyle name="RowTitles-Detail 4 3 4 3 3 3" xfId="22727"/>
    <cellStyle name="RowTitles-Detail 4 3 4 3 3_Tertiary Salaries Survey" xfId="22728"/>
    <cellStyle name="RowTitles-Detail 4 3 4 3 4" xfId="22729"/>
    <cellStyle name="RowTitles-Detail 4 3 4 3 5" xfId="22730"/>
    <cellStyle name="RowTitles-Detail 4 3 4 3_Tertiary Salaries Survey" xfId="22731"/>
    <cellStyle name="RowTitles-Detail 4 3 4 4" xfId="22732"/>
    <cellStyle name="RowTitles-Detail 4 3 4 4 2" xfId="22733"/>
    <cellStyle name="RowTitles-Detail 4 3 4 4 2 2" xfId="22734"/>
    <cellStyle name="RowTitles-Detail 4 3 4 4 2 2 2" xfId="22735"/>
    <cellStyle name="RowTitles-Detail 4 3 4 4 2 2_Tertiary Salaries Survey" xfId="22736"/>
    <cellStyle name="RowTitles-Detail 4 3 4 4 2 3" xfId="22737"/>
    <cellStyle name="RowTitles-Detail 4 3 4 4 2_Tertiary Salaries Survey" xfId="22738"/>
    <cellStyle name="RowTitles-Detail 4 3 4 4 3" xfId="22739"/>
    <cellStyle name="RowTitles-Detail 4 3 4 4 3 2" xfId="22740"/>
    <cellStyle name="RowTitles-Detail 4 3 4 4 3 2 2" xfId="22741"/>
    <cellStyle name="RowTitles-Detail 4 3 4 4 3 2_Tertiary Salaries Survey" xfId="22742"/>
    <cellStyle name="RowTitles-Detail 4 3 4 4 3 3" xfId="22743"/>
    <cellStyle name="RowTitles-Detail 4 3 4 4 3_Tertiary Salaries Survey" xfId="22744"/>
    <cellStyle name="RowTitles-Detail 4 3 4 4 4" xfId="22745"/>
    <cellStyle name="RowTitles-Detail 4 3 4 4 5" xfId="22746"/>
    <cellStyle name="RowTitles-Detail 4 3 4 4 5 2" xfId="22747"/>
    <cellStyle name="RowTitles-Detail 4 3 4 4 5_Tertiary Salaries Survey" xfId="22748"/>
    <cellStyle name="RowTitles-Detail 4 3 4 4 6" xfId="22749"/>
    <cellStyle name="RowTitles-Detail 4 3 4 4_Tertiary Salaries Survey" xfId="22750"/>
    <cellStyle name="RowTitles-Detail 4 3 4 5" xfId="22751"/>
    <cellStyle name="RowTitles-Detail 4 3 4 5 2" xfId="22752"/>
    <cellStyle name="RowTitles-Detail 4 3 4 5 2 2" xfId="22753"/>
    <cellStyle name="RowTitles-Detail 4 3 4 5 2 2 2" xfId="22754"/>
    <cellStyle name="RowTitles-Detail 4 3 4 5 2 2_Tertiary Salaries Survey" xfId="22755"/>
    <cellStyle name="RowTitles-Detail 4 3 4 5 2 3" xfId="22756"/>
    <cellStyle name="RowTitles-Detail 4 3 4 5 2_Tertiary Salaries Survey" xfId="22757"/>
    <cellStyle name="RowTitles-Detail 4 3 4 5 3" xfId="22758"/>
    <cellStyle name="RowTitles-Detail 4 3 4 5 3 2" xfId="22759"/>
    <cellStyle name="RowTitles-Detail 4 3 4 5 3 2 2" xfId="22760"/>
    <cellStyle name="RowTitles-Detail 4 3 4 5 3 2_Tertiary Salaries Survey" xfId="22761"/>
    <cellStyle name="RowTitles-Detail 4 3 4 5 3 3" xfId="22762"/>
    <cellStyle name="RowTitles-Detail 4 3 4 5 3_Tertiary Salaries Survey" xfId="22763"/>
    <cellStyle name="RowTitles-Detail 4 3 4 5 4" xfId="22764"/>
    <cellStyle name="RowTitles-Detail 4 3 4 5 4 2" xfId="22765"/>
    <cellStyle name="RowTitles-Detail 4 3 4 5 4_Tertiary Salaries Survey" xfId="22766"/>
    <cellStyle name="RowTitles-Detail 4 3 4 5 5" xfId="22767"/>
    <cellStyle name="RowTitles-Detail 4 3 4 5_Tertiary Salaries Survey" xfId="22768"/>
    <cellStyle name="RowTitles-Detail 4 3 4 6" xfId="22769"/>
    <cellStyle name="RowTitles-Detail 4 3 4 6 2" xfId="22770"/>
    <cellStyle name="RowTitles-Detail 4 3 4 6 2 2" xfId="22771"/>
    <cellStyle name="RowTitles-Detail 4 3 4 6 2 2 2" xfId="22772"/>
    <cellStyle name="RowTitles-Detail 4 3 4 6 2 2_Tertiary Salaries Survey" xfId="22773"/>
    <cellStyle name="RowTitles-Detail 4 3 4 6 2 3" xfId="22774"/>
    <cellStyle name="RowTitles-Detail 4 3 4 6 2_Tertiary Salaries Survey" xfId="22775"/>
    <cellStyle name="RowTitles-Detail 4 3 4 6 3" xfId="22776"/>
    <cellStyle name="RowTitles-Detail 4 3 4 6 3 2" xfId="22777"/>
    <cellStyle name="RowTitles-Detail 4 3 4 6 3 2 2" xfId="22778"/>
    <cellStyle name="RowTitles-Detail 4 3 4 6 3 2_Tertiary Salaries Survey" xfId="22779"/>
    <cellStyle name="RowTitles-Detail 4 3 4 6 3 3" xfId="22780"/>
    <cellStyle name="RowTitles-Detail 4 3 4 6 3_Tertiary Salaries Survey" xfId="22781"/>
    <cellStyle name="RowTitles-Detail 4 3 4 6 4" xfId="22782"/>
    <cellStyle name="RowTitles-Detail 4 3 4 6 4 2" xfId="22783"/>
    <cellStyle name="RowTitles-Detail 4 3 4 6 4_Tertiary Salaries Survey" xfId="22784"/>
    <cellStyle name="RowTitles-Detail 4 3 4 6 5" xfId="22785"/>
    <cellStyle name="RowTitles-Detail 4 3 4 6_Tertiary Salaries Survey" xfId="22786"/>
    <cellStyle name="RowTitles-Detail 4 3 4 7" xfId="22787"/>
    <cellStyle name="RowTitles-Detail 4 3 4 7 2" xfId="22788"/>
    <cellStyle name="RowTitles-Detail 4 3 4 7 2 2" xfId="22789"/>
    <cellStyle name="RowTitles-Detail 4 3 4 7 2_Tertiary Salaries Survey" xfId="22790"/>
    <cellStyle name="RowTitles-Detail 4 3 4 7 3" xfId="22791"/>
    <cellStyle name="RowTitles-Detail 4 3 4 7_Tertiary Salaries Survey" xfId="22792"/>
    <cellStyle name="RowTitles-Detail 4 3 4 8" xfId="22793"/>
    <cellStyle name="RowTitles-Detail 4 3 4 9" xfId="22794"/>
    <cellStyle name="RowTitles-Detail 4 3 4_STUD aligned by INSTIT" xfId="22795"/>
    <cellStyle name="RowTitles-Detail 4 3 5" xfId="22796"/>
    <cellStyle name="RowTitles-Detail 4 3 5 2" xfId="22797"/>
    <cellStyle name="RowTitles-Detail 4 3 5 2 2" xfId="22798"/>
    <cellStyle name="RowTitles-Detail 4 3 5 2 2 2" xfId="22799"/>
    <cellStyle name="RowTitles-Detail 4 3 5 2 2_Tertiary Salaries Survey" xfId="22800"/>
    <cellStyle name="RowTitles-Detail 4 3 5 2 3" xfId="22801"/>
    <cellStyle name="RowTitles-Detail 4 3 5 2_Tertiary Salaries Survey" xfId="22802"/>
    <cellStyle name="RowTitles-Detail 4 3 5 3" xfId="22803"/>
    <cellStyle name="RowTitles-Detail 4 3 5 3 2" xfId="22804"/>
    <cellStyle name="RowTitles-Detail 4 3 5 3 2 2" xfId="22805"/>
    <cellStyle name="RowTitles-Detail 4 3 5 3 2_Tertiary Salaries Survey" xfId="22806"/>
    <cellStyle name="RowTitles-Detail 4 3 5 3 3" xfId="22807"/>
    <cellStyle name="RowTitles-Detail 4 3 5 3_Tertiary Salaries Survey" xfId="22808"/>
    <cellStyle name="RowTitles-Detail 4 3 5 4" xfId="22809"/>
    <cellStyle name="RowTitles-Detail 4 3 5 5" xfId="22810"/>
    <cellStyle name="RowTitles-Detail 4 3 5 5 2" xfId="22811"/>
    <cellStyle name="RowTitles-Detail 4 3 5 5_Tertiary Salaries Survey" xfId="22812"/>
    <cellStyle name="RowTitles-Detail 4 3 5 6" xfId="22813"/>
    <cellStyle name="RowTitles-Detail 4 3 5_Tertiary Salaries Survey" xfId="22814"/>
    <cellStyle name="RowTitles-Detail 4 3 6" xfId="22815"/>
    <cellStyle name="RowTitles-Detail 4 3 6 2" xfId="22816"/>
    <cellStyle name="RowTitles-Detail 4 3 6 2 2" xfId="22817"/>
    <cellStyle name="RowTitles-Detail 4 3 6 2 2 2" xfId="22818"/>
    <cellStyle name="RowTitles-Detail 4 3 6 2 2_Tertiary Salaries Survey" xfId="22819"/>
    <cellStyle name="RowTitles-Detail 4 3 6 2 3" xfId="22820"/>
    <cellStyle name="RowTitles-Detail 4 3 6 2_Tertiary Salaries Survey" xfId="22821"/>
    <cellStyle name="RowTitles-Detail 4 3 6 3" xfId="22822"/>
    <cellStyle name="RowTitles-Detail 4 3 6 3 2" xfId="22823"/>
    <cellStyle name="RowTitles-Detail 4 3 6 3 2 2" xfId="22824"/>
    <cellStyle name="RowTitles-Detail 4 3 6 3 2_Tertiary Salaries Survey" xfId="22825"/>
    <cellStyle name="RowTitles-Detail 4 3 6 3 3" xfId="22826"/>
    <cellStyle name="RowTitles-Detail 4 3 6 3_Tertiary Salaries Survey" xfId="22827"/>
    <cellStyle name="RowTitles-Detail 4 3 6 4" xfId="22828"/>
    <cellStyle name="RowTitles-Detail 4 3 6 5" xfId="22829"/>
    <cellStyle name="RowTitles-Detail 4 3 6_Tertiary Salaries Survey" xfId="22830"/>
    <cellStyle name="RowTitles-Detail 4 3 7" xfId="22831"/>
    <cellStyle name="RowTitles-Detail 4 3 7 2" xfId="22832"/>
    <cellStyle name="RowTitles-Detail 4 3 7 2 2" xfId="22833"/>
    <cellStyle name="RowTitles-Detail 4 3 7 2 2 2" xfId="22834"/>
    <cellStyle name="RowTitles-Detail 4 3 7 2 2_Tertiary Salaries Survey" xfId="22835"/>
    <cellStyle name="RowTitles-Detail 4 3 7 2 3" xfId="22836"/>
    <cellStyle name="RowTitles-Detail 4 3 7 2_Tertiary Salaries Survey" xfId="22837"/>
    <cellStyle name="RowTitles-Detail 4 3 7 3" xfId="22838"/>
    <cellStyle name="RowTitles-Detail 4 3 7 3 2" xfId="22839"/>
    <cellStyle name="RowTitles-Detail 4 3 7 3 2 2" xfId="22840"/>
    <cellStyle name="RowTitles-Detail 4 3 7 3 2_Tertiary Salaries Survey" xfId="22841"/>
    <cellStyle name="RowTitles-Detail 4 3 7 3 3" xfId="22842"/>
    <cellStyle name="RowTitles-Detail 4 3 7 3_Tertiary Salaries Survey" xfId="22843"/>
    <cellStyle name="RowTitles-Detail 4 3 7 4" xfId="22844"/>
    <cellStyle name="RowTitles-Detail 4 3 7 5" xfId="22845"/>
    <cellStyle name="RowTitles-Detail 4 3 7 5 2" xfId="22846"/>
    <cellStyle name="RowTitles-Detail 4 3 7 5_Tertiary Salaries Survey" xfId="22847"/>
    <cellStyle name="RowTitles-Detail 4 3 7 6" xfId="22848"/>
    <cellStyle name="RowTitles-Detail 4 3 7_Tertiary Salaries Survey" xfId="22849"/>
    <cellStyle name="RowTitles-Detail 4 3 8" xfId="22850"/>
    <cellStyle name="RowTitles-Detail 4 3 8 2" xfId="22851"/>
    <cellStyle name="RowTitles-Detail 4 3 8 2 2" xfId="22852"/>
    <cellStyle name="RowTitles-Detail 4 3 8 2 2 2" xfId="22853"/>
    <cellStyle name="RowTitles-Detail 4 3 8 2 2_Tertiary Salaries Survey" xfId="22854"/>
    <cellStyle name="RowTitles-Detail 4 3 8 2 3" xfId="22855"/>
    <cellStyle name="RowTitles-Detail 4 3 8 2_Tertiary Salaries Survey" xfId="22856"/>
    <cellStyle name="RowTitles-Detail 4 3 8 3" xfId="22857"/>
    <cellStyle name="RowTitles-Detail 4 3 8 3 2" xfId="22858"/>
    <cellStyle name="RowTitles-Detail 4 3 8 3 2 2" xfId="22859"/>
    <cellStyle name="RowTitles-Detail 4 3 8 3 2_Tertiary Salaries Survey" xfId="22860"/>
    <cellStyle name="RowTitles-Detail 4 3 8 3 3" xfId="22861"/>
    <cellStyle name="RowTitles-Detail 4 3 8 3_Tertiary Salaries Survey" xfId="22862"/>
    <cellStyle name="RowTitles-Detail 4 3 8 4" xfId="22863"/>
    <cellStyle name="RowTitles-Detail 4 3 8 4 2" xfId="22864"/>
    <cellStyle name="RowTitles-Detail 4 3 8 4_Tertiary Salaries Survey" xfId="22865"/>
    <cellStyle name="RowTitles-Detail 4 3 8 5" xfId="22866"/>
    <cellStyle name="RowTitles-Detail 4 3 8_Tertiary Salaries Survey" xfId="22867"/>
    <cellStyle name="RowTitles-Detail 4 3 9" xfId="22868"/>
    <cellStyle name="RowTitles-Detail 4 3 9 2" xfId="22869"/>
    <cellStyle name="RowTitles-Detail 4 3 9 2 2" xfId="22870"/>
    <cellStyle name="RowTitles-Detail 4 3 9 2 2 2" xfId="22871"/>
    <cellStyle name="RowTitles-Detail 4 3 9 2 2_Tertiary Salaries Survey" xfId="22872"/>
    <cellStyle name="RowTitles-Detail 4 3 9 2 3" xfId="22873"/>
    <cellStyle name="RowTitles-Detail 4 3 9 2_Tertiary Salaries Survey" xfId="22874"/>
    <cellStyle name="RowTitles-Detail 4 3 9 3" xfId="22875"/>
    <cellStyle name="RowTitles-Detail 4 3 9 3 2" xfId="22876"/>
    <cellStyle name="RowTitles-Detail 4 3 9 3 2 2" xfId="22877"/>
    <cellStyle name="RowTitles-Detail 4 3 9 3 2_Tertiary Salaries Survey" xfId="22878"/>
    <cellStyle name="RowTitles-Detail 4 3 9 3 3" xfId="22879"/>
    <cellStyle name="RowTitles-Detail 4 3 9 3_Tertiary Salaries Survey" xfId="22880"/>
    <cellStyle name="RowTitles-Detail 4 3 9 4" xfId="22881"/>
    <cellStyle name="RowTitles-Detail 4 3 9 4 2" xfId="22882"/>
    <cellStyle name="RowTitles-Detail 4 3 9 4_Tertiary Salaries Survey" xfId="22883"/>
    <cellStyle name="RowTitles-Detail 4 3 9 5" xfId="22884"/>
    <cellStyle name="RowTitles-Detail 4 3 9_Tertiary Salaries Survey" xfId="22885"/>
    <cellStyle name="RowTitles-Detail 4 3_STUD aligned by INSTIT" xfId="22886"/>
    <cellStyle name="RowTitles-Detail 4 4" xfId="22887"/>
    <cellStyle name="RowTitles-Detail 4 4 2" xfId="22888"/>
    <cellStyle name="RowTitles-Detail 4 4 2 2" xfId="22889"/>
    <cellStyle name="RowTitles-Detail 4 4 2 2 2" xfId="22890"/>
    <cellStyle name="RowTitles-Detail 4 4 2 2 2 2" xfId="22891"/>
    <cellStyle name="RowTitles-Detail 4 4 2 2 2_Tertiary Salaries Survey" xfId="22892"/>
    <cellStyle name="RowTitles-Detail 4 4 2 2 3" xfId="22893"/>
    <cellStyle name="RowTitles-Detail 4 4 2 2_Tertiary Salaries Survey" xfId="22894"/>
    <cellStyle name="RowTitles-Detail 4 4 2 3" xfId="22895"/>
    <cellStyle name="RowTitles-Detail 4 4 2 3 2" xfId="22896"/>
    <cellStyle name="RowTitles-Detail 4 4 2 3 2 2" xfId="22897"/>
    <cellStyle name="RowTitles-Detail 4 4 2 3 2_Tertiary Salaries Survey" xfId="22898"/>
    <cellStyle name="RowTitles-Detail 4 4 2 3 3" xfId="22899"/>
    <cellStyle name="RowTitles-Detail 4 4 2 3_Tertiary Salaries Survey" xfId="22900"/>
    <cellStyle name="RowTitles-Detail 4 4 2 4" xfId="22901"/>
    <cellStyle name="RowTitles-Detail 4 4 2 5" xfId="22902"/>
    <cellStyle name="RowTitles-Detail 4 4 2_Tertiary Salaries Survey" xfId="22903"/>
    <cellStyle name="RowTitles-Detail 4 4 3" xfId="22904"/>
    <cellStyle name="RowTitles-Detail 4 4 3 2" xfId="22905"/>
    <cellStyle name="RowTitles-Detail 4 4 3 2 2" xfId="22906"/>
    <cellStyle name="RowTitles-Detail 4 4 3 2 2 2" xfId="22907"/>
    <cellStyle name="RowTitles-Detail 4 4 3 2 2_Tertiary Salaries Survey" xfId="22908"/>
    <cellStyle name="RowTitles-Detail 4 4 3 2 3" xfId="22909"/>
    <cellStyle name="RowTitles-Detail 4 4 3 2_Tertiary Salaries Survey" xfId="22910"/>
    <cellStyle name="RowTitles-Detail 4 4 3 3" xfId="22911"/>
    <cellStyle name="RowTitles-Detail 4 4 3 3 2" xfId="22912"/>
    <cellStyle name="RowTitles-Detail 4 4 3 3 2 2" xfId="22913"/>
    <cellStyle name="RowTitles-Detail 4 4 3 3 2_Tertiary Salaries Survey" xfId="22914"/>
    <cellStyle name="RowTitles-Detail 4 4 3 3 3" xfId="22915"/>
    <cellStyle name="RowTitles-Detail 4 4 3 3_Tertiary Salaries Survey" xfId="22916"/>
    <cellStyle name="RowTitles-Detail 4 4 3 4" xfId="22917"/>
    <cellStyle name="RowTitles-Detail 4 4 3 5" xfId="22918"/>
    <cellStyle name="RowTitles-Detail 4 4 3 5 2" xfId="22919"/>
    <cellStyle name="RowTitles-Detail 4 4 3 5_Tertiary Salaries Survey" xfId="22920"/>
    <cellStyle name="RowTitles-Detail 4 4 3 6" xfId="22921"/>
    <cellStyle name="RowTitles-Detail 4 4 3_Tertiary Salaries Survey" xfId="22922"/>
    <cellStyle name="RowTitles-Detail 4 4 4" xfId="22923"/>
    <cellStyle name="RowTitles-Detail 4 4 4 2" xfId="22924"/>
    <cellStyle name="RowTitles-Detail 4 4 4 2 2" xfId="22925"/>
    <cellStyle name="RowTitles-Detail 4 4 4 2 2 2" xfId="22926"/>
    <cellStyle name="RowTitles-Detail 4 4 4 2 2_Tertiary Salaries Survey" xfId="22927"/>
    <cellStyle name="RowTitles-Detail 4 4 4 2 3" xfId="22928"/>
    <cellStyle name="RowTitles-Detail 4 4 4 2_Tertiary Salaries Survey" xfId="22929"/>
    <cellStyle name="RowTitles-Detail 4 4 4 3" xfId="22930"/>
    <cellStyle name="RowTitles-Detail 4 4 4 3 2" xfId="22931"/>
    <cellStyle name="RowTitles-Detail 4 4 4 3 2 2" xfId="22932"/>
    <cellStyle name="RowTitles-Detail 4 4 4 3 2_Tertiary Salaries Survey" xfId="22933"/>
    <cellStyle name="RowTitles-Detail 4 4 4 3 3" xfId="22934"/>
    <cellStyle name="RowTitles-Detail 4 4 4 3_Tertiary Salaries Survey" xfId="22935"/>
    <cellStyle name="RowTitles-Detail 4 4 4 4" xfId="22936"/>
    <cellStyle name="RowTitles-Detail 4 4 4 4 2" xfId="22937"/>
    <cellStyle name="RowTitles-Detail 4 4 4 4_Tertiary Salaries Survey" xfId="22938"/>
    <cellStyle name="RowTitles-Detail 4 4 4 5" xfId="22939"/>
    <cellStyle name="RowTitles-Detail 4 4 4_Tertiary Salaries Survey" xfId="22940"/>
    <cellStyle name="RowTitles-Detail 4 4 5" xfId="22941"/>
    <cellStyle name="RowTitles-Detail 4 4 5 2" xfId="22942"/>
    <cellStyle name="RowTitles-Detail 4 4 5 2 2" xfId="22943"/>
    <cellStyle name="RowTitles-Detail 4 4 5 2 2 2" xfId="22944"/>
    <cellStyle name="RowTitles-Detail 4 4 5 2 2_Tertiary Salaries Survey" xfId="22945"/>
    <cellStyle name="RowTitles-Detail 4 4 5 2 3" xfId="22946"/>
    <cellStyle name="RowTitles-Detail 4 4 5 2_Tertiary Salaries Survey" xfId="22947"/>
    <cellStyle name="RowTitles-Detail 4 4 5 3" xfId="22948"/>
    <cellStyle name="RowTitles-Detail 4 4 5 3 2" xfId="22949"/>
    <cellStyle name="RowTitles-Detail 4 4 5 3 2 2" xfId="22950"/>
    <cellStyle name="RowTitles-Detail 4 4 5 3 2_Tertiary Salaries Survey" xfId="22951"/>
    <cellStyle name="RowTitles-Detail 4 4 5 3 3" xfId="22952"/>
    <cellStyle name="RowTitles-Detail 4 4 5 3_Tertiary Salaries Survey" xfId="22953"/>
    <cellStyle name="RowTitles-Detail 4 4 5 4" xfId="22954"/>
    <cellStyle name="RowTitles-Detail 4 4 5 4 2" xfId="22955"/>
    <cellStyle name="RowTitles-Detail 4 4 5 4_Tertiary Salaries Survey" xfId="22956"/>
    <cellStyle name="RowTitles-Detail 4 4 5 5" xfId="22957"/>
    <cellStyle name="RowTitles-Detail 4 4 5_Tertiary Salaries Survey" xfId="22958"/>
    <cellStyle name="RowTitles-Detail 4 4 6" xfId="22959"/>
    <cellStyle name="RowTitles-Detail 4 4 6 2" xfId="22960"/>
    <cellStyle name="RowTitles-Detail 4 4 6 2 2" xfId="22961"/>
    <cellStyle name="RowTitles-Detail 4 4 6 2 2 2" xfId="22962"/>
    <cellStyle name="RowTitles-Detail 4 4 6 2 2_Tertiary Salaries Survey" xfId="22963"/>
    <cellStyle name="RowTitles-Detail 4 4 6 2 3" xfId="22964"/>
    <cellStyle name="RowTitles-Detail 4 4 6 2_Tertiary Salaries Survey" xfId="22965"/>
    <cellStyle name="RowTitles-Detail 4 4 6 3" xfId="22966"/>
    <cellStyle name="RowTitles-Detail 4 4 6 3 2" xfId="22967"/>
    <cellStyle name="RowTitles-Detail 4 4 6 3 2 2" xfId="22968"/>
    <cellStyle name="RowTitles-Detail 4 4 6 3 2_Tertiary Salaries Survey" xfId="22969"/>
    <cellStyle name="RowTitles-Detail 4 4 6 3 3" xfId="22970"/>
    <cellStyle name="RowTitles-Detail 4 4 6 3_Tertiary Salaries Survey" xfId="22971"/>
    <cellStyle name="RowTitles-Detail 4 4 6 4" xfId="22972"/>
    <cellStyle name="RowTitles-Detail 4 4 6 4 2" xfId="22973"/>
    <cellStyle name="RowTitles-Detail 4 4 6 4_Tertiary Salaries Survey" xfId="22974"/>
    <cellStyle name="RowTitles-Detail 4 4 6 5" xfId="22975"/>
    <cellStyle name="RowTitles-Detail 4 4 6_Tertiary Salaries Survey" xfId="22976"/>
    <cellStyle name="RowTitles-Detail 4 4 7" xfId="22977"/>
    <cellStyle name="RowTitles-Detail 4 4 7 2" xfId="22978"/>
    <cellStyle name="RowTitles-Detail 4 4 7 2 2" xfId="22979"/>
    <cellStyle name="RowTitles-Detail 4 4 7 2_Tertiary Salaries Survey" xfId="22980"/>
    <cellStyle name="RowTitles-Detail 4 4 7 3" xfId="22981"/>
    <cellStyle name="RowTitles-Detail 4 4 7_Tertiary Salaries Survey" xfId="22982"/>
    <cellStyle name="RowTitles-Detail 4 4 8" xfId="22983"/>
    <cellStyle name="RowTitles-Detail 4 4 9" xfId="22984"/>
    <cellStyle name="RowTitles-Detail 4 4_STUD aligned by INSTIT" xfId="22985"/>
    <cellStyle name="RowTitles-Detail 4 5" xfId="22986"/>
    <cellStyle name="RowTitles-Detail 4 5 2" xfId="22987"/>
    <cellStyle name="RowTitles-Detail 4 5 2 2" xfId="22988"/>
    <cellStyle name="RowTitles-Detail 4 5 2 2 2" xfId="22989"/>
    <cellStyle name="RowTitles-Detail 4 5 2 2 2 2" xfId="22990"/>
    <cellStyle name="RowTitles-Detail 4 5 2 2 2_Tertiary Salaries Survey" xfId="22991"/>
    <cellStyle name="RowTitles-Detail 4 5 2 2 3" xfId="22992"/>
    <cellStyle name="RowTitles-Detail 4 5 2 2_Tertiary Salaries Survey" xfId="22993"/>
    <cellStyle name="RowTitles-Detail 4 5 2 3" xfId="22994"/>
    <cellStyle name="RowTitles-Detail 4 5 2 3 2" xfId="22995"/>
    <cellStyle name="RowTitles-Detail 4 5 2 3 2 2" xfId="22996"/>
    <cellStyle name="RowTitles-Detail 4 5 2 3 2_Tertiary Salaries Survey" xfId="22997"/>
    <cellStyle name="RowTitles-Detail 4 5 2 3 3" xfId="22998"/>
    <cellStyle name="RowTitles-Detail 4 5 2 3_Tertiary Salaries Survey" xfId="22999"/>
    <cellStyle name="RowTitles-Detail 4 5 2 4" xfId="23000"/>
    <cellStyle name="RowTitles-Detail 4 5 2 5" xfId="23001"/>
    <cellStyle name="RowTitles-Detail 4 5 2 5 2" xfId="23002"/>
    <cellStyle name="RowTitles-Detail 4 5 2 5_Tertiary Salaries Survey" xfId="23003"/>
    <cellStyle name="RowTitles-Detail 4 5 2 6" xfId="23004"/>
    <cellStyle name="RowTitles-Detail 4 5 2_Tertiary Salaries Survey" xfId="23005"/>
    <cellStyle name="RowTitles-Detail 4 5 3" xfId="23006"/>
    <cellStyle name="RowTitles-Detail 4 5 3 2" xfId="23007"/>
    <cellStyle name="RowTitles-Detail 4 5 3 2 2" xfId="23008"/>
    <cellStyle name="RowTitles-Detail 4 5 3 2 2 2" xfId="23009"/>
    <cellStyle name="RowTitles-Detail 4 5 3 2 2_Tertiary Salaries Survey" xfId="23010"/>
    <cellStyle name="RowTitles-Detail 4 5 3 2 3" xfId="23011"/>
    <cellStyle name="RowTitles-Detail 4 5 3 2_Tertiary Salaries Survey" xfId="23012"/>
    <cellStyle name="RowTitles-Detail 4 5 3 3" xfId="23013"/>
    <cellStyle name="RowTitles-Detail 4 5 3 3 2" xfId="23014"/>
    <cellStyle name="RowTitles-Detail 4 5 3 3 2 2" xfId="23015"/>
    <cellStyle name="RowTitles-Detail 4 5 3 3 2_Tertiary Salaries Survey" xfId="23016"/>
    <cellStyle name="RowTitles-Detail 4 5 3 3 3" xfId="23017"/>
    <cellStyle name="RowTitles-Detail 4 5 3 3_Tertiary Salaries Survey" xfId="23018"/>
    <cellStyle name="RowTitles-Detail 4 5 3 4" xfId="23019"/>
    <cellStyle name="RowTitles-Detail 4 5 3 5" xfId="23020"/>
    <cellStyle name="RowTitles-Detail 4 5 3_Tertiary Salaries Survey" xfId="23021"/>
    <cellStyle name="RowTitles-Detail 4 5 4" xfId="23022"/>
    <cellStyle name="RowTitles-Detail 4 5 4 2" xfId="23023"/>
    <cellStyle name="RowTitles-Detail 4 5 4 2 2" xfId="23024"/>
    <cellStyle name="RowTitles-Detail 4 5 4 2 2 2" xfId="23025"/>
    <cellStyle name="RowTitles-Detail 4 5 4 2 2_Tertiary Salaries Survey" xfId="23026"/>
    <cellStyle name="RowTitles-Detail 4 5 4 2 3" xfId="23027"/>
    <cellStyle name="RowTitles-Detail 4 5 4 2_Tertiary Salaries Survey" xfId="23028"/>
    <cellStyle name="RowTitles-Detail 4 5 4 3" xfId="23029"/>
    <cellStyle name="RowTitles-Detail 4 5 4 3 2" xfId="23030"/>
    <cellStyle name="RowTitles-Detail 4 5 4 3 2 2" xfId="23031"/>
    <cellStyle name="RowTitles-Detail 4 5 4 3 2_Tertiary Salaries Survey" xfId="23032"/>
    <cellStyle name="RowTitles-Detail 4 5 4 3 3" xfId="23033"/>
    <cellStyle name="RowTitles-Detail 4 5 4 3_Tertiary Salaries Survey" xfId="23034"/>
    <cellStyle name="RowTitles-Detail 4 5 4 4" xfId="23035"/>
    <cellStyle name="RowTitles-Detail 4 5 4 4 2" xfId="23036"/>
    <cellStyle name="RowTitles-Detail 4 5 4 4_Tertiary Salaries Survey" xfId="23037"/>
    <cellStyle name="RowTitles-Detail 4 5 4 5" xfId="23038"/>
    <cellStyle name="RowTitles-Detail 4 5 4_Tertiary Salaries Survey" xfId="23039"/>
    <cellStyle name="RowTitles-Detail 4 5 5" xfId="23040"/>
    <cellStyle name="RowTitles-Detail 4 5 5 2" xfId="23041"/>
    <cellStyle name="RowTitles-Detail 4 5 5 2 2" xfId="23042"/>
    <cellStyle name="RowTitles-Detail 4 5 5 2 2 2" xfId="23043"/>
    <cellStyle name="RowTitles-Detail 4 5 5 2 2_Tertiary Salaries Survey" xfId="23044"/>
    <cellStyle name="RowTitles-Detail 4 5 5 2 3" xfId="23045"/>
    <cellStyle name="RowTitles-Detail 4 5 5 2_Tertiary Salaries Survey" xfId="23046"/>
    <cellStyle name="RowTitles-Detail 4 5 5 3" xfId="23047"/>
    <cellStyle name="RowTitles-Detail 4 5 5 3 2" xfId="23048"/>
    <cellStyle name="RowTitles-Detail 4 5 5 3 2 2" xfId="23049"/>
    <cellStyle name="RowTitles-Detail 4 5 5 3 2_Tertiary Salaries Survey" xfId="23050"/>
    <cellStyle name="RowTitles-Detail 4 5 5 3 3" xfId="23051"/>
    <cellStyle name="RowTitles-Detail 4 5 5 3_Tertiary Salaries Survey" xfId="23052"/>
    <cellStyle name="RowTitles-Detail 4 5 5 4" xfId="23053"/>
    <cellStyle name="RowTitles-Detail 4 5 5 4 2" xfId="23054"/>
    <cellStyle name="RowTitles-Detail 4 5 5 4_Tertiary Salaries Survey" xfId="23055"/>
    <cellStyle name="RowTitles-Detail 4 5 5 5" xfId="23056"/>
    <cellStyle name="RowTitles-Detail 4 5 5_Tertiary Salaries Survey" xfId="23057"/>
    <cellStyle name="RowTitles-Detail 4 5 6" xfId="23058"/>
    <cellStyle name="RowTitles-Detail 4 5 6 2" xfId="23059"/>
    <cellStyle name="RowTitles-Detail 4 5 6 2 2" xfId="23060"/>
    <cellStyle name="RowTitles-Detail 4 5 6 2 2 2" xfId="23061"/>
    <cellStyle name="RowTitles-Detail 4 5 6 2 2_Tertiary Salaries Survey" xfId="23062"/>
    <cellStyle name="RowTitles-Detail 4 5 6 2 3" xfId="23063"/>
    <cellStyle name="RowTitles-Detail 4 5 6 2_Tertiary Salaries Survey" xfId="23064"/>
    <cellStyle name="RowTitles-Detail 4 5 6 3" xfId="23065"/>
    <cellStyle name="RowTitles-Detail 4 5 6 3 2" xfId="23066"/>
    <cellStyle name="RowTitles-Detail 4 5 6 3 2 2" xfId="23067"/>
    <cellStyle name="RowTitles-Detail 4 5 6 3 2_Tertiary Salaries Survey" xfId="23068"/>
    <cellStyle name="RowTitles-Detail 4 5 6 3 3" xfId="23069"/>
    <cellStyle name="RowTitles-Detail 4 5 6 3_Tertiary Salaries Survey" xfId="23070"/>
    <cellStyle name="RowTitles-Detail 4 5 6 4" xfId="23071"/>
    <cellStyle name="RowTitles-Detail 4 5 6 4 2" xfId="23072"/>
    <cellStyle name="RowTitles-Detail 4 5 6 4_Tertiary Salaries Survey" xfId="23073"/>
    <cellStyle name="RowTitles-Detail 4 5 6 5" xfId="23074"/>
    <cellStyle name="RowTitles-Detail 4 5 6_Tertiary Salaries Survey" xfId="23075"/>
    <cellStyle name="RowTitles-Detail 4 5 7" xfId="23076"/>
    <cellStyle name="RowTitles-Detail 4 5 7 2" xfId="23077"/>
    <cellStyle name="RowTitles-Detail 4 5 7 2 2" xfId="23078"/>
    <cellStyle name="RowTitles-Detail 4 5 7 2_Tertiary Salaries Survey" xfId="23079"/>
    <cellStyle name="RowTitles-Detail 4 5 7 3" xfId="23080"/>
    <cellStyle name="RowTitles-Detail 4 5 7_Tertiary Salaries Survey" xfId="23081"/>
    <cellStyle name="RowTitles-Detail 4 5 8" xfId="23082"/>
    <cellStyle name="RowTitles-Detail 4 5 8 2" xfId="23083"/>
    <cellStyle name="RowTitles-Detail 4 5 8 2 2" xfId="23084"/>
    <cellStyle name="RowTitles-Detail 4 5 8 2_Tertiary Salaries Survey" xfId="23085"/>
    <cellStyle name="RowTitles-Detail 4 5 8 3" xfId="23086"/>
    <cellStyle name="RowTitles-Detail 4 5 8_Tertiary Salaries Survey" xfId="23087"/>
    <cellStyle name="RowTitles-Detail 4 5 9" xfId="23088"/>
    <cellStyle name="RowTitles-Detail 4 5_STUD aligned by INSTIT" xfId="23089"/>
    <cellStyle name="RowTitles-Detail 4 6" xfId="23090"/>
    <cellStyle name="RowTitles-Detail 4 6 2" xfId="23091"/>
    <cellStyle name="RowTitles-Detail 4 6 2 2" xfId="23092"/>
    <cellStyle name="RowTitles-Detail 4 6 2 2 2" xfId="23093"/>
    <cellStyle name="RowTitles-Detail 4 6 2 2 2 2" xfId="23094"/>
    <cellStyle name="RowTitles-Detail 4 6 2 2 2_Tertiary Salaries Survey" xfId="23095"/>
    <cellStyle name="RowTitles-Detail 4 6 2 2 3" xfId="23096"/>
    <cellStyle name="RowTitles-Detail 4 6 2 2_Tertiary Salaries Survey" xfId="23097"/>
    <cellStyle name="RowTitles-Detail 4 6 2 3" xfId="23098"/>
    <cellStyle name="RowTitles-Detail 4 6 2 3 2" xfId="23099"/>
    <cellStyle name="RowTitles-Detail 4 6 2 3 2 2" xfId="23100"/>
    <cellStyle name="RowTitles-Detail 4 6 2 3 2_Tertiary Salaries Survey" xfId="23101"/>
    <cellStyle name="RowTitles-Detail 4 6 2 3 3" xfId="23102"/>
    <cellStyle name="RowTitles-Detail 4 6 2 3_Tertiary Salaries Survey" xfId="23103"/>
    <cellStyle name="RowTitles-Detail 4 6 2 4" xfId="23104"/>
    <cellStyle name="RowTitles-Detail 4 6 2 5" xfId="23105"/>
    <cellStyle name="RowTitles-Detail 4 6 2 5 2" xfId="23106"/>
    <cellStyle name="RowTitles-Detail 4 6 2 5_Tertiary Salaries Survey" xfId="23107"/>
    <cellStyle name="RowTitles-Detail 4 6 2 6" xfId="23108"/>
    <cellStyle name="RowTitles-Detail 4 6 2_Tertiary Salaries Survey" xfId="23109"/>
    <cellStyle name="RowTitles-Detail 4 6 3" xfId="23110"/>
    <cellStyle name="RowTitles-Detail 4 6 3 2" xfId="23111"/>
    <cellStyle name="RowTitles-Detail 4 6 3 2 2" xfId="23112"/>
    <cellStyle name="RowTitles-Detail 4 6 3 2 2 2" xfId="23113"/>
    <cellStyle name="RowTitles-Detail 4 6 3 2 2_Tertiary Salaries Survey" xfId="23114"/>
    <cellStyle name="RowTitles-Detail 4 6 3 2 3" xfId="23115"/>
    <cellStyle name="RowTitles-Detail 4 6 3 2_Tertiary Salaries Survey" xfId="23116"/>
    <cellStyle name="RowTitles-Detail 4 6 3 3" xfId="23117"/>
    <cellStyle name="RowTitles-Detail 4 6 3 3 2" xfId="23118"/>
    <cellStyle name="RowTitles-Detail 4 6 3 3 2 2" xfId="23119"/>
    <cellStyle name="RowTitles-Detail 4 6 3 3 2_Tertiary Salaries Survey" xfId="23120"/>
    <cellStyle name="RowTitles-Detail 4 6 3 3 3" xfId="23121"/>
    <cellStyle name="RowTitles-Detail 4 6 3 3_Tertiary Salaries Survey" xfId="23122"/>
    <cellStyle name="RowTitles-Detail 4 6 3 4" xfId="23123"/>
    <cellStyle name="RowTitles-Detail 4 6 3 5" xfId="23124"/>
    <cellStyle name="RowTitles-Detail 4 6 3_Tertiary Salaries Survey" xfId="23125"/>
    <cellStyle name="RowTitles-Detail 4 6 4" xfId="23126"/>
    <cellStyle name="RowTitles-Detail 4 6 4 2" xfId="23127"/>
    <cellStyle name="RowTitles-Detail 4 6 4 2 2" xfId="23128"/>
    <cellStyle name="RowTitles-Detail 4 6 4 2 2 2" xfId="23129"/>
    <cellStyle name="RowTitles-Detail 4 6 4 2 2_Tertiary Salaries Survey" xfId="23130"/>
    <cellStyle name="RowTitles-Detail 4 6 4 2 3" xfId="23131"/>
    <cellStyle name="RowTitles-Detail 4 6 4 2_Tertiary Salaries Survey" xfId="23132"/>
    <cellStyle name="RowTitles-Detail 4 6 4 3" xfId="23133"/>
    <cellStyle name="RowTitles-Detail 4 6 4 3 2" xfId="23134"/>
    <cellStyle name="RowTitles-Detail 4 6 4 3 2 2" xfId="23135"/>
    <cellStyle name="RowTitles-Detail 4 6 4 3 2_Tertiary Salaries Survey" xfId="23136"/>
    <cellStyle name="RowTitles-Detail 4 6 4 3 3" xfId="23137"/>
    <cellStyle name="RowTitles-Detail 4 6 4 3_Tertiary Salaries Survey" xfId="23138"/>
    <cellStyle name="RowTitles-Detail 4 6 4 4" xfId="23139"/>
    <cellStyle name="RowTitles-Detail 4 6 4 5" xfId="23140"/>
    <cellStyle name="RowTitles-Detail 4 6 4 5 2" xfId="23141"/>
    <cellStyle name="RowTitles-Detail 4 6 4 5_Tertiary Salaries Survey" xfId="23142"/>
    <cellStyle name="RowTitles-Detail 4 6 4 6" xfId="23143"/>
    <cellStyle name="RowTitles-Detail 4 6 4_Tertiary Salaries Survey" xfId="23144"/>
    <cellStyle name="RowTitles-Detail 4 6 5" xfId="23145"/>
    <cellStyle name="RowTitles-Detail 4 6 5 2" xfId="23146"/>
    <cellStyle name="RowTitles-Detail 4 6 5 2 2" xfId="23147"/>
    <cellStyle name="RowTitles-Detail 4 6 5 2 2 2" xfId="23148"/>
    <cellStyle name="RowTitles-Detail 4 6 5 2 2_Tertiary Salaries Survey" xfId="23149"/>
    <cellStyle name="RowTitles-Detail 4 6 5 2 3" xfId="23150"/>
    <cellStyle name="RowTitles-Detail 4 6 5 2_Tertiary Salaries Survey" xfId="23151"/>
    <cellStyle name="RowTitles-Detail 4 6 5 3" xfId="23152"/>
    <cellStyle name="RowTitles-Detail 4 6 5 3 2" xfId="23153"/>
    <cellStyle name="RowTitles-Detail 4 6 5 3 2 2" xfId="23154"/>
    <cellStyle name="RowTitles-Detail 4 6 5 3 2_Tertiary Salaries Survey" xfId="23155"/>
    <cellStyle name="RowTitles-Detail 4 6 5 3 3" xfId="23156"/>
    <cellStyle name="RowTitles-Detail 4 6 5 3_Tertiary Salaries Survey" xfId="23157"/>
    <cellStyle name="RowTitles-Detail 4 6 5 4" xfId="23158"/>
    <cellStyle name="RowTitles-Detail 4 6 5 4 2" xfId="23159"/>
    <cellStyle name="RowTitles-Detail 4 6 5 4_Tertiary Salaries Survey" xfId="23160"/>
    <cellStyle name="RowTitles-Detail 4 6 5 5" xfId="23161"/>
    <cellStyle name="RowTitles-Detail 4 6 5_Tertiary Salaries Survey" xfId="23162"/>
    <cellStyle name="RowTitles-Detail 4 6 6" xfId="23163"/>
    <cellStyle name="RowTitles-Detail 4 6 6 2" xfId="23164"/>
    <cellStyle name="RowTitles-Detail 4 6 6 2 2" xfId="23165"/>
    <cellStyle name="RowTitles-Detail 4 6 6 2 2 2" xfId="23166"/>
    <cellStyle name="RowTitles-Detail 4 6 6 2 2_Tertiary Salaries Survey" xfId="23167"/>
    <cellStyle name="RowTitles-Detail 4 6 6 2 3" xfId="23168"/>
    <cellStyle name="RowTitles-Detail 4 6 6 2_Tertiary Salaries Survey" xfId="23169"/>
    <cellStyle name="RowTitles-Detail 4 6 6 3" xfId="23170"/>
    <cellStyle name="RowTitles-Detail 4 6 6 3 2" xfId="23171"/>
    <cellStyle name="RowTitles-Detail 4 6 6 3 2 2" xfId="23172"/>
    <cellStyle name="RowTitles-Detail 4 6 6 3 2_Tertiary Salaries Survey" xfId="23173"/>
    <cellStyle name="RowTitles-Detail 4 6 6 3 3" xfId="23174"/>
    <cellStyle name="RowTitles-Detail 4 6 6 3_Tertiary Salaries Survey" xfId="23175"/>
    <cellStyle name="RowTitles-Detail 4 6 6 4" xfId="23176"/>
    <cellStyle name="RowTitles-Detail 4 6 6 4 2" xfId="23177"/>
    <cellStyle name="RowTitles-Detail 4 6 6 4_Tertiary Salaries Survey" xfId="23178"/>
    <cellStyle name="RowTitles-Detail 4 6 6 5" xfId="23179"/>
    <cellStyle name="RowTitles-Detail 4 6 6_Tertiary Salaries Survey" xfId="23180"/>
    <cellStyle name="RowTitles-Detail 4 6 7" xfId="23181"/>
    <cellStyle name="RowTitles-Detail 4 6 7 2" xfId="23182"/>
    <cellStyle name="RowTitles-Detail 4 6 7 2 2" xfId="23183"/>
    <cellStyle name="RowTitles-Detail 4 6 7 2_Tertiary Salaries Survey" xfId="23184"/>
    <cellStyle name="RowTitles-Detail 4 6 7 3" xfId="23185"/>
    <cellStyle name="RowTitles-Detail 4 6 7_Tertiary Salaries Survey" xfId="23186"/>
    <cellStyle name="RowTitles-Detail 4 6 8" xfId="23187"/>
    <cellStyle name="RowTitles-Detail 4 6 9" xfId="23188"/>
    <cellStyle name="RowTitles-Detail 4 6_STUD aligned by INSTIT" xfId="23189"/>
    <cellStyle name="RowTitles-Detail 4 7" xfId="23190"/>
    <cellStyle name="RowTitles-Detail 4 7 2" xfId="23191"/>
    <cellStyle name="RowTitles-Detail 4 7 2 2" xfId="23192"/>
    <cellStyle name="RowTitles-Detail 4 7 2 2 2" xfId="23193"/>
    <cellStyle name="RowTitles-Detail 4 7 2 2_Tertiary Salaries Survey" xfId="23194"/>
    <cellStyle name="RowTitles-Detail 4 7 2 3" xfId="23195"/>
    <cellStyle name="RowTitles-Detail 4 7 2_Tertiary Salaries Survey" xfId="23196"/>
    <cellStyle name="RowTitles-Detail 4 7 3" xfId="23197"/>
    <cellStyle name="RowTitles-Detail 4 7 3 2" xfId="23198"/>
    <cellStyle name="RowTitles-Detail 4 7 3 2 2" xfId="23199"/>
    <cellStyle name="RowTitles-Detail 4 7 3 2_Tertiary Salaries Survey" xfId="23200"/>
    <cellStyle name="RowTitles-Detail 4 7 3 3" xfId="23201"/>
    <cellStyle name="RowTitles-Detail 4 7 3_Tertiary Salaries Survey" xfId="23202"/>
    <cellStyle name="RowTitles-Detail 4 7 4" xfId="23203"/>
    <cellStyle name="RowTitles-Detail 4 7 5" xfId="23204"/>
    <cellStyle name="RowTitles-Detail 4 7 5 2" xfId="23205"/>
    <cellStyle name="RowTitles-Detail 4 7 5_Tertiary Salaries Survey" xfId="23206"/>
    <cellStyle name="RowTitles-Detail 4 7 6" xfId="23207"/>
    <cellStyle name="RowTitles-Detail 4 7_Tertiary Salaries Survey" xfId="23208"/>
    <cellStyle name="RowTitles-Detail 4 8" xfId="23209"/>
    <cellStyle name="RowTitles-Detail 4 8 2" xfId="23210"/>
    <cellStyle name="RowTitles-Detail 4 8 2 2" xfId="23211"/>
    <cellStyle name="RowTitles-Detail 4 8 2 2 2" xfId="23212"/>
    <cellStyle name="RowTitles-Detail 4 8 2 2_Tertiary Salaries Survey" xfId="23213"/>
    <cellStyle name="RowTitles-Detail 4 8 2 3" xfId="23214"/>
    <cellStyle name="RowTitles-Detail 4 8 2_Tertiary Salaries Survey" xfId="23215"/>
    <cellStyle name="RowTitles-Detail 4 8 3" xfId="23216"/>
    <cellStyle name="RowTitles-Detail 4 8 3 2" xfId="23217"/>
    <cellStyle name="RowTitles-Detail 4 8 3 2 2" xfId="23218"/>
    <cellStyle name="RowTitles-Detail 4 8 3 2_Tertiary Salaries Survey" xfId="23219"/>
    <cellStyle name="RowTitles-Detail 4 8 3 3" xfId="23220"/>
    <cellStyle name="RowTitles-Detail 4 8 3_Tertiary Salaries Survey" xfId="23221"/>
    <cellStyle name="RowTitles-Detail 4 8 4" xfId="23222"/>
    <cellStyle name="RowTitles-Detail 4 8 5" xfId="23223"/>
    <cellStyle name="RowTitles-Detail 4 8_Tertiary Salaries Survey" xfId="23224"/>
    <cellStyle name="RowTitles-Detail 4 9" xfId="23225"/>
    <cellStyle name="RowTitles-Detail 4 9 2" xfId="23226"/>
    <cellStyle name="RowTitles-Detail 4 9 2 2" xfId="23227"/>
    <cellStyle name="RowTitles-Detail 4 9 2 2 2" xfId="23228"/>
    <cellStyle name="RowTitles-Detail 4 9 2 2_Tertiary Salaries Survey" xfId="23229"/>
    <cellStyle name="RowTitles-Detail 4 9 2 3" xfId="23230"/>
    <cellStyle name="RowTitles-Detail 4 9 2_Tertiary Salaries Survey" xfId="23231"/>
    <cellStyle name="RowTitles-Detail 4 9 3" xfId="23232"/>
    <cellStyle name="RowTitles-Detail 4 9 3 2" xfId="23233"/>
    <cellStyle name="RowTitles-Detail 4 9 3 2 2" xfId="23234"/>
    <cellStyle name="RowTitles-Detail 4 9 3 2_Tertiary Salaries Survey" xfId="23235"/>
    <cellStyle name="RowTitles-Detail 4 9 3 3" xfId="23236"/>
    <cellStyle name="RowTitles-Detail 4 9 3_Tertiary Salaries Survey" xfId="23237"/>
    <cellStyle name="RowTitles-Detail 4 9 4" xfId="23238"/>
    <cellStyle name="RowTitles-Detail 4 9 5" xfId="23239"/>
    <cellStyle name="RowTitles-Detail 4 9 5 2" xfId="23240"/>
    <cellStyle name="RowTitles-Detail 4 9 5_Tertiary Salaries Survey" xfId="23241"/>
    <cellStyle name="RowTitles-Detail 4 9 6" xfId="23242"/>
    <cellStyle name="RowTitles-Detail 4 9_Tertiary Salaries Survey" xfId="23243"/>
    <cellStyle name="RowTitles-Detail 4_STUD aligned by INSTIT" xfId="23244"/>
    <cellStyle name="RowTitles-Detail 40" xfId="29795"/>
    <cellStyle name="RowTitles-Detail 41" xfId="29796"/>
    <cellStyle name="RowTitles-Detail 42" xfId="29797"/>
    <cellStyle name="RowTitles-Detail 43" xfId="29798"/>
    <cellStyle name="RowTitles-Detail 44" xfId="29799"/>
    <cellStyle name="RowTitles-Detail 45" xfId="29800"/>
    <cellStyle name="RowTitles-Detail 46" xfId="29801"/>
    <cellStyle name="RowTitles-Detail 47" xfId="29802"/>
    <cellStyle name="RowTitles-Detail 48" xfId="29803"/>
    <cellStyle name="RowTitles-Detail 49" xfId="29804"/>
    <cellStyle name="RowTitles-Detail 5" xfId="23245"/>
    <cellStyle name="RowTitles-Detail 5 2" xfId="23246"/>
    <cellStyle name="RowTitles-Detail 5 2 2" xfId="23247"/>
    <cellStyle name="RowTitles-Detail 5 2 2 2" xfId="23248"/>
    <cellStyle name="RowTitles-Detail 5 2 2 2 2" xfId="23249"/>
    <cellStyle name="RowTitles-Detail 5 2 2 2_Tertiary Salaries Survey" xfId="23250"/>
    <cellStyle name="RowTitles-Detail 5 2 2 3" xfId="23251"/>
    <cellStyle name="RowTitles-Detail 5 2 2_Tertiary Salaries Survey" xfId="23252"/>
    <cellStyle name="RowTitles-Detail 5 2 3" xfId="23253"/>
    <cellStyle name="RowTitles-Detail 5 2 3 2" xfId="23254"/>
    <cellStyle name="RowTitles-Detail 5 2 3 2 2" xfId="23255"/>
    <cellStyle name="RowTitles-Detail 5 2 3 2_Tertiary Salaries Survey" xfId="23256"/>
    <cellStyle name="RowTitles-Detail 5 2 3 3" xfId="23257"/>
    <cellStyle name="RowTitles-Detail 5 2 3_Tertiary Salaries Survey" xfId="23258"/>
    <cellStyle name="RowTitles-Detail 5 2 4" xfId="23259"/>
    <cellStyle name="RowTitles-Detail 5 2 5" xfId="23260"/>
    <cellStyle name="RowTitles-Detail 5 2_Tertiary Salaries Survey" xfId="23261"/>
    <cellStyle name="RowTitles-Detail 5 3" xfId="23262"/>
    <cellStyle name="RowTitles-Detail 5 3 2" xfId="23263"/>
    <cellStyle name="RowTitles-Detail 5 3 2 2" xfId="23264"/>
    <cellStyle name="RowTitles-Detail 5 3 2 2 2" xfId="23265"/>
    <cellStyle name="RowTitles-Detail 5 3 2 2_Tertiary Salaries Survey" xfId="23266"/>
    <cellStyle name="RowTitles-Detail 5 3 2 3" xfId="23267"/>
    <cellStyle name="RowTitles-Detail 5 3 2_Tertiary Salaries Survey" xfId="23268"/>
    <cellStyle name="RowTitles-Detail 5 3 3" xfId="23269"/>
    <cellStyle name="RowTitles-Detail 5 3 3 2" xfId="23270"/>
    <cellStyle name="RowTitles-Detail 5 3 3 2 2" xfId="23271"/>
    <cellStyle name="RowTitles-Detail 5 3 3 2_Tertiary Salaries Survey" xfId="23272"/>
    <cellStyle name="RowTitles-Detail 5 3 3 3" xfId="23273"/>
    <cellStyle name="RowTitles-Detail 5 3 3_Tertiary Salaries Survey" xfId="23274"/>
    <cellStyle name="RowTitles-Detail 5 3 4" xfId="23275"/>
    <cellStyle name="RowTitles-Detail 5 3 5" xfId="23276"/>
    <cellStyle name="RowTitles-Detail 5 3 5 2" xfId="23277"/>
    <cellStyle name="RowTitles-Detail 5 3 5_Tertiary Salaries Survey" xfId="23278"/>
    <cellStyle name="RowTitles-Detail 5 3 6" xfId="23279"/>
    <cellStyle name="RowTitles-Detail 5 3_Tertiary Salaries Survey" xfId="23280"/>
    <cellStyle name="RowTitles-Detail 5 4" xfId="23281"/>
    <cellStyle name="RowTitles-Detail 5 4 2" xfId="23282"/>
    <cellStyle name="RowTitles-Detail 5 4 2 2" xfId="23283"/>
    <cellStyle name="RowTitles-Detail 5 4 2 2 2" xfId="23284"/>
    <cellStyle name="RowTitles-Detail 5 4 2 2_Tertiary Salaries Survey" xfId="23285"/>
    <cellStyle name="RowTitles-Detail 5 4 2 3" xfId="23286"/>
    <cellStyle name="RowTitles-Detail 5 4 2_Tertiary Salaries Survey" xfId="23287"/>
    <cellStyle name="RowTitles-Detail 5 4 3" xfId="23288"/>
    <cellStyle name="RowTitles-Detail 5 4 3 2" xfId="23289"/>
    <cellStyle name="RowTitles-Detail 5 4 3 2 2" xfId="23290"/>
    <cellStyle name="RowTitles-Detail 5 4 3 2_Tertiary Salaries Survey" xfId="23291"/>
    <cellStyle name="RowTitles-Detail 5 4 3 3" xfId="23292"/>
    <cellStyle name="RowTitles-Detail 5 4 3_Tertiary Salaries Survey" xfId="23293"/>
    <cellStyle name="RowTitles-Detail 5 4 4" xfId="23294"/>
    <cellStyle name="RowTitles-Detail 5 4 4 2" xfId="23295"/>
    <cellStyle name="RowTitles-Detail 5 4 4_Tertiary Salaries Survey" xfId="23296"/>
    <cellStyle name="RowTitles-Detail 5 4 5" xfId="23297"/>
    <cellStyle name="RowTitles-Detail 5 4_Tertiary Salaries Survey" xfId="23298"/>
    <cellStyle name="RowTitles-Detail 5 5" xfId="23299"/>
    <cellStyle name="RowTitles-Detail 5 5 2" xfId="23300"/>
    <cellStyle name="RowTitles-Detail 5 5 2 2" xfId="23301"/>
    <cellStyle name="RowTitles-Detail 5 5 2 2 2" xfId="23302"/>
    <cellStyle name="RowTitles-Detail 5 5 2 2_Tertiary Salaries Survey" xfId="23303"/>
    <cellStyle name="RowTitles-Detail 5 5 2 3" xfId="23304"/>
    <cellStyle name="RowTitles-Detail 5 5 2_Tertiary Salaries Survey" xfId="23305"/>
    <cellStyle name="RowTitles-Detail 5 5 3" xfId="23306"/>
    <cellStyle name="RowTitles-Detail 5 5 3 2" xfId="23307"/>
    <cellStyle name="RowTitles-Detail 5 5 3 2 2" xfId="23308"/>
    <cellStyle name="RowTitles-Detail 5 5 3 2_Tertiary Salaries Survey" xfId="23309"/>
    <cellStyle name="RowTitles-Detail 5 5 3 3" xfId="23310"/>
    <cellStyle name="RowTitles-Detail 5 5 3_Tertiary Salaries Survey" xfId="23311"/>
    <cellStyle name="RowTitles-Detail 5 5 4" xfId="23312"/>
    <cellStyle name="RowTitles-Detail 5 5 4 2" xfId="23313"/>
    <cellStyle name="RowTitles-Detail 5 5 4_Tertiary Salaries Survey" xfId="23314"/>
    <cellStyle name="RowTitles-Detail 5 5 5" xfId="23315"/>
    <cellStyle name="RowTitles-Detail 5 5_Tertiary Salaries Survey" xfId="23316"/>
    <cellStyle name="RowTitles-Detail 5 6" xfId="23317"/>
    <cellStyle name="RowTitles-Detail 5 6 2" xfId="23318"/>
    <cellStyle name="RowTitles-Detail 5 6 2 2" xfId="23319"/>
    <cellStyle name="RowTitles-Detail 5 6 2 2 2" xfId="23320"/>
    <cellStyle name="RowTitles-Detail 5 6 2 2_Tertiary Salaries Survey" xfId="23321"/>
    <cellStyle name="RowTitles-Detail 5 6 2 3" xfId="23322"/>
    <cellStyle name="RowTitles-Detail 5 6 2_Tertiary Salaries Survey" xfId="23323"/>
    <cellStyle name="RowTitles-Detail 5 6 3" xfId="23324"/>
    <cellStyle name="RowTitles-Detail 5 6 3 2" xfId="23325"/>
    <cellStyle name="RowTitles-Detail 5 6 3 2 2" xfId="23326"/>
    <cellStyle name="RowTitles-Detail 5 6 3 2_Tertiary Salaries Survey" xfId="23327"/>
    <cellStyle name="RowTitles-Detail 5 6 3 3" xfId="23328"/>
    <cellStyle name="RowTitles-Detail 5 6 3_Tertiary Salaries Survey" xfId="23329"/>
    <cellStyle name="RowTitles-Detail 5 6 4" xfId="23330"/>
    <cellStyle name="RowTitles-Detail 5 6 4 2" xfId="23331"/>
    <cellStyle name="RowTitles-Detail 5 6 4_Tertiary Salaries Survey" xfId="23332"/>
    <cellStyle name="RowTitles-Detail 5 6 5" xfId="23333"/>
    <cellStyle name="RowTitles-Detail 5 6_Tertiary Salaries Survey" xfId="23334"/>
    <cellStyle name="RowTitles-Detail 5 7" xfId="23335"/>
    <cellStyle name="RowTitles-Detail 5 7 2" xfId="23336"/>
    <cellStyle name="RowTitles-Detail 5 7 2 2" xfId="23337"/>
    <cellStyle name="RowTitles-Detail 5 7 2_Tertiary Salaries Survey" xfId="23338"/>
    <cellStyle name="RowTitles-Detail 5 7 3" xfId="23339"/>
    <cellStyle name="RowTitles-Detail 5 7_Tertiary Salaries Survey" xfId="23340"/>
    <cellStyle name="RowTitles-Detail 5 8" xfId="23341"/>
    <cellStyle name="RowTitles-Detail 5 9" xfId="23342"/>
    <cellStyle name="RowTitles-Detail 5_STUD aligned by INSTIT" xfId="23343"/>
    <cellStyle name="RowTitles-Detail 50" xfId="29805"/>
    <cellStyle name="RowTitles-Detail 51" xfId="29806"/>
    <cellStyle name="RowTitles-Detail 52" xfId="29807"/>
    <cellStyle name="RowTitles-Detail 53" xfId="29808"/>
    <cellStyle name="RowTitles-Detail 54" xfId="29809"/>
    <cellStyle name="RowTitles-Detail 55" xfId="29810"/>
    <cellStyle name="RowTitles-Detail 56" xfId="29811"/>
    <cellStyle name="RowTitles-Detail 57" xfId="29812"/>
    <cellStyle name="RowTitles-Detail 58" xfId="29813"/>
    <cellStyle name="RowTitles-Detail 6" xfId="23344"/>
    <cellStyle name="RowTitles-Detail 6 2" xfId="23345"/>
    <cellStyle name="RowTitles-Detail 6 2 2" xfId="23346"/>
    <cellStyle name="RowTitles-Detail 6 2 2 2" xfId="23347"/>
    <cellStyle name="RowTitles-Detail 6 2 2 2 2" xfId="23348"/>
    <cellStyle name="RowTitles-Detail 6 2 2 2_Tertiary Salaries Survey" xfId="23349"/>
    <cellStyle name="RowTitles-Detail 6 2 2 3" xfId="23350"/>
    <cellStyle name="RowTitles-Detail 6 2 2_Tertiary Salaries Survey" xfId="23351"/>
    <cellStyle name="RowTitles-Detail 6 2 3" xfId="23352"/>
    <cellStyle name="RowTitles-Detail 6 2 3 2" xfId="23353"/>
    <cellStyle name="RowTitles-Detail 6 2 3 2 2" xfId="23354"/>
    <cellStyle name="RowTitles-Detail 6 2 3 2_Tertiary Salaries Survey" xfId="23355"/>
    <cellStyle name="RowTitles-Detail 6 2 3 3" xfId="23356"/>
    <cellStyle name="RowTitles-Detail 6 2 3_Tertiary Salaries Survey" xfId="23357"/>
    <cellStyle name="RowTitles-Detail 6 2 4" xfId="23358"/>
    <cellStyle name="RowTitles-Detail 6 2 5" xfId="23359"/>
    <cellStyle name="RowTitles-Detail 6 2 5 2" xfId="23360"/>
    <cellStyle name="RowTitles-Detail 6 2 5_Tertiary Salaries Survey" xfId="23361"/>
    <cellStyle name="RowTitles-Detail 6 2 6" xfId="23362"/>
    <cellStyle name="RowTitles-Detail 6 2_Tertiary Salaries Survey" xfId="23363"/>
    <cellStyle name="RowTitles-Detail 6 3" xfId="23364"/>
    <cellStyle name="RowTitles-Detail 6 3 2" xfId="23365"/>
    <cellStyle name="RowTitles-Detail 6 3 2 2" xfId="23366"/>
    <cellStyle name="RowTitles-Detail 6 3 2 2 2" xfId="23367"/>
    <cellStyle name="RowTitles-Detail 6 3 2 2_Tertiary Salaries Survey" xfId="23368"/>
    <cellStyle name="RowTitles-Detail 6 3 2 3" xfId="23369"/>
    <cellStyle name="RowTitles-Detail 6 3 2_Tertiary Salaries Survey" xfId="23370"/>
    <cellStyle name="RowTitles-Detail 6 3 3" xfId="23371"/>
    <cellStyle name="RowTitles-Detail 6 3 3 2" xfId="23372"/>
    <cellStyle name="RowTitles-Detail 6 3 3 2 2" xfId="23373"/>
    <cellStyle name="RowTitles-Detail 6 3 3 2_Tertiary Salaries Survey" xfId="23374"/>
    <cellStyle name="RowTitles-Detail 6 3 3 3" xfId="23375"/>
    <cellStyle name="RowTitles-Detail 6 3 3_Tertiary Salaries Survey" xfId="23376"/>
    <cellStyle name="RowTitles-Detail 6 3 4" xfId="23377"/>
    <cellStyle name="RowTitles-Detail 6 3 5" xfId="23378"/>
    <cellStyle name="RowTitles-Detail 6 3_Tertiary Salaries Survey" xfId="23379"/>
    <cellStyle name="RowTitles-Detail 6 4" xfId="23380"/>
    <cellStyle name="RowTitles-Detail 6 4 2" xfId="23381"/>
    <cellStyle name="RowTitles-Detail 6 4 2 2" xfId="23382"/>
    <cellStyle name="RowTitles-Detail 6 4 2 2 2" xfId="23383"/>
    <cellStyle name="RowTitles-Detail 6 4 2 2_Tertiary Salaries Survey" xfId="23384"/>
    <cellStyle name="RowTitles-Detail 6 4 2 3" xfId="23385"/>
    <cellStyle name="RowTitles-Detail 6 4 2_Tertiary Salaries Survey" xfId="23386"/>
    <cellStyle name="RowTitles-Detail 6 4 3" xfId="23387"/>
    <cellStyle name="RowTitles-Detail 6 4 3 2" xfId="23388"/>
    <cellStyle name="RowTitles-Detail 6 4 3 2 2" xfId="23389"/>
    <cellStyle name="RowTitles-Detail 6 4 3 2_Tertiary Salaries Survey" xfId="23390"/>
    <cellStyle name="RowTitles-Detail 6 4 3 3" xfId="23391"/>
    <cellStyle name="RowTitles-Detail 6 4 3_Tertiary Salaries Survey" xfId="23392"/>
    <cellStyle name="RowTitles-Detail 6 4 4" xfId="23393"/>
    <cellStyle name="RowTitles-Detail 6 4 4 2" xfId="23394"/>
    <cellStyle name="RowTitles-Detail 6 4 4_Tertiary Salaries Survey" xfId="23395"/>
    <cellStyle name="RowTitles-Detail 6 4 5" xfId="23396"/>
    <cellStyle name="RowTitles-Detail 6 4_Tertiary Salaries Survey" xfId="23397"/>
    <cellStyle name="RowTitles-Detail 6 5" xfId="23398"/>
    <cellStyle name="RowTitles-Detail 6 5 2" xfId="23399"/>
    <cellStyle name="RowTitles-Detail 6 5 2 2" xfId="23400"/>
    <cellStyle name="RowTitles-Detail 6 5 2 2 2" xfId="23401"/>
    <cellStyle name="RowTitles-Detail 6 5 2 2_Tertiary Salaries Survey" xfId="23402"/>
    <cellStyle name="RowTitles-Detail 6 5 2 3" xfId="23403"/>
    <cellStyle name="RowTitles-Detail 6 5 2_Tertiary Salaries Survey" xfId="23404"/>
    <cellStyle name="RowTitles-Detail 6 5 3" xfId="23405"/>
    <cellStyle name="RowTitles-Detail 6 5 3 2" xfId="23406"/>
    <cellStyle name="RowTitles-Detail 6 5 3 2 2" xfId="23407"/>
    <cellStyle name="RowTitles-Detail 6 5 3 2_Tertiary Salaries Survey" xfId="23408"/>
    <cellStyle name="RowTitles-Detail 6 5 3 3" xfId="23409"/>
    <cellStyle name="RowTitles-Detail 6 5 3_Tertiary Salaries Survey" xfId="23410"/>
    <cellStyle name="RowTitles-Detail 6 5 4" xfId="23411"/>
    <cellStyle name="RowTitles-Detail 6 5 4 2" xfId="23412"/>
    <cellStyle name="RowTitles-Detail 6 5 4_Tertiary Salaries Survey" xfId="23413"/>
    <cellStyle name="RowTitles-Detail 6 5 5" xfId="23414"/>
    <cellStyle name="RowTitles-Detail 6 5_Tertiary Salaries Survey" xfId="23415"/>
    <cellStyle name="RowTitles-Detail 6 6" xfId="23416"/>
    <cellStyle name="RowTitles-Detail 6 6 2" xfId="23417"/>
    <cellStyle name="RowTitles-Detail 6 6 2 2" xfId="23418"/>
    <cellStyle name="RowTitles-Detail 6 6 2 2 2" xfId="23419"/>
    <cellStyle name="RowTitles-Detail 6 6 2 2_Tertiary Salaries Survey" xfId="23420"/>
    <cellStyle name="RowTitles-Detail 6 6 2 3" xfId="23421"/>
    <cellStyle name="RowTitles-Detail 6 6 2_Tertiary Salaries Survey" xfId="23422"/>
    <cellStyle name="RowTitles-Detail 6 6 3" xfId="23423"/>
    <cellStyle name="RowTitles-Detail 6 6 3 2" xfId="23424"/>
    <cellStyle name="RowTitles-Detail 6 6 3 2 2" xfId="23425"/>
    <cellStyle name="RowTitles-Detail 6 6 3 2_Tertiary Salaries Survey" xfId="23426"/>
    <cellStyle name="RowTitles-Detail 6 6 3 3" xfId="23427"/>
    <cellStyle name="RowTitles-Detail 6 6 3_Tertiary Salaries Survey" xfId="23428"/>
    <cellStyle name="RowTitles-Detail 6 6 4" xfId="23429"/>
    <cellStyle name="RowTitles-Detail 6 6 4 2" xfId="23430"/>
    <cellStyle name="RowTitles-Detail 6 6 4_Tertiary Salaries Survey" xfId="23431"/>
    <cellStyle name="RowTitles-Detail 6 6 5" xfId="23432"/>
    <cellStyle name="RowTitles-Detail 6 6_Tertiary Salaries Survey" xfId="23433"/>
    <cellStyle name="RowTitles-Detail 6 7" xfId="23434"/>
    <cellStyle name="RowTitles-Detail 6 7 2" xfId="23435"/>
    <cellStyle name="RowTitles-Detail 6 7 2 2" xfId="23436"/>
    <cellStyle name="RowTitles-Detail 6 7 2_Tertiary Salaries Survey" xfId="23437"/>
    <cellStyle name="RowTitles-Detail 6 7 3" xfId="23438"/>
    <cellStyle name="RowTitles-Detail 6 7_Tertiary Salaries Survey" xfId="23439"/>
    <cellStyle name="RowTitles-Detail 6 8" xfId="23440"/>
    <cellStyle name="RowTitles-Detail 6 8 2" xfId="23441"/>
    <cellStyle name="RowTitles-Detail 6 8 2 2" xfId="23442"/>
    <cellStyle name="RowTitles-Detail 6 8 2_Tertiary Salaries Survey" xfId="23443"/>
    <cellStyle name="RowTitles-Detail 6 8 3" xfId="23444"/>
    <cellStyle name="RowTitles-Detail 6 8_Tertiary Salaries Survey" xfId="23445"/>
    <cellStyle name="RowTitles-Detail 6 9" xfId="23446"/>
    <cellStyle name="RowTitles-Detail 6_STUD aligned by INSTIT" xfId="23447"/>
    <cellStyle name="RowTitles-Detail 7" xfId="23448"/>
    <cellStyle name="RowTitles-Detail 7 2" xfId="23449"/>
    <cellStyle name="RowTitles-Detail 7 2 2" xfId="23450"/>
    <cellStyle name="RowTitles-Detail 7 2 2 2" xfId="23451"/>
    <cellStyle name="RowTitles-Detail 7 2 2 2 2" xfId="23452"/>
    <cellStyle name="RowTitles-Detail 7 2 2 2_Tertiary Salaries Survey" xfId="23453"/>
    <cellStyle name="RowTitles-Detail 7 2 2 3" xfId="23454"/>
    <cellStyle name="RowTitles-Detail 7 2 2_Tertiary Salaries Survey" xfId="23455"/>
    <cellStyle name="RowTitles-Detail 7 2 3" xfId="23456"/>
    <cellStyle name="RowTitles-Detail 7 2 3 2" xfId="23457"/>
    <cellStyle name="RowTitles-Detail 7 2 3 2 2" xfId="23458"/>
    <cellStyle name="RowTitles-Detail 7 2 3 2_Tertiary Salaries Survey" xfId="23459"/>
    <cellStyle name="RowTitles-Detail 7 2 3 3" xfId="23460"/>
    <cellStyle name="RowTitles-Detail 7 2 3_Tertiary Salaries Survey" xfId="23461"/>
    <cellStyle name="RowTitles-Detail 7 2 4" xfId="23462"/>
    <cellStyle name="RowTitles-Detail 7 2 5" xfId="23463"/>
    <cellStyle name="RowTitles-Detail 7 2_Tertiary Salaries Survey" xfId="23464"/>
    <cellStyle name="RowTitles-Detail 7 3" xfId="23465"/>
    <cellStyle name="RowTitles-Detail 7 3 2" xfId="23466"/>
    <cellStyle name="RowTitles-Detail 7 3 2 2" xfId="23467"/>
    <cellStyle name="RowTitles-Detail 7 3 2 2 2" xfId="23468"/>
    <cellStyle name="RowTitles-Detail 7 3 2 2_Tertiary Salaries Survey" xfId="23469"/>
    <cellStyle name="RowTitles-Detail 7 3 2 3" xfId="23470"/>
    <cellStyle name="RowTitles-Detail 7 3 2_Tertiary Salaries Survey" xfId="23471"/>
    <cellStyle name="RowTitles-Detail 7 3 3" xfId="23472"/>
    <cellStyle name="RowTitles-Detail 7 3 3 2" xfId="23473"/>
    <cellStyle name="RowTitles-Detail 7 3 3 2 2" xfId="23474"/>
    <cellStyle name="RowTitles-Detail 7 3 3 2_Tertiary Salaries Survey" xfId="23475"/>
    <cellStyle name="RowTitles-Detail 7 3 3 3" xfId="23476"/>
    <cellStyle name="RowTitles-Detail 7 3 3_Tertiary Salaries Survey" xfId="23477"/>
    <cellStyle name="RowTitles-Detail 7 3 4" xfId="23478"/>
    <cellStyle name="RowTitles-Detail 7 3 4 2" xfId="23479"/>
    <cellStyle name="RowTitles-Detail 7 3 4_Tertiary Salaries Survey" xfId="23480"/>
    <cellStyle name="RowTitles-Detail 7 3 5" xfId="23481"/>
    <cellStyle name="RowTitles-Detail 7 3_Tertiary Salaries Survey" xfId="23482"/>
    <cellStyle name="RowTitles-Detail 7 4" xfId="23483"/>
    <cellStyle name="RowTitles-Detail 7 4 2" xfId="23484"/>
    <cellStyle name="RowTitles-Detail 7 4 2 2" xfId="23485"/>
    <cellStyle name="RowTitles-Detail 7 4 2 2 2" xfId="23486"/>
    <cellStyle name="RowTitles-Detail 7 4 2 2_Tertiary Salaries Survey" xfId="23487"/>
    <cellStyle name="RowTitles-Detail 7 4 2 3" xfId="23488"/>
    <cellStyle name="RowTitles-Detail 7 4 2_Tertiary Salaries Survey" xfId="23489"/>
    <cellStyle name="RowTitles-Detail 7 4 3" xfId="23490"/>
    <cellStyle name="RowTitles-Detail 7 4 3 2" xfId="23491"/>
    <cellStyle name="RowTitles-Detail 7 4 3 2 2" xfId="23492"/>
    <cellStyle name="RowTitles-Detail 7 4 3 2_Tertiary Salaries Survey" xfId="23493"/>
    <cellStyle name="RowTitles-Detail 7 4 3 3" xfId="23494"/>
    <cellStyle name="RowTitles-Detail 7 4 3_Tertiary Salaries Survey" xfId="23495"/>
    <cellStyle name="RowTitles-Detail 7 4 4" xfId="23496"/>
    <cellStyle name="RowTitles-Detail 7 4 4 2" xfId="23497"/>
    <cellStyle name="RowTitles-Detail 7 4 4_Tertiary Salaries Survey" xfId="23498"/>
    <cellStyle name="RowTitles-Detail 7 4 5" xfId="23499"/>
    <cellStyle name="RowTitles-Detail 7 4_Tertiary Salaries Survey" xfId="23500"/>
    <cellStyle name="RowTitles-Detail 7 5" xfId="23501"/>
    <cellStyle name="RowTitles-Detail 7 5 2" xfId="23502"/>
    <cellStyle name="RowTitles-Detail 7 5 2 2" xfId="23503"/>
    <cellStyle name="RowTitles-Detail 7 5 2 2 2" xfId="23504"/>
    <cellStyle name="RowTitles-Detail 7 5 2 2_Tertiary Salaries Survey" xfId="23505"/>
    <cellStyle name="RowTitles-Detail 7 5 2 3" xfId="23506"/>
    <cellStyle name="RowTitles-Detail 7 5 2_Tertiary Salaries Survey" xfId="23507"/>
    <cellStyle name="RowTitles-Detail 7 5 3" xfId="23508"/>
    <cellStyle name="RowTitles-Detail 7 5 3 2" xfId="23509"/>
    <cellStyle name="RowTitles-Detail 7 5 3 2 2" xfId="23510"/>
    <cellStyle name="RowTitles-Detail 7 5 3 2_Tertiary Salaries Survey" xfId="23511"/>
    <cellStyle name="RowTitles-Detail 7 5 3 3" xfId="23512"/>
    <cellStyle name="RowTitles-Detail 7 5 3_Tertiary Salaries Survey" xfId="23513"/>
    <cellStyle name="RowTitles-Detail 7 5 4" xfId="23514"/>
    <cellStyle name="RowTitles-Detail 7 5 4 2" xfId="23515"/>
    <cellStyle name="RowTitles-Detail 7 5 4_Tertiary Salaries Survey" xfId="23516"/>
    <cellStyle name="RowTitles-Detail 7 5 5" xfId="23517"/>
    <cellStyle name="RowTitles-Detail 7 5_Tertiary Salaries Survey" xfId="23518"/>
    <cellStyle name="RowTitles-Detail 7 6" xfId="23519"/>
    <cellStyle name="RowTitles-Detail 7 6 2" xfId="23520"/>
    <cellStyle name="RowTitles-Detail 7 6 2 2" xfId="23521"/>
    <cellStyle name="RowTitles-Detail 7 6 2 2 2" xfId="23522"/>
    <cellStyle name="RowTitles-Detail 7 6 2 2_Tertiary Salaries Survey" xfId="23523"/>
    <cellStyle name="RowTitles-Detail 7 6 2 3" xfId="23524"/>
    <cellStyle name="RowTitles-Detail 7 6 2_Tertiary Salaries Survey" xfId="23525"/>
    <cellStyle name="RowTitles-Detail 7 6 3" xfId="23526"/>
    <cellStyle name="RowTitles-Detail 7 6 3 2" xfId="23527"/>
    <cellStyle name="RowTitles-Detail 7 6 3 2 2" xfId="23528"/>
    <cellStyle name="RowTitles-Detail 7 6 3 2_Tertiary Salaries Survey" xfId="23529"/>
    <cellStyle name="RowTitles-Detail 7 6 3 3" xfId="23530"/>
    <cellStyle name="RowTitles-Detail 7 6 3_Tertiary Salaries Survey" xfId="23531"/>
    <cellStyle name="RowTitles-Detail 7 6 4" xfId="23532"/>
    <cellStyle name="RowTitles-Detail 7 6 4 2" xfId="23533"/>
    <cellStyle name="RowTitles-Detail 7 6 4_Tertiary Salaries Survey" xfId="23534"/>
    <cellStyle name="RowTitles-Detail 7 6 5" xfId="23535"/>
    <cellStyle name="RowTitles-Detail 7 6_Tertiary Salaries Survey" xfId="23536"/>
    <cellStyle name="RowTitles-Detail 7 7" xfId="23537"/>
    <cellStyle name="RowTitles-Detail 7 7 2" xfId="23538"/>
    <cellStyle name="RowTitles-Detail 7 7 2 2" xfId="23539"/>
    <cellStyle name="RowTitles-Detail 7 7 2_Tertiary Salaries Survey" xfId="23540"/>
    <cellStyle name="RowTitles-Detail 7 7 3" xfId="23541"/>
    <cellStyle name="RowTitles-Detail 7 7_Tertiary Salaries Survey" xfId="23542"/>
    <cellStyle name="RowTitles-Detail 7 8" xfId="23543"/>
    <cellStyle name="RowTitles-Detail 7 8 2" xfId="23544"/>
    <cellStyle name="RowTitles-Detail 7 8 2 2" xfId="23545"/>
    <cellStyle name="RowTitles-Detail 7 8 2_Tertiary Salaries Survey" xfId="23546"/>
    <cellStyle name="RowTitles-Detail 7 8 3" xfId="23547"/>
    <cellStyle name="RowTitles-Detail 7 8_Tertiary Salaries Survey" xfId="23548"/>
    <cellStyle name="RowTitles-Detail 7 9" xfId="23549"/>
    <cellStyle name="RowTitles-Detail 7_STUD aligned by INSTIT" xfId="23550"/>
    <cellStyle name="RowTitles-Detail 8" xfId="23551"/>
    <cellStyle name="RowTitles-Detail 8 2" xfId="23552"/>
    <cellStyle name="RowTitles-Detail 8 2 2" xfId="23553"/>
    <cellStyle name="RowTitles-Detail 8 2 2 2" xfId="23554"/>
    <cellStyle name="RowTitles-Detail 8 2 2_Tertiary Salaries Survey" xfId="23555"/>
    <cellStyle name="RowTitles-Detail 8 2 3" xfId="23556"/>
    <cellStyle name="RowTitles-Detail 8 2_Tertiary Salaries Survey" xfId="23557"/>
    <cellStyle name="RowTitles-Detail 8 3" xfId="23558"/>
    <cellStyle name="RowTitles-Detail 8 3 2" xfId="23559"/>
    <cellStyle name="RowTitles-Detail 8 3 2 2" xfId="23560"/>
    <cellStyle name="RowTitles-Detail 8 3 2_Tertiary Salaries Survey" xfId="23561"/>
    <cellStyle name="RowTitles-Detail 8 3 3" xfId="23562"/>
    <cellStyle name="RowTitles-Detail 8 3_Tertiary Salaries Survey" xfId="23563"/>
    <cellStyle name="RowTitles-Detail 8 4" xfId="23564"/>
    <cellStyle name="RowTitles-Detail 8 5" xfId="23565"/>
    <cellStyle name="RowTitles-Detail 8_Tertiary Salaries Survey" xfId="23566"/>
    <cellStyle name="RowTitles-Detail 9" xfId="23567"/>
    <cellStyle name="RowTitles-Detail 9 2" xfId="23568"/>
    <cellStyle name="RowTitles-Detail 9 2 2" xfId="23569"/>
    <cellStyle name="RowTitles-Detail 9 2 2 2" xfId="23570"/>
    <cellStyle name="RowTitles-Detail 9 2 2_Tertiary Salaries Survey" xfId="23571"/>
    <cellStyle name="RowTitles-Detail 9 2 3" xfId="23572"/>
    <cellStyle name="RowTitles-Detail 9 2_Tertiary Salaries Survey" xfId="23573"/>
    <cellStyle name="RowTitles-Detail 9 3" xfId="23574"/>
    <cellStyle name="RowTitles-Detail 9 3 2" xfId="23575"/>
    <cellStyle name="RowTitles-Detail 9 3 2 2" xfId="23576"/>
    <cellStyle name="RowTitles-Detail 9 3 2_Tertiary Salaries Survey" xfId="23577"/>
    <cellStyle name="RowTitles-Detail 9 3 3" xfId="23578"/>
    <cellStyle name="RowTitles-Detail 9 3_Tertiary Salaries Survey" xfId="23579"/>
    <cellStyle name="RowTitles-Detail 9 4" xfId="23580"/>
    <cellStyle name="RowTitles-Detail 9 5" xfId="23581"/>
    <cellStyle name="RowTitles-Detail 9 5 2" xfId="23582"/>
    <cellStyle name="RowTitles-Detail 9 5_Tertiary Salaries Survey" xfId="23583"/>
    <cellStyle name="RowTitles-Detail 9 6" xfId="23584"/>
    <cellStyle name="RowTitles-Detail 9_Tertiary Salaries Survey" xfId="23585"/>
    <cellStyle name="RowTitles-Detail_STUD aligned by INSTIT" xfId="23586"/>
    <cellStyle name="semestre" xfId="23587"/>
    <cellStyle name="Standaard_Blad1" xfId="23588"/>
    <cellStyle name="Standard_DIAGRAM" xfId="23589"/>
    <cellStyle name="Sub_tot_e" xfId="23590"/>
    <cellStyle name="Sub-titles" xfId="23591"/>
    <cellStyle name="Sub-titles Cols" xfId="23592"/>
    <cellStyle name="Sub-titles rows" xfId="23593"/>
    <cellStyle name="Table No." xfId="72"/>
    <cellStyle name="Table No. 2" xfId="23594"/>
    <cellStyle name="Table Title" xfId="73"/>
    <cellStyle name="Table Title 2" xfId="23595"/>
    <cellStyle name="TableStyleLight1" xfId="23596"/>
    <cellStyle name="TableStyleLight1 10" xfId="23597"/>
    <cellStyle name="TableStyleLight1 11" xfId="23598"/>
    <cellStyle name="TableStyleLight1 12" xfId="23599"/>
    <cellStyle name="TableStyleLight1 13" xfId="23600"/>
    <cellStyle name="TableStyleLight1 2" xfId="23601"/>
    <cellStyle name="TableStyleLight1 2 10" xfId="23602"/>
    <cellStyle name="TableStyleLight1 2 10 2" xfId="23603"/>
    <cellStyle name="TableStyleLight1 2 10 2 2" xfId="23604"/>
    <cellStyle name="TableStyleLight1 2 10 2_Tertiary Salaries Survey" xfId="23605"/>
    <cellStyle name="TableStyleLight1 2 10 3" xfId="23606"/>
    <cellStyle name="TableStyleLight1 2 10 3 2" xfId="23607"/>
    <cellStyle name="TableStyleLight1 2 10 3_Tertiary Salaries Survey" xfId="23608"/>
    <cellStyle name="TableStyleLight1 2 10 4" xfId="23609"/>
    <cellStyle name="TableStyleLight1 2 10 5" xfId="23610"/>
    <cellStyle name="TableStyleLight1 2 10 6" xfId="23611"/>
    <cellStyle name="TableStyleLight1 2 10_Tertiary Salaries Survey" xfId="23612"/>
    <cellStyle name="TableStyleLight1 2 11" xfId="23613"/>
    <cellStyle name="TableStyleLight1 2 11 2" xfId="23614"/>
    <cellStyle name="TableStyleLight1 2 11 2 2" xfId="23615"/>
    <cellStyle name="TableStyleLight1 2 11 2_Tertiary Salaries Survey" xfId="23616"/>
    <cellStyle name="TableStyleLight1 2 11 3" xfId="23617"/>
    <cellStyle name="TableStyleLight1 2 11 3 2" xfId="23618"/>
    <cellStyle name="TableStyleLight1 2 11 3_Tertiary Salaries Survey" xfId="23619"/>
    <cellStyle name="TableStyleLight1 2 11 4" xfId="23620"/>
    <cellStyle name="TableStyleLight1 2 11 5" xfId="23621"/>
    <cellStyle name="TableStyleLight1 2 11 6" xfId="23622"/>
    <cellStyle name="TableStyleLight1 2 11_Tertiary Salaries Survey" xfId="23623"/>
    <cellStyle name="TableStyleLight1 2 12" xfId="23624"/>
    <cellStyle name="TableStyleLight1 2 13" xfId="23625"/>
    <cellStyle name="TableStyleLight1 2 14" xfId="23626"/>
    <cellStyle name="TableStyleLight1 2 2" xfId="23627"/>
    <cellStyle name="TableStyleLight1 2 2 2" xfId="23628"/>
    <cellStyle name="TableStyleLight1 2 2 2 2" xfId="23629"/>
    <cellStyle name="TableStyleLight1 2 2 2 2 2" xfId="23630"/>
    <cellStyle name="TableStyleLight1 2 2 2 2 3" xfId="23631"/>
    <cellStyle name="TableStyleLight1 2 2 2 2 4" xfId="23632"/>
    <cellStyle name="TableStyleLight1 2 2 2 2 5" xfId="23633"/>
    <cellStyle name="TableStyleLight1 2 2 2 2_Tertiary Salaries Survey" xfId="23634"/>
    <cellStyle name="TableStyleLight1 2 2 2 3" xfId="23635"/>
    <cellStyle name="TableStyleLight1 2 2 2 3 2" xfId="23636"/>
    <cellStyle name="TableStyleLight1 2 2 2 3 3" xfId="23637"/>
    <cellStyle name="TableStyleLight1 2 2 2 3 4" xfId="23638"/>
    <cellStyle name="TableStyleLight1 2 2 2 3_Tertiary Salaries Survey" xfId="23639"/>
    <cellStyle name="TableStyleLight1 2 2 2 4" xfId="23640"/>
    <cellStyle name="TableStyleLight1 2 2 2 5" xfId="23641"/>
    <cellStyle name="TableStyleLight1 2 2 2 6" xfId="23642"/>
    <cellStyle name="TableStyleLight1 2 2 2_STUD aligned by INSTIT" xfId="23643"/>
    <cellStyle name="TableStyleLight1 2 2 3" xfId="23644"/>
    <cellStyle name="TableStyleLight1 2 2 3 2" xfId="23645"/>
    <cellStyle name="TableStyleLight1 2 2 3 3" xfId="23646"/>
    <cellStyle name="TableStyleLight1 2 2 3 4" xfId="23647"/>
    <cellStyle name="TableStyleLight1 2 2 3 5" xfId="23648"/>
    <cellStyle name="TableStyleLight1 2 2 3_Tertiary Salaries Survey" xfId="23649"/>
    <cellStyle name="TableStyleLight1 2 2 4" xfId="23650"/>
    <cellStyle name="TableStyleLight1 2 2 4 2" xfId="23651"/>
    <cellStyle name="TableStyleLight1 2 2 4 3" xfId="23652"/>
    <cellStyle name="TableStyleLight1 2 2 4 4" xfId="23653"/>
    <cellStyle name="TableStyleLight1 2 2 4_Tertiary Salaries Survey" xfId="23654"/>
    <cellStyle name="TableStyleLight1 2 2 5" xfId="23655"/>
    <cellStyle name="TableStyleLight1 2 2 6" xfId="23656"/>
    <cellStyle name="TableStyleLight1 2 2 7" xfId="23657"/>
    <cellStyle name="TableStyleLight1 2 2_STUD aligned by INSTIT" xfId="23658"/>
    <cellStyle name="TableStyleLight1 2 3" xfId="23659"/>
    <cellStyle name="TableStyleLight1 2 3 2" xfId="23660"/>
    <cellStyle name="TableStyleLight1 2 3 2 2" xfId="23661"/>
    <cellStyle name="TableStyleLight1 2 3 2 3" xfId="23662"/>
    <cellStyle name="TableStyleLight1 2 3 2 4" xfId="23663"/>
    <cellStyle name="TableStyleLight1 2 3 2 5" xfId="23664"/>
    <cellStyle name="TableStyleLight1 2 3 2_Tertiary Salaries Survey" xfId="23665"/>
    <cellStyle name="TableStyleLight1 2 3 3" xfId="23666"/>
    <cellStyle name="TableStyleLight1 2 3 3 2" xfId="23667"/>
    <cellStyle name="TableStyleLight1 2 3 3 3" xfId="23668"/>
    <cellStyle name="TableStyleLight1 2 3 3 4" xfId="23669"/>
    <cellStyle name="TableStyleLight1 2 3 3_Tertiary Salaries Survey" xfId="23670"/>
    <cellStyle name="TableStyleLight1 2 3 4" xfId="23671"/>
    <cellStyle name="TableStyleLight1 2 3 5" xfId="23672"/>
    <cellStyle name="TableStyleLight1 2 3 6" xfId="23673"/>
    <cellStyle name="TableStyleLight1 2 3_STUD aligned by INSTIT" xfId="23674"/>
    <cellStyle name="TableStyleLight1 2 4" xfId="23675"/>
    <cellStyle name="TableStyleLight1 2 4 10" xfId="23676"/>
    <cellStyle name="TableStyleLight1 2 4 2" xfId="23677"/>
    <cellStyle name="TableStyleLight1 2 4 2 2" xfId="23678"/>
    <cellStyle name="TableStyleLight1 2 4 2 3" xfId="23679"/>
    <cellStyle name="TableStyleLight1 2 4 2 4" xfId="23680"/>
    <cellStyle name="TableStyleLight1 2 4 2 5" xfId="23681"/>
    <cellStyle name="TableStyleLight1 2 4 2_Tertiary Salaries Survey" xfId="23682"/>
    <cellStyle name="TableStyleLight1 2 4 3" xfId="23683"/>
    <cellStyle name="TableStyleLight1 2 4 3 2" xfId="23684"/>
    <cellStyle name="TableStyleLight1 2 4 3 2 2" xfId="23685"/>
    <cellStyle name="TableStyleLight1 2 4 3 2_Tertiary Salaries Survey" xfId="23686"/>
    <cellStyle name="TableStyleLight1 2 4 3 3" xfId="23687"/>
    <cellStyle name="TableStyleLight1 2 4 3 3 2" xfId="23688"/>
    <cellStyle name="TableStyleLight1 2 4 3 3_Tertiary Salaries Survey" xfId="23689"/>
    <cellStyle name="TableStyleLight1 2 4 3 4" xfId="23690"/>
    <cellStyle name="TableStyleLight1 2 4 3 5" xfId="23691"/>
    <cellStyle name="TableStyleLight1 2 4 3 6" xfId="23692"/>
    <cellStyle name="TableStyleLight1 2 4 3_Tertiary Salaries Survey" xfId="23693"/>
    <cellStyle name="TableStyleLight1 2 4 4" xfId="23694"/>
    <cellStyle name="TableStyleLight1 2 4 4 2" xfId="23695"/>
    <cellStyle name="TableStyleLight1 2 4 4 2 2" xfId="23696"/>
    <cellStyle name="TableStyleLight1 2 4 4 2_Tertiary Salaries Survey" xfId="23697"/>
    <cellStyle name="TableStyleLight1 2 4 4 3" xfId="23698"/>
    <cellStyle name="TableStyleLight1 2 4 4 3 2" xfId="23699"/>
    <cellStyle name="TableStyleLight1 2 4 4 3_Tertiary Salaries Survey" xfId="23700"/>
    <cellStyle name="TableStyleLight1 2 4 4 4" xfId="23701"/>
    <cellStyle name="TableStyleLight1 2 4 4 5" xfId="23702"/>
    <cellStyle name="TableStyleLight1 2 4 4 6" xfId="23703"/>
    <cellStyle name="TableStyleLight1 2 4 4_Tertiary Salaries Survey" xfId="23704"/>
    <cellStyle name="TableStyleLight1 2 4 5" xfId="23705"/>
    <cellStyle name="TableStyleLight1 2 4 5 2" xfId="23706"/>
    <cellStyle name="TableStyleLight1 2 4 5 2 2" xfId="23707"/>
    <cellStyle name="TableStyleLight1 2 4 5 2_Tertiary Salaries Survey" xfId="23708"/>
    <cellStyle name="TableStyleLight1 2 4 5 3" xfId="23709"/>
    <cellStyle name="TableStyleLight1 2 4 5 3 2" xfId="23710"/>
    <cellStyle name="TableStyleLight1 2 4 5 3_Tertiary Salaries Survey" xfId="23711"/>
    <cellStyle name="TableStyleLight1 2 4 5 4" xfId="23712"/>
    <cellStyle name="TableStyleLight1 2 4 5 5" xfId="23713"/>
    <cellStyle name="TableStyleLight1 2 4 5 6" xfId="23714"/>
    <cellStyle name="TableStyleLight1 2 4 5_Tertiary Salaries Survey" xfId="23715"/>
    <cellStyle name="TableStyleLight1 2 4 6" xfId="23716"/>
    <cellStyle name="TableStyleLight1 2 4 6 2" xfId="23717"/>
    <cellStyle name="TableStyleLight1 2 4 6 2 2" xfId="23718"/>
    <cellStyle name="TableStyleLight1 2 4 6 2_Tertiary Salaries Survey" xfId="23719"/>
    <cellStyle name="TableStyleLight1 2 4 6 3" xfId="23720"/>
    <cellStyle name="TableStyleLight1 2 4 6 3 2" xfId="23721"/>
    <cellStyle name="TableStyleLight1 2 4 6 3_Tertiary Salaries Survey" xfId="23722"/>
    <cellStyle name="TableStyleLight1 2 4 6 4" xfId="23723"/>
    <cellStyle name="TableStyleLight1 2 4 6 5" xfId="23724"/>
    <cellStyle name="TableStyleLight1 2 4 6 6" xfId="23725"/>
    <cellStyle name="TableStyleLight1 2 4 6_Tertiary Salaries Survey" xfId="23726"/>
    <cellStyle name="TableStyleLight1 2 4 7" xfId="23727"/>
    <cellStyle name="TableStyleLight1 2 4 8" xfId="23728"/>
    <cellStyle name="TableStyleLight1 2 4 9" xfId="23729"/>
    <cellStyle name="TableStyleLight1 2 4_STUD aligned by INSTIT" xfId="23730"/>
    <cellStyle name="TableStyleLight1 2 5" xfId="23731"/>
    <cellStyle name="TableStyleLight1 2 5 10" xfId="23732"/>
    <cellStyle name="TableStyleLight1 2 5 2" xfId="23733"/>
    <cellStyle name="TableStyleLight1 2 5 2 2" xfId="23734"/>
    <cellStyle name="TableStyleLight1 2 5 2 2 2" xfId="23735"/>
    <cellStyle name="TableStyleLight1 2 5 2 2_Tertiary Salaries Survey" xfId="23736"/>
    <cellStyle name="TableStyleLight1 2 5 2 3" xfId="23737"/>
    <cellStyle name="TableStyleLight1 2 5 2 3 2" xfId="23738"/>
    <cellStyle name="TableStyleLight1 2 5 2 3_Tertiary Salaries Survey" xfId="23739"/>
    <cellStyle name="TableStyleLight1 2 5 2 4" xfId="23740"/>
    <cellStyle name="TableStyleLight1 2 5 2 5" xfId="23741"/>
    <cellStyle name="TableStyleLight1 2 5 2_Tertiary Salaries Survey" xfId="23742"/>
    <cellStyle name="TableStyleLight1 2 5 3" xfId="23743"/>
    <cellStyle name="TableStyleLight1 2 5 3 2" xfId="23744"/>
    <cellStyle name="TableStyleLight1 2 5 3 2 2" xfId="23745"/>
    <cellStyle name="TableStyleLight1 2 5 3 2_Tertiary Salaries Survey" xfId="23746"/>
    <cellStyle name="TableStyleLight1 2 5 3 3" xfId="23747"/>
    <cellStyle name="TableStyleLight1 2 5 3 3 2" xfId="23748"/>
    <cellStyle name="TableStyleLight1 2 5 3 3_Tertiary Salaries Survey" xfId="23749"/>
    <cellStyle name="TableStyleLight1 2 5 3 4" xfId="23750"/>
    <cellStyle name="TableStyleLight1 2 5 3 5" xfId="23751"/>
    <cellStyle name="TableStyleLight1 2 5 3 6" xfId="23752"/>
    <cellStyle name="TableStyleLight1 2 5 3 7" xfId="23753"/>
    <cellStyle name="TableStyleLight1 2 5 3_Tertiary Salaries Survey" xfId="23754"/>
    <cellStyle name="TableStyleLight1 2 5 4" xfId="23755"/>
    <cellStyle name="TableStyleLight1 2 5 4 2" xfId="23756"/>
    <cellStyle name="TableStyleLight1 2 5 4 2 2" xfId="23757"/>
    <cellStyle name="TableStyleLight1 2 5 4 2_Tertiary Salaries Survey" xfId="23758"/>
    <cellStyle name="TableStyleLight1 2 5 4 3" xfId="23759"/>
    <cellStyle name="TableStyleLight1 2 5 4 3 2" xfId="23760"/>
    <cellStyle name="TableStyleLight1 2 5 4 3_Tertiary Salaries Survey" xfId="23761"/>
    <cellStyle name="TableStyleLight1 2 5 4 4" xfId="23762"/>
    <cellStyle name="TableStyleLight1 2 5 4 5" xfId="23763"/>
    <cellStyle name="TableStyleLight1 2 5 4 6" xfId="23764"/>
    <cellStyle name="TableStyleLight1 2 5 4_Tertiary Salaries Survey" xfId="23765"/>
    <cellStyle name="TableStyleLight1 2 5 5" xfId="23766"/>
    <cellStyle name="TableStyleLight1 2 5 5 2" xfId="23767"/>
    <cellStyle name="TableStyleLight1 2 5 5 2 2" xfId="23768"/>
    <cellStyle name="TableStyleLight1 2 5 5 2_Tertiary Salaries Survey" xfId="23769"/>
    <cellStyle name="TableStyleLight1 2 5 5 3" xfId="23770"/>
    <cellStyle name="TableStyleLight1 2 5 5 3 2" xfId="23771"/>
    <cellStyle name="TableStyleLight1 2 5 5 3_Tertiary Salaries Survey" xfId="23772"/>
    <cellStyle name="TableStyleLight1 2 5 5 4" xfId="23773"/>
    <cellStyle name="TableStyleLight1 2 5 5 5" xfId="23774"/>
    <cellStyle name="TableStyleLight1 2 5 5 6" xfId="23775"/>
    <cellStyle name="TableStyleLight1 2 5 5_Tertiary Salaries Survey" xfId="23776"/>
    <cellStyle name="TableStyleLight1 2 5 6" xfId="23777"/>
    <cellStyle name="TableStyleLight1 2 5 6 2" xfId="23778"/>
    <cellStyle name="TableStyleLight1 2 5 6 2 2" xfId="23779"/>
    <cellStyle name="TableStyleLight1 2 5 6 2_Tertiary Salaries Survey" xfId="23780"/>
    <cellStyle name="TableStyleLight1 2 5 6 3" xfId="23781"/>
    <cellStyle name="TableStyleLight1 2 5 6 3 2" xfId="23782"/>
    <cellStyle name="TableStyleLight1 2 5 6 3_Tertiary Salaries Survey" xfId="23783"/>
    <cellStyle name="TableStyleLight1 2 5 6 4" xfId="23784"/>
    <cellStyle name="TableStyleLight1 2 5 6 5" xfId="23785"/>
    <cellStyle name="TableStyleLight1 2 5 6 6" xfId="23786"/>
    <cellStyle name="TableStyleLight1 2 5 6_Tertiary Salaries Survey" xfId="23787"/>
    <cellStyle name="TableStyleLight1 2 5 7" xfId="23788"/>
    <cellStyle name="TableStyleLight1 2 5 7 2" xfId="23789"/>
    <cellStyle name="TableStyleLight1 2 5 7_Tertiary Salaries Survey" xfId="23790"/>
    <cellStyle name="TableStyleLight1 2 5 8" xfId="23791"/>
    <cellStyle name="TableStyleLight1 2 5 8 2" xfId="23792"/>
    <cellStyle name="TableStyleLight1 2 5 8_Tertiary Salaries Survey" xfId="23793"/>
    <cellStyle name="TableStyleLight1 2 5 9" xfId="23794"/>
    <cellStyle name="TableStyleLight1 2 5_STUD aligned by INSTIT" xfId="23795"/>
    <cellStyle name="TableStyleLight1 2 6" xfId="23796"/>
    <cellStyle name="TableStyleLight1 2 6 10" xfId="23797"/>
    <cellStyle name="TableStyleLight1 2 6 2" xfId="23798"/>
    <cellStyle name="TableStyleLight1 2 6 2 2" xfId="23799"/>
    <cellStyle name="TableStyleLight1 2 6 2 2 2" xfId="23800"/>
    <cellStyle name="TableStyleLight1 2 6 2 2_Tertiary Salaries Survey" xfId="23801"/>
    <cellStyle name="TableStyleLight1 2 6 2 3" xfId="23802"/>
    <cellStyle name="TableStyleLight1 2 6 2 3 2" xfId="23803"/>
    <cellStyle name="TableStyleLight1 2 6 2 3_Tertiary Salaries Survey" xfId="23804"/>
    <cellStyle name="TableStyleLight1 2 6 2 4" xfId="23805"/>
    <cellStyle name="TableStyleLight1 2 6 2 5" xfId="23806"/>
    <cellStyle name="TableStyleLight1 2 6 2_Tertiary Salaries Survey" xfId="23807"/>
    <cellStyle name="TableStyleLight1 2 6 3" xfId="23808"/>
    <cellStyle name="TableStyleLight1 2 6 3 2" xfId="23809"/>
    <cellStyle name="TableStyleLight1 2 6 3 2 2" xfId="23810"/>
    <cellStyle name="TableStyleLight1 2 6 3 2_Tertiary Salaries Survey" xfId="23811"/>
    <cellStyle name="TableStyleLight1 2 6 3 3" xfId="23812"/>
    <cellStyle name="TableStyleLight1 2 6 3 3 2" xfId="23813"/>
    <cellStyle name="TableStyleLight1 2 6 3 3_Tertiary Salaries Survey" xfId="23814"/>
    <cellStyle name="TableStyleLight1 2 6 3 4" xfId="23815"/>
    <cellStyle name="TableStyleLight1 2 6 3 5" xfId="23816"/>
    <cellStyle name="TableStyleLight1 2 6 3 6" xfId="23817"/>
    <cellStyle name="TableStyleLight1 2 6 3 7" xfId="23818"/>
    <cellStyle name="TableStyleLight1 2 6 3_Tertiary Salaries Survey" xfId="23819"/>
    <cellStyle name="TableStyleLight1 2 6 4" xfId="23820"/>
    <cellStyle name="TableStyleLight1 2 6 4 2" xfId="23821"/>
    <cellStyle name="TableStyleLight1 2 6 4 2 2" xfId="23822"/>
    <cellStyle name="TableStyleLight1 2 6 4 2_Tertiary Salaries Survey" xfId="23823"/>
    <cellStyle name="TableStyleLight1 2 6 4 3" xfId="23824"/>
    <cellStyle name="TableStyleLight1 2 6 4 3 2" xfId="23825"/>
    <cellStyle name="TableStyleLight1 2 6 4 3_Tertiary Salaries Survey" xfId="23826"/>
    <cellStyle name="TableStyleLight1 2 6 4 4" xfId="23827"/>
    <cellStyle name="TableStyleLight1 2 6 4 5" xfId="23828"/>
    <cellStyle name="TableStyleLight1 2 6 4 6" xfId="23829"/>
    <cellStyle name="TableStyleLight1 2 6 4_Tertiary Salaries Survey" xfId="23830"/>
    <cellStyle name="TableStyleLight1 2 6 5" xfId="23831"/>
    <cellStyle name="TableStyleLight1 2 6 5 2" xfId="23832"/>
    <cellStyle name="TableStyleLight1 2 6 5 2 2" xfId="23833"/>
    <cellStyle name="TableStyleLight1 2 6 5 2_Tertiary Salaries Survey" xfId="23834"/>
    <cellStyle name="TableStyleLight1 2 6 5 3" xfId="23835"/>
    <cellStyle name="TableStyleLight1 2 6 5 3 2" xfId="23836"/>
    <cellStyle name="TableStyleLight1 2 6 5 3_Tertiary Salaries Survey" xfId="23837"/>
    <cellStyle name="TableStyleLight1 2 6 5 4" xfId="23838"/>
    <cellStyle name="TableStyleLight1 2 6 5 5" xfId="23839"/>
    <cellStyle name="TableStyleLight1 2 6 5 6" xfId="23840"/>
    <cellStyle name="TableStyleLight1 2 6 5_Tertiary Salaries Survey" xfId="23841"/>
    <cellStyle name="TableStyleLight1 2 6 6" xfId="23842"/>
    <cellStyle name="TableStyleLight1 2 6 6 2" xfId="23843"/>
    <cellStyle name="TableStyleLight1 2 6 6 2 2" xfId="23844"/>
    <cellStyle name="TableStyleLight1 2 6 6 2_Tertiary Salaries Survey" xfId="23845"/>
    <cellStyle name="TableStyleLight1 2 6 6 3" xfId="23846"/>
    <cellStyle name="TableStyleLight1 2 6 6 3 2" xfId="23847"/>
    <cellStyle name="TableStyleLight1 2 6 6 3_Tertiary Salaries Survey" xfId="23848"/>
    <cellStyle name="TableStyleLight1 2 6 6 4" xfId="23849"/>
    <cellStyle name="TableStyleLight1 2 6 6 5" xfId="23850"/>
    <cellStyle name="TableStyleLight1 2 6 6 6" xfId="23851"/>
    <cellStyle name="TableStyleLight1 2 6 6_Tertiary Salaries Survey" xfId="23852"/>
    <cellStyle name="TableStyleLight1 2 6 7" xfId="23853"/>
    <cellStyle name="TableStyleLight1 2 6 7 2" xfId="23854"/>
    <cellStyle name="TableStyleLight1 2 6 7_Tertiary Salaries Survey" xfId="23855"/>
    <cellStyle name="TableStyleLight1 2 6 8" xfId="23856"/>
    <cellStyle name="TableStyleLight1 2 6 8 2" xfId="23857"/>
    <cellStyle name="TableStyleLight1 2 6 8_Tertiary Salaries Survey" xfId="23858"/>
    <cellStyle name="TableStyleLight1 2 6 9" xfId="23859"/>
    <cellStyle name="TableStyleLight1 2 6_STUD aligned by INSTIT" xfId="23860"/>
    <cellStyle name="TableStyleLight1 2 7" xfId="23861"/>
    <cellStyle name="TableStyleLight1 2 7 2" xfId="23862"/>
    <cellStyle name="TableStyleLight1 2 7 3" xfId="23863"/>
    <cellStyle name="TableStyleLight1 2 7 4" xfId="23864"/>
    <cellStyle name="TableStyleLight1 2 7 5" xfId="23865"/>
    <cellStyle name="TableStyleLight1 2 7_Tertiary Salaries Survey" xfId="23866"/>
    <cellStyle name="TableStyleLight1 2 8" xfId="23867"/>
    <cellStyle name="TableStyleLight1 2 8 2" xfId="23868"/>
    <cellStyle name="TableStyleLight1 2 8 2 2" xfId="23869"/>
    <cellStyle name="TableStyleLight1 2 8 2_Tertiary Salaries Survey" xfId="23870"/>
    <cellStyle name="TableStyleLight1 2 8 3" xfId="23871"/>
    <cellStyle name="TableStyleLight1 2 8 3 2" xfId="23872"/>
    <cellStyle name="TableStyleLight1 2 8 3_Tertiary Salaries Survey" xfId="23873"/>
    <cellStyle name="TableStyleLight1 2 8 4" xfId="23874"/>
    <cellStyle name="TableStyleLight1 2 8 5" xfId="23875"/>
    <cellStyle name="TableStyleLight1 2 8 6" xfId="23876"/>
    <cellStyle name="TableStyleLight1 2 8_Tertiary Salaries Survey" xfId="23877"/>
    <cellStyle name="TableStyleLight1 2 9" xfId="23878"/>
    <cellStyle name="TableStyleLight1 2 9 2" xfId="23879"/>
    <cellStyle name="TableStyleLight1 2 9 2 2" xfId="23880"/>
    <cellStyle name="TableStyleLight1 2 9 2_Tertiary Salaries Survey" xfId="23881"/>
    <cellStyle name="TableStyleLight1 2 9 3" xfId="23882"/>
    <cellStyle name="TableStyleLight1 2 9 3 2" xfId="23883"/>
    <cellStyle name="TableStyleLight1 2 9 3_Tertiary Salaries Survey" xfId="23884"/>
    <cellStyle name="TableStyleLight1 2 9 4" xfId="23885"/>
    <cellStyle name="TableStyleLight1 2 9 5" xfId="23886"/>
    <cellStyle name="TableStyleLight1 2 9 6" xfId="23887"/>
    <cellStyle name="TableStyleLight1 2 9_Tertiary Salaries Survey" xfId="23888"/>
    <cellStyle name="TableStyleLight1 2_STUD aligned by INSTIT" xfId="23889"/>
    <cellStyle name="TableStyleLight1 3" xfId="23890"/>
    <cellStyle name="TableStyleLight1 3 2" xfId="23891"/>
    <cellStyle name="TableStyleLight1 3 2 2" xfId="23892"/>
    <cellStyle name="TableStyleLight1 3 2 2 2" xfId="23893"/>
    <cellStyle name="TableStyleLight1 3 2 2 3" xfId="23894"/>
    <cellStyle name="TableStyleLight1 3 2 2 4" xfId="23895"/>
    <cellStyle name="TableStyleLight1 3 2 2 5" xfId="23896"/>
    <cellStyle name="TableStyleLight1 3 2 2_Tertiary Salaries Survey" xfId="23897"/>
    <cellStyle name="TableStyleLight1 3 2 3" xfId="23898"/>
    <cellStyle name="TableStyleLight1 3 2 3 2" xfId="23899"/>
    <cellStyle name="TableStyleLight1 3 2 3 3" xfId="23900"/>
    <cellStyle name="TableStyleLight1 3 2 3 4" xfId="23901"/>
    <cellStyle name="TableStyleLight1 3 2 3_Tertiary Salaries Survey" xfId="23902"/>
    <cellStyle name="TableStyleLight1 3 2 4" xfId="23903"/>
    <cellStyle name="TableStyleLight1 3 2 5" xfId="23904"/>
    <cellStyle name="TableStyleLight1 3 2 6" xfId="23905"/>
    <cellStyle name="TableStyleLight1 3 2_STUD aligned by INSTIT" xfId="23906"/>
    <cellStyle name="TableStyleLight1 3 3" xfId="23907"/>
    <cellStyle name="TableStyleLight1 3 3 2" xfId="23908"/>
    <cellStyle name="TableStyleLight1 3 3 3" xfId="23909"/>
    <cellStyle name="TableStyleLight1 3 3 4" xfId="23910"/>
    <cellStyle name="TableStyleLight1 3 3 5" xfId="23911"/>
    <cellStyle name="TableStyleLight1 3 3_Tertiary Salaries Survey" xfId="23912"/>
    <cellStyle name="TableStyleLight1 3 4" xfId="23913"/>
    <cellStyle name="TableStyleLight1 3 4 2" xfId="23914"/>
    <cellStyle name="TableStyleLight1 3 4 3" xfId="23915"/>
    <cellStyle name="TableStyleLight1 3 4 4" xfId="23916"/>
    <cellStyle name="TableStyleLight1 3 4_Tertiary Salaries Survey" xfId="23917"/>
    <cellStyle name="TableStyleLight1 3 5" xfId="23918"/>
    <cellStyle name="TableStyleLight1 3 6" xfId="23919"/>
    <cellStyle name="TableStyleLight1 3 7" xfId="23920"/>
    <cellStyle name="TableStyleLight1 3 8" xfId="23921"/>
    <cellStyle name="TableStyleLight1 3_STUD aligned by INSTIT" xfId="23922"/>
    <cellStyle name="TableStyleLight1 4" xfId="23923"/>
    <cellStyle name="TableStyleLight1 4 2" xfId="23924"/>
    <cellStyle name="TableStyleLight1 4 2 2" xfId="23925"/>
    <cellStyle name="TableStyleLight1 4 2 2 2" xfId="23926"/>
    <cellStyle name="TableStyleLight1 4 2 2 3" xfId="23927"/>
    <cellStyle name="TableStyleLight1 4 2 2 4" xfId="23928"/>
    <cellStyle name="TableStyleLight1 4 2 2 5" xfId="23929"/>
    <cellStyle name="TableStyleLight1 4 2 2_Tertiary Salaries Survey" xfId="23930"/>
    <cellStyle name="TableStyleLight1 4 2 3" xfId="23931"/>
    <cellStyle name="TableStyleLight1 4 2 3 2" xfId="23932"/>
    <cellStyle name="TableStyleLight1 4 2 3 3" xfId="23933"/>
    <cellStyle name="TableStyleLight1 4 2 3 4" xfId="23934"/>
    <cellStyle name="TableStyleLight1 4 2 3_Tertiary Salaries Survey" xfId="23935"/>
    <cellStyle name="TableStyleLight1 4 2 4" xfId="23936"/>
    <cellStyle name="TableStyleLight1 4 2 5" xfId="23937"/>
    <cellStyle name="TableStyleLight1 4 2 6" xfId="23938"/>
    <cellStyle name="TableStyleLight1 4 2_STUD aligned by INSTIT" xfId="23939"/>
    <cellStyle name="TableStyleLight1 4 3" xfId="23940"/>
    <cellStyle name="TableStyleLight1 4 3 2" xfId="23941"/>
    <cellStyle name="TableStyleLight1 4 3 3" xfId="23942"/>
    <cellStyle name="TableStyleLight1 4 3 4" xfId="23943"/>
    <cellStyle name="TableStyleLight1 4 3 5" xfId="23944"/>
    <cellStyle name="TableStyleLight1 4 3_Tertiary Salaries Survey" xfId="23945"/>
    <cellStyle name="TableStyleLight1 4 4" xfId="23946"/>
    <cellStyle name="TableStyleLight1 4 4 2" xfId="23947"/>
    <cellStyle name="TableStyleLight1 4 4 3" xfId="23948"/>
    <cellStyle name="TableStyleLight1 4 4 4" xfId="23949"/>
    <cellStyle name="TableStyleLight1 4 4_Tertiary Salaries Survey" xfId="23950"/>
    <cellStyle name="TableStyleLight1 4 5" xfId="23951"/>
    <cellStyle name="TableStyleLight1 4 6" xfId="23952"/>
    <cellStyle name="TableStyleLight1 4 7" xfId="23953"/>
    <cellStyle name="TableStyleLight1 4 8" xfId="23954"/>
    <cellStyle name="TableStyleLight1 4_STUD aligned by INSTIT" xfId="23955"/>
    <cellStyle name="TableStyleLight1 5" xfId="23956"/>
    <cellStyle name="TableStyleLight1 6" xfId="23957"/>
    <cellStyle name="TableStyleLight1 6 10" xfId="23958"/>
    <cellStyle name="TableStyleLight1 6 2" xfId="23959"/>
    <cellStyle name="TableStyleLight1 6 2 2" xfId="23960"/>
    <cellStyle name="TableStyleLight1 6 2 3" xfId="23961"/>
    <cellStyle name="TableStyleLight1 6 2 4" xfId="23962"/>
    <cellStyle name="TableStyleLight1 6 2 5" xfId="23963"/>
    <cellStyle name="TableStyleLight1 6 2_Tertiary Salaries Survey" xfId="23964"/>
    <cellStyle name="TableStyleLight1 6 3" xfId="23965"/>
    <cellStyle name="TableStyleLight1 6 3 2" xfId="23966"/>
    <cellStyle name="TableStyleLight1 6 3 2 2" xfId="23967"/>
    <cellStyle name="TableStyleLight1 6 3 2_Tertiary Salaries Survey" xfId="23968"/>
    <cellStyle name="TableStyleLight1 6 3 3" xfId="23969"/>
    <cellStyle name="TableStyleLight1 6 3 3 2" xfId="23970"/>
    <cellStyle name="TableStyleLight1 6 3 3_Tertiary Salaries Survey" xfId="23971"/>
    <cellStyle name="TableStyleLight1 6 3 4" xfId="23972"/>
    <cellStyle name="TableStyleLight1 6 3 5" xfId="23973"/>
    <cellStyle name="TableStyleLight1 6 3 6" xfId="23974"/>
    <cellStyle name="TableStyleLight1 6 3_Tertiary Salaries Survey" xfId="23975"/>
    <cellStyle name="TableStyleLight1 6 4" xfId="23976"/>
    <cellStyle name="TableStyleLight1 6 4 2" xfId="23977"/>
    <cellStyle name="TableStyleLight1 6 4 2 2" xfId="23978"/>
    <cellStyle name="TableStyleLight1 6 4 2_Tertiary Salaries Survey" xfId="23979"/>
    <cellStyle name="TableStyleLight1 6 4 3" xfId="23980"/>
    <cellStyle name="TableStyleLight1 6 4 3 2" xfId="23981"/>
    <cellStyle name="TableStyleLight1 6 4 3_Tertiary Salaries Survey" xfId="23982"/>
    <cellStyle name="TableStyleLight1 6 4 4" xfId="23983"/>
    <cellStyle name="TableStyleLight1 6 4 5" xfId="23984"/>
    <cellStyle name="TableStyleLight1 6 4 6" xfId="23985"/>
    <cellStyle name="TableStyleLight1 6 4_Tertiary Salaries Survey" xfId="23986"/>
    <cellStyle name="TableStyleLight1 6 5" xfId="23987"/>
    <cellStyle name="TableStyleLight1 6 5 2" xfId="23988"/>
    <cellStyle name="TableStyleLight1 6 5 2 2" xfId="23989"/>
    <cellStyle name="TableStyleLight1 6 5 2_Tertiary Salaries Survey" xfId="23990"/>
    <cellStyle name="TableStyleLight1 6 5 3" xfId="23991"/>
    <cellStyle name="TableStyleLight1 6 5 3 2" xfId="23992"/>
    <cellStyle name="TableStyleLight1 6 5 3_Tertiary Salaries Survey" xfId="23993"/>
    <cellStyle name="TableStyleLight1 6 5 4" xfId="23994"/>
    <cellStyle name="TableStyleLight1 6 5 5" xfId="23995"/>
    <cellStyle name="TableStyleLight1 6 5 6" xfId="23996"/>
    <cellStyle name="TableStyleLight1 6 5_Tertiary Salaries Survey" xfId="23997"/>
    <cellStyle name="TableStyleLight1 6 6" xfId="23998"/>
    <cellStyle name="TableStyleLight1 6 6 2" xfId="23999"/>
    <cellStyle name="TableStyleLight1 6 6 2 2" xfId="24000"/>
    <cellStyle name="TableStyleLight1 6 6 2_Tertiary Salaries Survey" xfId="24001"/>
    <cellStyle name="TableStyleLight1 6 6 3" xfId="24002"/>
    <cellStyle name="TableStyleLight1 6 6 3 2" xfId="24003"/>
    <cellStyle name="TableStyleLight1 6 6 3_Tertiary Salaries Survey" xfId="24004"/>
    <cellStyle name="TableStyleLight1 6 6 4" xfId="24005"/>
    <cellStyle name="TableStyleLight1 6 6 5" xfId="24006"/>
    <cellStyle name="TableStyleLight1 6 6 6" xfId="24007"/>
    <cellStyle name="TableStyleLight1 6 6_Tertiary Salaries Survey" xfId="24008"/>
    <cellStyle name="TableStyleLight1 6 7" xfId="24009"/>
    <cellStyle name="TableStyleLight1 6 8" xfId="24010"/>
    <cellStyle name="TableStyleLight1 6 9" xfId="24011"/>
    <cellStyle name="TableStyleLight1 6_STUD aligned by INSTIT" xfId="24012"/>
    <cellStyle name="TableStyleLight1 7" xfId="24013"/>
    <cellStyle name="TableStyleLight1 7 10" xfId="24014"/>
    <cellStyle name="TableStyleLight1 7 2" xfId="24015"/>
    <cellStyle name="TableStyleLight1 7 2 2" xfId="24016"/>
    <cellStyle name="TableStyleLight1 7 2 2 2" xfId="24017"/>
    <cellStyle name="TableStyleLight1 7 2 2_Tertiary Salaries Survey" xfId="24018"/>
    <cellStyle name="TableStyleLight1 7 2 3" xfId="24019"/>
    <cellStyle name="TableStyleLight1 7 2 3 2" xfId="24020"/>
    <cellStyle name="TableStyleLight1 7 2 3_Tertiary Salaries Survey" xfId="24021"/>
    <cellStyle name="TableStyleLight1 7 2 4" xfId="24022"/>
    <cellStyle name="TableStyleLight1 7 2 5" xfId="24023"/>
    <cellStyle name="TableStyleLight1 7 2_Tertiary Salaries Survey" xfId="24024"/>
    <cellStyle name="TableStyleLight1 7 3" xfId="24025"/>
    <cellStyle name="TableStyleLight1 7 3 2" xfId="24026"/>
    <cellStyle name="TableStyleLight1 7 3 2 2" xfId="24027"/>
    <cellStyle name="TableStyleLight1 7 3 2_Tertiary Salaries Survey" xfId="24028"/>
    <cellStyle name="TableStyleLight1 7 3 3" xfId="24029"/>
    <cellStyle name="TableStyleLight1 7 3 3 2" xfId="24030"/>
    <cellStyle name="TableStyleLight1 7 3 3_Tertiary Salaries Survey" xfId="24031"/>
    <cellStyle name="TableStyleLight1 7 3 4" xfId="24032"/>
    <cellStyle name="TableStyleLight1 7 3 5" xfId="24033"/>
    <cellStyle name="TableStyleLight1 7 3 6" xfId="24034"/>
    <cellStyle name="TableStyleLight1 7 3 7" xfId="24035"/>
    <cellStyle name="TableStyleLight1 7 3_Tertiary Salaries Survey" xfId="24036"/>
    <cellStyle name="TableStyleLight1 7 4" xfId="24037"/>
    <cellStyle name="TableStyleLight1 7 4 2" xfId="24038"/>
    <cellStyle name="TableStyleLight1 7 4 2 2" xfId="24039"/>
    <cellStyle name="TableStyleLight1 7 4 2_Tertiary Salaries Survey" xfId="24040"/>
    <cellStyle name="TableStyleLight1 7 4 3" xfId="24041"/>
    <cellStyle name="TableStyleLight1 7 4 3 2" xfId="24042"/>
    <cellStyle name="TableStyleLight1 7 4 3_Tertiary Salaries Survey" xfId="24043"/>
    <cellStyle name="TableStyleLight1 7 4 4" xfId="24044"/>
    <cellStyle name="TableStyleLight1 7 4 5" xfId="24045"/>
    <cellStyle name="TableStyleLight1 7 4 6" xfId="24046"/>
    <cellStyle name="TableStyleLight1 7 4_Tertiary Salaries Survey" xfId="24047"/>
    <cellStyle name="TableStyleLight1 7 5" xfId="24048"/>
    <cellStyle name="TableStyleLight1 7 5 2" xfId="24049"/>
    <cellStyle name="TableStyleLight1 7 5 2 2" xfId="24050"/>
    <cellStyle name="TableStyleLight1 7 5 2_Tertiary Salaries Survey" xfId="24051"/>
    <cellStyle name="TableStyleLight1 7 5 3" xfId="24052"/>
    <cellStyle name="TableStyleLight1 7 5 3 2" xfId="24053"/>
    <cellStyle name="TableStyleLight1 7 5 3_Tertiary Salaries Survey" xfId="24054"/>
    <cellStyle name="TableStyleLight1 7 5 4" xfId="24055"/>
    <cellStyle name="TableStyleLight1 7 5 5" xfId="24056"/>
    <cellStyle name="TableStyleLight1 7 5 6" xfId="24057"/>
    <cellStyle name="TableStyleLight1 7 5_Tertiary Salaries Survey" xfId="24058"/>
    <cellStyle name="TableStyleLight1 7 6" xfId="24059"/>
    <cellStyle name="TableStyleLight1 7 6 2" xfId="24060"/>
    <cellStyle name="TableStyleLight1 7 6 2 2" xfId="24061"/>
    <cellStyle name="TableStyleLight1 7 6 2_Tertiary Salaries Survey" xfId="24062"/>
    <cellStyle name="TableStyleLight1 7 6 3" xfId="24063"/>
    <cellStyle name="TableStyleLight1 7 6 3 2" xfId="24064"/>
    <cellStyle name="TableStyleLight1 7 6 3_Tertiary Salaries Survey" xfId="24065"/>
    <cellStyle name="TableStyleLight1 7 6 4" xfId="24066"/>
    <cellStyle name="TableStyleLight1 7 6 5" xfId="24067"/>
    <cellStyle name="TableStyleLight1 7 6 6" xfId="24068"/>
    <cellStyle name="TableStyleLight1 7 6_Tertiary Salaries Survey" xfId="24069"/>
    <cellStyle name="TableStyleLight1 7 7" xfId="24070"/>
    <cellStyle name="TableStyleLight1 7 7 2" xfId="24071"/>
    <cellStyle name="TableStyleLight1 7 7_Tertiary Salaries Survey" xfId="24072"/>
    <cellStyle name="TableStyleLight1 7 8" xfId="24073"/>
    <cellStyle name="TableStyleLight1 7 8 2" xfId="24074"/>
    <cellStyle name="TableStyleLight1 7 8_Tertiary Salaries Survey" xfId="24075"/>
    <cellStyle name="TableStyleLight1 7 9" xfId="24076"/>
    <cellStyle name="TableStyleLight1 7_STUD aligned by INSTIT" xfId="24077"/>
    <cellStyle name="TableStyleLight1 8" xfId="24078"/>
    <cellStyle name="TableStyleLight1 8 2" xfId="24079"/>
    <cellStyle name="TableStyleLight1 8 3" xfId="24080"/>
    <cellStyle name="TableStyleLight1 8 4" xfId="24081"/>
    <cellStyle name="TableStyleLight1 8 5" xfId="24082"/>
    <cellStyle name="TableStyleLight1 8_Tertiary Salaries Survey" xfId="24083"/>
    <cellStyle name="TableStyleLight1 9" xfId="24084"/>
    <cellStyle name="TableStyleLight1_STUD aligned by INSTIT" xfId="24085"/>
    <cellStyle name="temp" xfId="74"/>
    <cellStyle name="temp 2" xfId="24086"/>
    <cellStyle name="tête chapitre" xfId="24087"/>
    <cellStyle name="TEXT" xfId="24088"/>
    <cellStyle name="title1" xfId="75"/>
    <cellStyle name="title1 2" xfId="24089"/>
    <cellStyle name="Titles" xfId="24090"/>
    <cellStyle name="titre" xfId="24091"/>
    <cellStyle name="Tusental (0)_Blad2" xfId="24092"/>
    <cellStyle name="Tusental 2" xfId="24093"/>
    <cellStyle name="Tusental_Blad2" xfId="24094"/>
    <cellStyle name="Valuta (0)_Blad2" xfId="24095"/>
    <cellStyle name="Valuta_Blad2" xfId="24096"/>
    <cellStyle name="Währung [0]_DIAGRAM" xfId="24097"/>
    <cellStyle name="Währung_DIAGRAM" xfId="24098"/>
    <cellStyle name="Wrapped" xfId="24099"/>
    <cellStyle name="자리수" xfId="24100"/>
    <cellStyle name="자리수0" xfId="24101"/>
    <cellStyle name="콤마 [0]_ACCOUNT" xfId="24102"/>
    <cellStyle name="콤마_ACCOUNT" xfId="24103"/>
    <cellStyle name="통화 [0]_ACCOUNT" xfId="24104"/>
    <cellStyle name="통화_ACCOUNT" xfId="24105"/>
    <cellStyle name="퍼센트" xfId="24106"/>
    <cellStyle name="표준 5" xfId="24107"/>
    <cellStyle name="표준 5 2" xfId="29814"/>
    <cellStyle name="표준_9511REV" xfId="24108"/>
    <cellStyle name="화폐기호" xfId="24109"/>
    <cellStyle name="화폐기호0" xfId="24110"/>
    <cellStyle name="標準 2" xfId="24111"/>
  </cellStyles>
  <dxfs count="10">
    <dxf>
      <fill>
        <patternFill>
          <bgColor rgb="FFFF66FF"/>
        </patternFill>
      </fill>
    </dxf>
    <dxf>
      <fill>
        <patternFill>
          <bgColor rgb="FFFF66FF"/>
        </patternFill>
      </fill>
    </dxf>
    <dxf>
      <fill>
        <patternFill>
          <bgColor rgb="FFFF66FF"/>
        </patternFill>
      </fill>
    </dxf>
    <dxf>
      <fill>
        <patternFill>
          <bgColor rgb="FFFF66FF"/>
        </patternFill>
      </fill>
    </dxf>
    <dxf>
      <fill>
        <patternFill>
          <bgColor rgb="FFFF66FF"/>
        </patternFill>
      </fill>
    </dxf>
    <dxf>
      <fill>
        <patternFill>
          <bgColor rgb="FFFF66FF"/>
        </patternFill>
      </fill>
    </dxf>
    <dxf>
      <fill>
        <patternFill>
          <bgColor rgb="FFFF66FF"/>
        </patternFill>
      </fill>
    </dxf>
    <dxf>
      <fill>
        <patternFill>
          <bgColor rgb="FFFF66FF"/>
        </patternFill>
      </fill>
    </dxf>
    <dxf>
      <fill>
        <patternFill>
          <bgColor rgb="FFFF66FF"/>
        </patternFill>
      </fill>
    </dxf>
    <dxf>
      <fill>
        <patternFill>
          <bgColor rgb="FFFF66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FF00FF"/>
      <color rgb="FFFF66FF"/>
      <color rgb="FF00FF00"/>
      <color rgb="FF333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customXml" Target="../customXml/item6.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 Id="rId22" Type="http://schemas.openxmlformats.org/officeDocument/2006/relationships/customXml" Target="../customXml/item7.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0959711117191435E-2"/>
          <c:y val="0.12296579377089301"/>
          <c:w val="0.92878268594804025"/>
          <c:h val="0.56275873026477752"/>
        </c:manualLayout>
      </c:layout>
      <c:barChart>
        <c:barDir val="col"/>
        <c:grouping val="clustered"/>
        <c:varyColors val="0"/>
        <c:ser>
          <c:idx val="1"/>
          <c:order val="2"/>
          <c:tx>
            <c:strRef>
              <c:f>'Figure D4.1.'!$D$46</c:f>
              <c:strCache>
                <c:ptCount val="1"/>
                <c:pt idx="0">
                  <c:v>2017</c:v>
                </c:pt>
              </c:strCache>
            </c:strRef>
          </c:tx>
          <c:spPr>
            <a:solidFill>
              <a:srgbClr val="4F81BD"/>
            </a:solidFill>
            <a:ln w="3175">
              <a:solidFill>
                <a:srgbClr val="000000"/>
              </a:solidFill>
              <a:prstDash val="solid"/>
            </a:ln>
          </c:spPr>
          <c:invertIfNegative val="0"/>
          <c:cat>
            <c:strRef>
              <c:f>'Figure D4.1.'!$A$47:$A$88</c:f>
              <c:strCache>
                <c:ptCount val="39"/>
                <c:pt idx="0">
                  <c:v>Costa Rica</c:v>
                </c:pt>
                <c:pt idx="1">
                  <c:v>Colombia</c:v>
                </c:pt>
                <c:pt idx="2">
                  <c:v>Chile</c:v>
                </c:pt>
                <c:pt idx="3">
                  <c:v>Mexico</c:v>
                </c:pt>
                <c:pt idx="4">
                  <c:v>Latvia</c:v>
                </c:pt>
                <c:pt idx="5">
                  <c:v>United States1, 2</c:v>
                </c:pt>
                <c:pt idx="6">
                  <c:v>Scotland (UK)</c:v>
                </c:pt>
                <c:pt idx="7">
                  <c:v>New Zealand</c:v>
                </c:pt>
                <c:pt idx="8">
                  <c:v>Australia</c:v>
                </c:pt>
                <c:pt idx="9">
                  <c:v>Switzerland</c:v>
                </c:pt>
                <c:pt idx="10">
                  <c:v>Netherlands</c:v>
                </c:pt>
                <c:pt idx="11">
                  <c:v>Germany</c:v>
                </c:pt>
                <c:pt idx="12">
                  <c:v>Canada</c:v>
                </c:pt>
                <c:pt idx="13">
                  <c:v>Ireland</c:v>
                </c:pt>
                <c:pt idx="14">
                  <c:v>Spain</c:v>
                </c:pt>
                <c:pt idx="15">
                  <c:v>Israel</c:v>
                </c:pt>
                <c:pt idx="16">
                  <c:v>OECD average</c:v>
                </c:pt>
                <c:pt idx="17">
                  <c:v>France</c:v>
                </c:pt>
                <c:pt idx="18">
                  <c:v>Norway</c:v>
                </c:pt>
                <c:pt idx="19">
                  <c:v>French comm. (Belgium)</c:v>
                </c:pt>
                <c:pt idx="20">
                  <c:v>Hungary</c:v>
                </c:pt>
                <c:pt idx="21">
                  <c:v>Slovak Republic</c:v>
                </c:pt>
                <c:pt idx="22">
                  <c:v>Slovenia</c:v>
                </c:pt>
                <c:pt idx="23">
                  <c:v>Italy</c:v>
                </c:pt>
                <c:pt idx="24">
                  <c:v>Iceland</c:v>
                </c:pt>
                <c:pt idx="25">
                  <c:v>Czech Republic</c:v>
                </c:pt>
                <c:pt idx="26">
                  <c:v>Portugal</c:v>
                </c:pt>
                <c:pt idx="27">
                  <c:v>Lithuania</c:v>
                </c:pt>
                <c:pt idx="28">
                  <c:v>Japan3</c:v>
                </c:pt>
                <c:pt idx="29">
                  <c:v>Greece</c:v>
                </c:pt>
                <c:pt idx="30">
                  <c:v>Austria</c:v>
                </c:pt>
                <c:pt idx="31">
                  <c:v>Estonia</c:v>
                </c:pt>
                <c:pt idx="32">
                  <c:v>Finland</c:v>
                </c:pt>
                <c:pt idx="33">
                  <c:v>Flemish comm. (Belgium)</c:v>
                </c:pt>
                <c:pt idx="34">
                  <c:v>Korea</c:v>
                </c:pt>
                <c:pt idx="35">
                  <c:v>Turkey</c:v>
                </c:pt>
                <c:pt idx="36">
                  <c:v>Poland</c:v>
                </c:pt>
                <c:pt idx="37">
                  <c:v>OECD average incl. Lithuania</c:v>
                </c:pt>
                <c:pt idx="38">
                  <c:v>EU23 average incl. Lithuania</c:v>
                </c:pt>
              </c:strCache>
            </c:strRef>
          </c:cat>
          <c:val>
            <c:numRef>
              <c:f>'Figure D4.1.'!$D$47:$D$83</c:f>
              <c:numCache>
                <c:formatCode>0</c:formatCode>
                <c:ptCount val="37"/>
                <c:pt idx="0">
                  <c:v>1267.2</c:v>
                </c:pt>
                <c:pt idx="1">
                  <c:v>1200</c:v>
                </c:pt>
                <c:pt idx="2">
                  <c:v>1063.5552077238151</c:v>
                </c:pt>
                <c:pt idx="3">
                  <c:v>1046.6666666666661</c:v>
                </c:pt>
                <c:pt idx="4">
                  <c:v>1020</c:v>
                </c:pt>
                <c:pt idx="5">
                  <c:v>966.36311999999998</c:v>
                </c:pt>
                <c:pt idx="6">
                  <c:v>855</c:v>
                </c:pt>
                <c:pt idx="7">
                  <c:v>840.40000000000009</c:v>
                </c:pt>
                <c:pt idx="8">
                  <c:v>797.28161882472796</c:v>
                </c:pt>
                <c:pt idx="9">
                  <c:v>760</c:v>
                </c:pt>
                <c:pt idx="10">
                  <c:v>750</c:v>
                </c:pt>
                <c:pt idx="11">
                  <c:v>747.40942004589363</c:v>
                </c:pt>
                <c:pt idx="12">
                  <c:v>744.53291935095456</c:v>
                </c:pt>
                <c:pt idx="13">
                  <c:v>721.6</c:v>
                </c:pt>
                <c:pt idx="14">
                  <c:v>712.8</c:v>
                </c:pt>
                <c:pt idx="15">
                  <c:v>698.87170663429129</c:v>
                </c:pt>
                <c:pt idx="16">
                  <c:v>696.15802015212648</c:v>
                </c:pt>
                <c:pt idx="17">
                  <c:v>684</c:v>
                </c:pt>
                <c:pt idx="18">
                  <c:v>663.1</c:v>
                </c:pt>
                <c:pt idx="19">
                  <c:v>656.93</c:v>
                </c:pt>
                <c:pt idx="20">
                  <c:v>655.20000000000005</c:v>
                </c:pt>
                <c:pt idx="21">
                  <c:v>652.05000000000007</c:v>
                </c:pt>
                <c:pt idx="22">
                  <c:v>627</c:v>
                </c:pt>
                <c:pt idx="23">
                  <c:v>626.4</c:v>
                </c:pt>
                <c:pt idx="24">
                  <c:v>623.88</c:v>
                </c:pt>
                <c:pt idx="25">
                  <c:v>617.1</c:v>
                </c:pt>
                <c:pt idx="26">
                  <c:v>616</c:v>
                </c:pt>
                <c:pt idx="27">
                  <c:v>612</c:v>
                </c:pt>
                <c:pt idx="28">
                  <c:v>609.910571</c:v>
                </c:pt>
                <c:pt idx="29">
                  <c:v>608.92500000000007</c:v>
                </c:pt>
                <c:pt idx="30">
                  <c:v>606.6</c:v>
                </c:pt>
                <c:pt idx="31">
                  <c:v>602</c:v>
                </c:pt>
                <c:pt idx="32">
                  <c:v>589.04999999999995</c:v>
                </c:pt>
                <c:pt idx="33">
                  <c:v>533.33333333333337</c:v>
                </c:pt>
                <c:pt idx="34">
                  <c:v>533.2314601752048</c:v>
                </c:pt>
                <c:pt idx="35">
                  <c:v>503.99999999999994</c:v>
                </c:pt>
                <c:pt idx="36">
                  <c:v>477.90000000000003</c:v>
                </c:pt>
              </c:numCache>
            </c:numRef>
          </c:val>
          <c:extLst>
            <c:ext xmlns:c16="http://schemas.microsoft.com/office/drawing/2014/chart" uri="{C3380CC4-5D6E-409C-BE32-E72D297353CC}">
              <c16:uniqueId val="{00000000-59E5-4E36-A9B9-E3291E024120}"/>
            </c:ext>
          </c:extLst>
        </c:ser>
        <c:dLbls>
          <c:showLegendKey val="0"/>
          <c:showVal val="0"/>
          <c:showCatName val="0"/>
          <c:showSerName val="0"/>
          <c:showPercent val="0"/>
          <c:showBubbleSize val="0"/>
        </c:dLbls>
        <c:gapWidth val="150"/>
        <c:axId val="397744768"/>
        <c:axId val="397769344"/>
      </c:barChart>
      <c:lineChart>
        <c:grouping val="standard"/>
        <c:varyColors val="0"/>
        <c:ser>
          <c:idx val="2"/>
          <c:order val="0"/>
          <c:tx>
            <c:strRef>
              <c:f>'Figure D4.1.'!$B$46</c:f>
              <c:strCache>
                <c:ptCount val="1"/>
                <c:pt idx="0">
                  <c:v>2005</c:v>
                </c:pt>
              </c:strCache>
            </c:strRef>
          </c:tx>
          <c:spPr>
            <a:ln w="28575">
              <a:noFill/>
            </a:ln>
          </c:spPr>
          <c:marker>
            <c:symbol val="diamond"/>
            <c:size val="5"/>
            <c:spPr>
              <a:solidFill>
                <a:srgbClr val="FFFFFF"/>
              </a:solidFill>
              <a:ln>
                <a:solidFill>
                  <a:srgbClr val="000000"/>
                </a:solidFill>
                <a:prstDash val="solid"/>
              </a:ln>
            </c:spPr>
          </c:marker>
          <c:cat>
            <c:strRef>
              <c:f>'Figure D4.1.'!$A$47:$A$88</c:f>
              <c:strCache>
                <c:ptCount val="39"/>
                <c:pt idx="0">
                  <c:v>Costa Rica</c:v>
                </c:pt>
                <c:pt idx="1">
                  <c:v>Colombia</c:v>
                </c:pt>
                <c:pt idx="2">
                  <c:v>Chile</c:v>
                </c:pt>
                <c:pt idx="3">
                  <c:v>Mexico</c:v>
                </c:pt>
                <c:pt idx="4">
                  <c:v>Latvia</c:v>
                </c:pt>
                <c:pt idx="5">
                  <c:v>United States1, 2</c:v>
                </c:pt>
                <c:pt idx="6">
                  <c:v>Scotland (UK)</c:v>
                </c:pt>
                <c:pt idx="7">
                  <c:v>New Zealand</c:v>
                </c:pt>
                <c:pt idx="8">
                  <c:v>Australia</c:v>
                </c:pt>
                <c:pt idx="9">
                  <c:v>Switzerland</c:v>
                </c:pt>
                <c:pt idx="10">
                  <c:v>Netherlands</c:v>
                </c:pt>
                <c:pt idx="11">
                  <c:v>Germany</c:v>
                </c:pt>
                <c:pt idx="12">
                  <c:v>Canada</c:v>
                </c:pt>
                <c:pt idx="13">
                  <c:v>Ireland</c:v>
                </c:pt>
                <c:pt idx="14">
                  <c:v>Spain</c:v>
                </c:pt>
                <c:pt idx="15">
                  <c:v>Israel</c:v>
                </c:pt>
                <c:pt idx="16">
                  <c:v>OECD average</c:v>
                </c:pt>
                <c:pt idx="17">
                  <c:v>France</c:v>
                </c:pt>
                <c:pt idx="18">
                  <c:v>Norway</c:v>
                </c:pt>
                <c:pt idx="19">
                  <c:v>French comm. (Belgium)</c:v>
                </c:pt>
                <c:pt idx="20">
                  <c:v>Hungary</c:v>
                </c:pt>
                <c:pt idx="21">
                  <c:v>Slovak Republic</c:v>
                </c:pt>
                <c:pt idx="22">
                  <c:v>Slovenia</c:v>
                </c:pt>
                <c:pt idx="23">
                  <c:v>Italy</c:v>
                </c:pt>
                <c:pt idx="24">
                  <c:v>Iceland</c:v>
                </c:pt>
                <c:pt idx="25">
                  <c:v>Czech Republic</c:v>
                </c:pt>
                <c:pt idx="26">
                  <c:v>Portugal</c:v>
                </c:pt>
                <c:pt idx="27">
                  <c:v>Lithuania</c:v>
                </c:pt>
                <c:pt idx="28">
                  <c:v>Japan3</c:v>
                </c:pt>
                <c:pt idx="29">
                  <c:v>Greece</c:v>
                </c:pt>
                <c:pt idx="30">
                  <c:v>Austria</c:v>
                </c:pt>
                <c:pt idx="31">
                  <c:v>Estonia</c:v>
                </c:pt>
                <c:pt idx="32">
                  <c:v>Finland</c:v>
                </c:pt>
                <c:pt idx="33">
                  <c:v>Flemish comm. (Belgium)</c:v>
                </c:pt>
                <c:pt idx="34">
                  <c:v>Korea</c:v>
                </c:pt>
                <c:pt idx="35">
                  <c:v>Turkey</c:v>
                </c:pt>
                <c:pt idx="36">
                  <c:v>Poland</c:v>
                </c:pt>
                <c:pt idx="37">
                  <c:v>OECD average incl. Lithuania</c:v>
                </c:pt>
                <c:pt idx="38">
                  <c:v>EU23 average incl. Lithuania</c:v>
                </c:pt>
              </c:strCache>
            </c:strRef>
          </c:cat>
          <c:val>
            <c:numRef>
              <c:f>'Figure D4.1.'!$B$47:$B$83</c:f>
              <c:numCache>
                <c:formatCode>0</c:formatCode>
                <c:ptCount val="37"/>
                <c:pt idx="1">
                  <c:v>1200</c:v>
                </c:pt>
                <c:pt idx="2">
                  <c:v>1127.6856074766356</c:v>
                </c:pt>
                <c:pt idx="3">
                  <c:v>1046.6666666666661</c:v>
                </c:pt>
                <c:pt idx="4">
                  <c:v>882</c:v>
                </c:pt>
                <c:pt idx="6">
                  <c:v>893</c:v>
                </c:pt>
                <c:pt idx="8">
                  <c:v>810.16</c:v>
                </c:pt>
                <c:pt idx="10">
                  <c:v>750</c:v>
                </c:pt>
                <c:pt idx="11">
                  <c:v>758.46457271593624</c:v>
                </c:pt>
                <c:pt idx="13">
                  <c:v>734.8</c:v>
                </c:pt>
                <c:pt idx="14">
                  <c:v>712.8</c:v>
                </c:pt>
                <c:pt idx="15">
                  <c:v>579</c:v>
                </c:pt>
                <c:pt idx="16">
                  <c:v>673.432434838581</c:v>
                </c:pt>
                <c:pt idx="17">
                  <c:v>648</c:v>
                </c:pt>
                <c:pt idx="18">
                  <c:v>655.5</c:v>
                </c:pt>
                <c:pt idx="19">
                  <c:v>662</c:v>
                </c:pt>
                <c:pt idx="20">
                  <c:v>555</c:v>
                </c:pt>
                <c:pt idx="22">
                  <c:v>627</c:v>
                </c:pt>
                <c:pt idx="23">
                  <c:v>605</c:v>
                </c:pt>
                <c:pt idx="24">
                  <c:v>671.4</c:v>
                </c:pt>
                <c:pt idx="25">
                  <c:v>646.79999999999995</c:v>
                </c:pt>
                <c:pt idx="26">
                  <c:v>623.33333333333337</c:v>
                </c:pt>
                <c:pt idx="28">
                  <c:v>505</c:v>
                </c:pt>
                <c:pt idx="29">
                  <c:v>434.22142857142859</c:v>
                </c:pt>
                <c:pt idx="30">
                  <c:v>606.6</c:v>
                </c:pt>
                <c:pt idx="31">
                  <c:v>630</c:v>
                </c:pt>
                <c:pt idx="32">
                  <c:v>592.20000000000005</c:v>
                </c:pt>
                <c:pt idx="33">
                  <c:v>553.79999999999995</c:v>
                </c:pt>
                <c:pt idx="34">
                  <c:v>621</c:v>
                </c:pt>
                <c:pt idx="35">
                  <c:v>504</c:v>
                </c:pt>
              </c:numCache>
            </c:numRef>
          </c:val>
          <c:smooth val="0"/>
          <c:extLst>
            <c:ext xmlns:c16="http://schemas.microsoft.com/office/drawing/2014/chart" uri="{C3380CC4-5D6E-409C-BE32-E72D297353CC}">
              <c16:uniqueId val="{00000001-59E5-4E36-A9B9-E3291E024120}"/>
            </c:ext>
          </c:extLst>
        </c:ser>
        <c:ser>
          <c:idx val="0"/>
          <c:order val="1"/>
          <c:tx>
            <c:strRef>
              <c:f>'Figure D4.1.'!$C$46</c:f>
              <c:strCache>
                <c:ptCount val="1"/>
                <c:pt idx="0">
                  <c:v>2000</c:v>
                </c:pt>
              </c:strCache>
            </c:strRef>
          </c:tx>
          <c:spPr>
            <a:ln w="28575">
              <a:noFill/>
            </a:ln>
          </c:spPr>
          <c:marker>
            <c:symbol val="diamond"/>
            <c:size val="5"/>
            <c:spPr>
              <a:solidFill>
                <a:srgbClr val="000000"/>
              </a:solidFill>
              <a:ln>
                <a:solidFill>
                  <a:srgbClr val="000000"/>
                </a:solidFill>
                <a:prstDash val="solid"/>
              </a:ln>
            </c:spPr>
          </c:marker>
          <c:cat>
            <c:strRef>
              <c:f>'Figure D4.1.'!$A$47:$A$88</c:f>
              <c:strCache>
                <c:ptCount val="39"/>
                <c:pt idx="0">
                  <c:v>Costa Rica</c:v>
                </c:pt>
                <c:pt idx="1">
                  <c:v>Colombia</c:v>
                </c:pt>
                <c:pt idx="2">
                  <c:v>Chile</c:v>
                </c:pt>
                <c:pt idx="3">
                  <c:v>Mexico</c:v>
                </c:pt>
                <c:pt idx="4">
                  <c:v>Latvia</c:v>
                </c:pt>
                <c:pt idx="5">
                  <c:v>United States1, 2</c:v>
                </c:pt>
                <c:pt idx="6">
                  <c:v>Scotland (UK)</c:v>
                </c:pt>
                <c:pt idx="7">
                  <c:v>New Zealand</c:v>
                </c:pt>
                <c:pt idx="8">
                  <c:v>Australia</c:v>
                </c:pt>
                <c:pt idx="9">
                  <c:v>Switzerland</c:v>
                </c:pt>
                <c:pt idx="10">
                  <c:v>Netherlands</c:v>
                </c:pt>
                <c:pt idx="11">
                  <c:v>Germany</c:v>
                </c:pt>
                <c:pt idx="12">
                  <c:v>Canada</c:v>
                </c:pt>
                <c:pt idx="13">
                  <c:v>Ireland</c:v>
                </c:pt>
                <c:pt idx="14">
                  <c:v>Spain</c:v>
                </c:pt>
                <c:pt idx="15">
                  <c:v>Israel</c:v>
                </c:pt>
                <c:pt idx="16">
                  <c:v>OECD average</c:v>
                </c:pt>
                <c:pt idx="17">
                  <c:v>France</c:v>
                </c:pt>
                <c:pt idx="18">
                  <c:v>Norway</c:v>
                </c:pt>
                <c:pt idx="19">
                  <c:v>French comm. (Belgium)</c:v>
                </c:pt>
                <c:pt idx="20">
                  <c:v>Hungary</c:v>
                </c:pt>
                <c:pt idx="21">
                  <c:v>Slovak Republic</c:v>
                </c:pt>
                <c:pt idx="22">
                  <c:v>Slovenia</c:v>
                </c:pt>
                <c:pt idx="23">
                  <c:v>Italy</c:v>
                </c:pt>
                <c:pt idx="24">
                  <c:v>Iceland</c:v>
                </c:pt>
                <c:pt idx="25">
                  <c:v>Czech Republic</c:v>
                </c:pt>
                <c:pt idx="26">
                  <c:v>Portugal</c:v>
                </c:pt>
                <c:pt idx="27">
                  <c:v>Lithuania</c:v>
                </c:pt>
                <c:pt idx="28">
                  <c:v>Japan3</c:v>
                </c:pt>
                <c:pt idx="29">
                  <c:v>Greece</c:v>
                </c:pt>
                <c:pt idx="30">
                  <c:v>Austria</c:v>
                </c:pt>
                <c:pt idx="31">
                  <c:v>Estonia</c:v>
                </c:pt>
                <c:pt idx="32">
                  <c:v>Finland</c:v>
                </c:pt>
                <c:pt idx="33">
                  <c:v>Flemish comm. (Belgium)</c:v>
                </c:pt>
                <c:pt idx="34">
                  <c:v>Korea</c:v>
                </c:pt>
                <c:pt idx="35">
                  <c:v>Turkey</c:v>
                </c:pt>
                <c:pt idx="36">
                  <c:v>Poland</c:v>
                </c:pt>
                <c:pt idx="37">
                  <c:v>OECD average incl. Lithuania</c:v>
                </c:pt>
                <c:pt idx="38">
                  <c:v>EU23 average incl. Lithuania</c:v>
                </c:pt>
              </c:strCache>
            </c:strRef>
          </c:cat>
          <c:val>
            <c:numRef>
              <c:f>'Figure D4.1.'!$C$47:$C$83</c:f>
              <c:numCache>
                <c:formatCode>0</c:formatCode>
                <c:ptCount val="37"/>
                <c:pt idx="3">
                  <c:v>1182</c:v>
                </c:pt>
                <c:pt idx="4">
                  <c:v>882</c:v>
                </c:pt>
                <c:pt idx="6">
                  <c:v>893</c:v>
                </c:pt>
                <c:pt idx="8">
                  <c:v>810.5462590238925</c:v>
                </c:pt>
                <c:pt idx="10">
                  <c:v>867</c:v>
                </c:pt>
                <c:pt idx="11">
                  <c:v>732.28478493854118</c:v>
                </c:pt>
                <c:pt idx="13">
                  <c:v>734.8</c:v>
                </c:pt>
                <c:pt idx="14">
                  <c:v>713</c:v>
                </c:pt>
                <c:pt idx="15">
                  <c:v>579</c:v>
                </c:pt>
                <c:pt idx="16">
                  <c:v>681.79012820540606</c:v>
                </c:pt>
                <c:pt idx="17">
                  <c:v>648</c:v>
                </c:pt>
                <c:pt idx="18">
                  <c:v>633.08000000000004</c:v>
                </c:pt>
                <c:pt idx="19">
                  <c:v>662</c:v>
                </c:pt>
                <c:pt idx="20">
                  <c:v>555</c:v>
                </c:pt>
                <c:pt idx="23">
                  <c:v>608</c:v>
                </c:pt>
                <c:pt idx="24">
                  <c:v>629</c:v>
                </c:pt>
                <c:pt idx="25">
                  <c:v>650.1</c:v>
                </c:pt>
                <c:pt idx="26">
                  <c:v>634.33333333333337</c:v>
                </c:pt>
                <c:pt idx="28">
                  <c:v>557</c:v>
                </c:pt>
                <c:pt idx="29">
                  <c:v>426.02857142857147</c:v>
                </c:pt>
                <c:pt idx="31">
                  <c:v>630</c:v>
                </c:pt>
                <c:pt idx="32">
                  <c:v>570</c:v>
                </c:pt>
                <c:pt idx="34">
                  <c:v>570</c:v>
                </c:pt>
                <c:pt idx="35">
                  <c:v>504</c:v>
                </c:pt>
              </c:numCache>
            </c:numRef>
          </c:val>
          <c:smooth val="0"/>
          <c:extLst>
            <c:ext xmlns:c16="http://schemas.microsoft.com/office/drawing/2014/chart" uri="{C3380CC4-5D6E-409C-BE32-E72D297353CC}">
              <c16:uniqueId val="{00000002-59E5-4E36-A9B9-E3291E024120}"/>
            </c:ext>
          </c:extLst>
        </c:ser>
        <c:dLbls>
          <c:showLegendKey val="0"/>
          <c:showVal val="0"/>
          <c:showCatName val="0"/>
          <c:showSerName val="0"/>
          <c:showPercent val="0"/>
          <c:showBubbleSize val="0"/>
        </c:dLbls>
        <c:marker val="1"/>
        <c:smooth val="0"/>
        <c:axId val="397744768"/>
        <c:axId val="397769344"/>
      </c:lineChart>
      <c:catAx>
        <c:axId val="397744768"/>
        <c:scaling>
          <c:orientation val="minMax"/>
        </c:scaling>
        <c:delete val="0"/>
        <c:axPos val="b"/>
        <c:majorGridlines>
          <c:spPr>
            <a:ln w="9525" cmpd="sng">
              <a:solidFill>
                <a:srgbClr val="FFFFFF"/>
              </a:solidFill>
              <a:prstDash val="solid"/>
            </a:ln>
          </c:spPr>
        </c:majorGridlines>
        <c:numFmt formatCode="General" sourceLinked="0"/>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2700000" vert="horz"/>
          <a:lstStyle/>
          <a:p>
            <a:pPr>
              <a:defRPr sz="750" b="0" i="0" u="none" strike="noStrike" baseline="0">
                <a:solidFill>
                  <a:srgbClr val="000000"/>
                </a:solidFill>
                <a:latin typeface="Arial Narrow"/>
                <a:ea typeface="Arial Narrow"/>
                <a:cs typeface="Arial Narrow"/>
              </a:defRPr>
            </a:pPr>
            <a:endParaRPr lang="en-US"/>
          </a:p>
        </c:txPr>
        <c:crossAx val="397769344"/>
        <c:crosses val="autoZero"/>
        <c:auto val="1"/>
        <c:lblAlgn val="ctr"/>
        <c:lblOffset val="0"/>
        <c:tickLblSkip val="1"/>
        <c:tickMarkSkip val="1"/>
        <c:noMultiLvlLbl val="0"/>
      </c:catAx>
      <c:valAx>
        <c:axId val="397769344"/>
        <c:scaling>
          <c:orientation val="minMax"/>
          <c:max val="1300"/>
        </c:scaling>
        <c:delete val="0"/>
        <c:axPos val="l"/>
        <c:majorGridlines>
          <c:spPr>
            <a:ln w="9525" cmpd="sng">
              <a:solidFill>
                <a:srgbClr val="FFFFFF"/>
              </a:solidFill>
              <a:prstDash val="solid"/>
            </a:ln>
          </c:spPr>
        </c:majorGridlines>
        <c:title>
          <c:tx>
            <c:rich>
              <a:bodyPr rot="0" vert="horz"/>
              <a:lstStyle/>
              <a:p>
                <a:pPr algn="ctr">
                  <a:defRPr sz="750" b="0" i="1" u="none" strike="noStrike" baseline="0">
                    <a:solidFill>
                      <a:srgbClr val="000000"/>
                    </a:solidFill>
                    <a:latin typeface="Arial Narrow"/>
                    <a:ea typeface="Arial"/>
                    <a:cs typeface="Arial"/>
                  </a:defRPr>
                </a:pPr>
                <a:r>
                  <a:rPr lang="en-GB" sz="750" b="0" i="1">
                    <a:solidFill>
                      <a:srgbClr val="000000"/>
                    </a:solidFill>
                    <a:latin typeface="Arial Narrow"/>
                  </a:rPr>
                  <a:t>Hours per year</a:t>
                </a:r>
              </a:p>
            </c:rich>
          </c:tx>
          <c:layout>
            <c:manualLayout>
              <c:xMode val="edge"/>
              <c:yMode val="edge"/>
              <c:x val="4.3289689653346654E-3"/>
              <c:y val="6.8119077220610585E-2"/>
            </c:manualLayout>
          </c:layout>
          <c:overlay val="0"/>
        </c:title>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0" vert="horz"/>
          <a:lstStyle/>
          <a:p>
            <a:pPr>
              <a:defRPr sz="750" b="0" i="0" u="none" strike="noStrike" baseline="0">
                <a:solidFill>
                  <a:srgbClr val="000000"/>
                </a:solidFill>
                <a:latin typeface="Arial Narrow"/>
                <a:ea typeface="Arial Narrow"/>
                <a:cs typeface="Arial Narrow"/>
              </a:defRPr>
            </a:pPr>
            <a:endParaRPr lang="en-US"/>
          </a:p>
        </c:txPr>
        <c:crossAx val="397744768"/>
        <c:crosses val="autoZero"/>
        <c:crossBetween val="between"/>
        <c:majorUnit val="100"/>
      </c:valAx>
      <c:spPr>
        <a:solidFill>
          <a:srgbClr val="F4FFFF"/>
        </a:solidFill>
        <a:ln w="9525">
          <a:solidFill>
            <a:srgbClr val="000000"/>
          </a:solidFill>
          <a:prstDash val="solid"/>
        </a:ln>
      </c:spPr>
    </c:plotArea>
    <c:legend>
      <c:legendPos val="t"/>
      <c:legendEntry>
        <c:idx val="0"/>
        <c:txPr>
          <a:bodyPr/>
          <a:lstStyle/>
          <a:p>
            <a:pPr>
              <a:defRPr sz="750" b="0" i="0" u="none" strike="noStrike" baseline="0">
                <a:solidFill>
                  <a:srgbClr val="000000"/>
                </a:solidFill>
                <a:latin typeface="Arial Narrow"/>
                <a:ea typeface="Arial Narrow"/>
                <a:cs typeface="Arial Narrow"/>
              </a:defRPr>
            </a:pPr>
            <a:endParaRPr lang="en-US"/>
          </a:p>
        </c:txPr>
      </c:legendEntry>
      <c:legendEntry>
        <c:idx val="1"/>
        <c:txPr>
          <a:bodyPr/>
          <a:lstStyle/>
          <a:p>
            <a:pPr>
              <a:defRPr sz="750" b="0" i="0" u="none" strike="noStrike" baseline="0">
                <a:solidFill>
                  <a:srgbClr val="000000"/>
                </a:solidFill>
                <a:latin typeface="Arial Narrow"/>
                <a:ea typeface="Arial Narrow"/>
                <a:cs typeface="Arial Narrow"/>
              </a:defRPr>
            </a:pPr>
            <a:endParaRPr lang="en-US"/>
          </a:p>
        </c:txPr>
      </c:legendEntry>
      <c:legendEntry>
        <c:idx val="2"/>
        <c:txPr>
          <a:bodyPr/>
          <a:lstStyle/>
          <a:p>
            <a:pPr>
              <a:defRPr sz="750" b="0" i="0" u="none" strike="noStrike" baseline="0">
                <a:solidFill>
                  <a:srgbClr val="000000"/>
                </a:solidFill>
                <a:latin typeface="Arial Narrow"/>
                <a:ea typeface="Arial Narrow"/>
                <a:cs typeface="Arial Narrow"/>
              </a:defRPr>
            </a:pPr>
            <a:endParaRPr lang="en-US"/>
          </a:p>
        </c:txPr>
      </c:legendEntry>
      <c:layout>
        <c:manualLayout>
          <c:xMode val="edge"/>
          <c:yMode val="edge"/>
          <c:x val="4.5838117497560643E-2"/>
          <c:y val="0"/>
          <c:w val="0.92707557088505155"/>
          <c:h val="5.2631578947368418E-2"/>
        </c:manualLayout>
      </c:layout>
      <c:overlay val="1"/>
      <c:spPr>
        <a:solidFill>
          <a:schemeClr val="bg1"/>
        </a:solidFill>
        <a:ln w="25400">
          <a:noFill/>
        </a:ln>
      </c:spPr>
      <c:txPr>
        <a:bodyPr/>
        <a:lstStyle/>
        <a:p>
          <a:pPr>
            <a:defRPr sz="750" b="0" i="0" u="none" strike="noStrike" baseline="0">
              <a:solidFill>
                <a:srgbClr val="000000"/>
              </a:solidFill>
              <a:latin typeface="Arial Narrow"/>
              <a:ea typeface="Arial Narrow"/>
              <a:cs typeface="Arial Narrow"/>
            </a:defRPr>
          </a:pPr>
          <a:endParaRPr lang="en-US"/>
        </a:p>
      </c:txPr>
    </c:legend>
    <c:plotVisOnly val="1"/>
    <c:dispBlanksAs val="gap"/>
    <c:showDLblsOverMax val="1"/>
  </c:chart>
  <c:spPr>
    <a:noFill/>
    <a:ln w="9525">
      <a:noFill/>
    </a:ln>
    <a:extLst>
      <a:ext uri="{909E8E84-426E-40DD-AFC4-6F175D3DCCD1}">
        <a14:hiddenFill xmlns:a14="http://schemas.microsoft.com/office/drawing/2010/main">
          <a:solidFill>
            <a:srgbClr val="FFFFFF"/>
          </a:solidFill>
        </a14:hiddenFill>
      </a:ext>
    </a:extLst>
  </c:spPr>
  <c:txPr>
    <a:bodyPr/>
    <a:lstStyle/>
    <a:p>
      <a:pPr>
        <a:defRPr sz="1200" b="0" i="0" u="none" strike="noStrike" baseline="0">
          <a:solidFill>
            <a:srgbClr val="000000"/>
          </a:solidFill>
          <a:latin typeface="Arial"/>
          <a:ea typeface="Arial"/>
          <a:cs typeface="Arial"/>
        </a:defRPr>
      </a:pPr>
      <a:endParaRPr lang="en-US"/>
    </a:p>
  </c:txPr>
  <c:printSettings>
    <c:headerFooter alignWithMargins="0"/>
    <c:pageMargins b="0.750000000000001" l="0.25" r="0.25" t="0.750000000000001" header="0.3" footer="0.3"/>
    <c:pageSetup orientation="landscape"/>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1064846513750997E-2"/>
          <c:y val="0.14028763157182672"/>
          <c:w val="0.93510783978089695"/>
          <c:h val="0.61680222961820497"/>
        </c:manualLayout>
      </c:layout>
      <c:barChart>
        <c:barDir val="col"/>
        <c:grouping val="clustered"/>
        <c:varyColors val="0"/>
        <c:ser>
          <c:idx val="2"/>
          <c:order val="0"/>
          <c:tx>
            <c:strRef>
              <c:f>'Figure D4.2.'!$B$47</c:f>
              <c:strCache>
                <c:ptCount val="1"/>
                <c:pt idx="0">
                  <c:v>Upper secondary, general programmes</c:v>
                </c:pt>
              </c:strCache>
            </c:strRef>
          </c:tx>
          <c:spPr>
            <a:solidFill>
              <a:srgbClr val="4F81BD"/>
            </a:solidFill>
            <a:ln w="3175">
              <a:solidFill>
                <a:srgbClr val="000000"/>
              </a:solidFill>
              <a:prstDash val="solid"/>
            </a:ln>
          </c:spPr>
          <c:invertIfNegative val="0"/>
          <c:cat>
            <c:strRef>
              <c:f>'Figure D4.2.'!$A$48:$A$86</c:f>
              <c:strCache>
                <c:ptCount val="39"/>
                <c:pt idx="0">
                  <c:v>Costa Rica</c:v>
                </c:pt>
                <c:pt idx="1">
                  <c:v>Colombia</c:v>
                </c:pt>
                <c:pt idx="2">
                  <c:v>Chile</c:v>
                </c:pt>
                <c:pt idx="3">
                  <c:v>Latvia</c:v>
                </c:pt>
                <c:pt idx="4">
                  <c:v>United States1, 2</c:v>
                </c:pt>
                <c:pt idx="5">
                  <c:v>Scotland (UK)</c:v>
                </c:pt>
                <c:pt idx="6">
                  <c:v>Mexico</c:v>
                </c:pt>
                <c:pt idx="7">
                  <c:v>Australia</c:v>
                </c:pt>
                <c:pt idx="8">
                  <c:v>New Zealand</c:v>
                </c:pt>
                <c:pt idx="9">
                  <c:v>Netherlands</c:v>
                </c:pt>
                <c:pt idx="10">
                  <c:v>Canada</c:v>
                </c:pt>
                <c:pt idx="11">
                  <c:v>Ireland</c:v>
                </c:pt>
                <c:pt idx="12">
                  <c:v>Germany</c:v>
                </c:pt>
                <c:pt idx="13">
                  <c:v>Spain</c:v>
                </c:pt>
                <c:pt idx="14">
                  <c:v>France</c:v>
                </c:pt>
                <c:pt idx="15">
                  <c:v>OECD average</c:v>
                </c:pt>
                <c:pt idx="16">
                  <c:v>Hungary</c:v>
                </c:pt>
                <c:pt idx="17">
                  <c:v>Switzerland</c:v>
                </c:pt>
                <c:pt idx="18">
                  <c:v>EU22 average</c:v>
                </c:pt>
                <c:pt idx="19">
                  <c:v>Italy</c:v>
                </c:pt>
                <c:pt idx="20">
                  <c:v>Portugal</c:v>
                </c:pt>
                <c:pt idx="21">
                  <c:v>Israel</c:v>
                </c:pt>
                <c:pt idx="22">
                  <c:v>Lithuania</c:v>
                </c:pt>
                <c:pt idx="23">
                  <c:v>French comm. (Belgium)</c:v>
                </c:pt>
                <c:pt idx="24">
                  <c:v>Greece</c:v>
                </c:pt>
                <c:pt idx="25">
                  <c:v>Czech Republic</c:v>
                </c:pt>
                <c:pt idx="26">
                  <c:v>Austria</c:v>
                </c:pt>
                <c:pt idx="27">
                  <c:v>Slovenia</c:v>
                </c:pt>
                <c:pt idx="28">
                  <c:v>Estonia</c:v>
                </c:pt>
                <c:pt idx="29">
                  <c:v>Slovak Republic</c:v>
                </c:pt>
                <c:pt idx="30">
                  <c:v>Korea</c:v>
                </c:pt>
                <c:pt idx="31">
                  <c:v>Finland</c:v>
                </c:pt>
                <c:pt idx="32">
                  <c:v>Norway</c:v>
                </c:pt>
                <c:pt idx="33">
                  <c:v>Japan3</c:v>
                </c:pt>
                <c:pt idx="34">
                  <c:v>Turkey</c:v>
                </c:pt>
                <c:pt idx="35">
                  <c:v>Flemish comm. (Belgium)</c:v>
                </c:pt>
                <c:pt idx="36">
                  <c:v>Iceland</c:v>
                </c:pt>
                <c:pt idx="37">
                  <c:v>Poland</c:v>
                </c:pt>
                <c:pt idx="38">
                  <c:v>Denmark</c:v>
                </c:pt>
              </c:strCache>
            </c:strRef>
          </c:cat>
          <c:val>
            <c:numRef>
              <c:f>'Figure D4.2.'!$B$48:$B$86</c:f>
              <c:numCache>
                <c:formatCode>0</c:formatCode>
                <c:ptCount val="39"/>
                <c:pt idx="0">
                  <c:v>1267.2</c:v>
                </c:pt>
                <c:pt idx="1">
                  <c:v>1200</c:v>
                </c:pt>
                <c:pt idx="2">
                  <c:v>1063.5552077238151</c:v>
                </c:pt>
                <c:pt idx="3">
                  <c:v>1020</c:v>
                </c:pt>
                <c:pt idx="4">
                  <c:v>965.67012</c:v>
                </c:pt>
                <c:pt idx="5">
                  <c:v>855</c:v>
                </c:pt>
                <c:pt idx="6">
                  <c:v>837.90000000000009</c:v>
                </c:pt>
                <c:pt idx="7">
                  <c:v>797.28161882472796</c:v>
                </c:pt>
                <c:pt idx="8">
                  <c:v>760</c:v>
                </c:pt>
                <c:pt idx="9">
                  <c:v>750</c:v>
                </c:pt>
                <c:pt idx="10">
                  <c:v>745.7403076282186</c:v>
                </c:pt>
                <c:pt idx="11">
                  <c:v>721.6</c:v>
                </c:pt>
                <c:pt idx="12">
                  <c:v>719.32343858851857</c:v>
                </c:pt>
                <c:pt idx="13">
                  <c:v>692.55</c:v>
                </c:pt>
                <c:pt idx="14">
                  <c:v>684</c:v>
                </c:pt>
                <c:pt idx="15">
                  <c:v>656.77700615619938</c:v>
                </c:pt>
                <c:pt idx="16">
                  <c:v>651.6</c:v>
                </c:pt>
                <c:pt idx="17">
                  <c:v>646</c:v>
                </c:pt>
                <c:pt idx="18">
                  <c:v>634.81670077934746</c:v>
                </c:pt>
                <c:pt idx="19">
                  <c:v>626.4</c:v>
                </c:pt>
                <c:pt idx="20">
                  <c:v>616</c:v>
                </c:pt>
                <c:pt idx="21">
                  <c:v>609.74471713184903</c:v>
                </c:pt>
                <c:pt idx="22">
                  <c:v>603</c:v>
                </c:pt>
                <c:pt idx="23">
                  <c:v>596.07000000000005</c:v>
                </c:pt>
                <c:pt idx="24">
                  <c:v>593.91750000000002</c:v>
                </c:pt>
                <c:pt idx="25">
                  <c:v>589.04999999999995</c:v>
                </c:pt>
                <c:pt idx="26">
                  <c:v>588.6</c:v>
                </c:pt>
                <c:pt idx="27">
                  <c:v>570</c:v>
                </c:pt>
                <c:pt idx="28">
                  <c:v>567.6</c:v>
                </c:pt>
                <c:pt idx="29">
                  <c:v>567</c:v>
                </c:pt>
                <c:pt idx="30">
                  <c:v>550.72526320890734</c:v>
                </c:pt>
                <c:pt idx="31">
                  <c:v>547.16200000000003</c:v>
                </c:pt>
                <c:pt idx="32">
                  <c:v>522.5</c:v>
                </c:pt>
                <c:pt idx="33">
                  <c:v>510.75700000000001</c:v>
                </c:pt>
                <c:pt idx="34">
                  <c:v>503.99999999999994</c:v>
                </c:pt>
                <c:pt idx="35">
                  <c:v>497.77777777777777</c:v>
                </c:pt>
                <c:pt idx="36">
                  <c:v>485.39325842696627</c:v>
                </c:pt>
                <c:pt idx="37">
                  <c:v>472.50000000000006</c:v>
                </c:pt>
                <c:pt idx="38">
                  <c:v>405</c:v>
                </c:pt>
              </c:numCache>
            </c:numRef>
          </c:val>
          <c:extLst>
            <c:ext xmlns:c16="http://schemas.microsoft.com/office/drawing/2014/chart" uri="{C3380CC4-5D6E-409C-BE32-E72D297353CC}">
              <c16:uniqueId val="{00000000-ED44-49B9-94A9-848E1A2BE1D4}"/>
            </c:ext>
          </c:extLst>
        </c:ser>
        <c:dLbls>
          <c:showLegendKey val="0"/>
          <c:showVal val="0"/>
          <c:showCatName val="0"/>
          <c:showSerName val="0"/>
          <c:showPercent val="0"/>
          <c:showBubbleSize val="0"/>
        </c:dLbls>
        <c:gapWidth val="150"/>
        <c:axId val="449974272"/>
        <c:axId val="449976192"/>
      </c:barChart>
      <c:lineChart>
        <c:grouping val="standard"/>
        <c:varyColors val="0"/>
        <c:ser>
          <c:idx val="1"/>
          <c:order val="1"/>
          <c:tx>
            <c:strRef>
              <c:f>'Figure D4.2.'!$C$47</c:f>
              <c:strCache>
                <c:ptCount val="1"/>
                <c:pt idx="0">
                  <c:v>Lower secondary, general programmes</c:v>
                </c:pt>
              </c:strCache>
            </c:strRef>
          </c:tx>
          <c:spPr>
            <a:ln w="28575">
              <a:noFill/>
            </a:ln>
          </c:spPr>
          <c:marker>
            <c:symbol val="diamond"/>
            <c:size val="5"/>
            <c:spPr>
              <a:solidFill>
                <a:srgbClr val="FFFFFF"/>
              </a:solidFill>
              <a:ln>
                <a:solidFill>
                  <a:srgbClr val="000000"/>
                </a:solidFill>
                <a:prstDash val="solid"/>
              </a:ln>
            </c:spPr>
          </c:marker>
          <c:cat>
            <c:strRef>
              <c:f>'Figure D4.2.'!$A$48:$A$86</c:f>
              <c:strCache>
                <c:ptCount val="39"/>
                <c:pt idx="0">
                  <c:v>Costa Rica</c:v>
                </c:pt>
                <c:pt idx="1">
                  <c:v>Colombia</c:v>
                </c:pt>
                <c:pt idx="2">
                  <c:v>Chile</c:v>
                </c:pt>
                <c:pt idx="3">
                  <c:v>Latvia</c:v>
                </c:pt>
                <c:pt idx="4">
                  <c:v>United States1, 2</c:v>
                </c:pt>
                <c:pt idx="5">
                  <c:v>Scotland (UK)</c:v>
                </c:pt>
                <c:pt idx="6">
                  <c:v>Mexico</c:v>
                </c:pt>
                <c:pt idx="7">
                  <c:v>Australia</c:v>
                </c:pt>
                <c:pt idx="8">
                  <c:v>New Zealand</c:v>
                </c:pt>
                <c:pt idx="9">
                  <c:v>Netherlands</c:v>
                </c:pt>
                <c:pt idx="10">
                  <c:v>Canada</c:v>
                </c:pt>
                <c:pt idx="11">
                  <c:v>Ireland</c:v>
                </c:pt>
                <c:pt idx="12">
                  <c:v>Germany</c:v>
                </c:pt>
                <c:pt idx="13">
                  <c:v>Spain</c:v>
                </c:pt>
                <c:pt idx="14">
                  <c:v>France</c:v>
                </c:pt>
                <c:pt idx="15">
                  <c:v>OECD average</c:v>
                </c:pt>
                <c:pt idx="16">
                  <c:v>Hungary</c:v>
                </c:pt>
                <c:pt idx="17">
                  <c:v>Switzerland</c:v>
                </c:pt>
                <c:pt idx="18">
                  <c:v>EU22 average</c:v>
                </c:pt>
                <c:pt idx="19">
                  <c:v>Italy</c:v>
                </c:pt>
                <c:pt idx="20">
                  <c:v>Portugal</c:v>
                </c:pt>
                <c:pt idx="21">
                  <c:v>Israel</c:v>
                </c:pt>
                <c:pt idx="22">
                  <c:v>Lithuania</c:v>
                </c:pt>
                <c:pt idx="23">
                  <c:v>French comm. (Belgium)</c:v>
                </c:pt>
                <c:pt idx="24">
                  <c:v>Greece</c:v>
                </c:pt>
                <c:pt idx="25">
                  <c:v>Czech Republic</c:v>
                </c:pt>
                <c:pt idx="26">
                  <c:v>Austria</c:v>
                </c:pt>
                <c:pt idx="27">
                  <c:v>Slovenia</c:v>
                </c:pt>
                <c:pt idx="28">
                  <c:v>Estonia</c:v>
                </c:pt>
                <c:pt idx="29">
                  <c:v>Slovak Republic</c:v>
                </c:pt>
                <c:pt idx="30">
                  <c:v>Korea</c:v>
                </c:pt>
                <c:pt idx="31">
                  <c:v>Finland</c:v>
                </c:pt>
                <c:pt idx="32">
                  <c:v>Norway</c:v>
                </c:pt>
                <c:pt idx="33">
                  <c:v>Japan3</c:v>
                </c:pt>
                <c:pt idx="34">
                  <c:v>Turkey</c:v>
                </c:pt>
                <c:pt idx="35">
                  <c:v>Flemish comm. (Belgium)</c:v>
                </c:pt>
                <c:pt idx="36">
                  <c:v>Iceland</c:v>
                </c:pt>
                <c:pt idx="37">
                  <c:v>Poland</c:v>
                </c:pt>
                <c:pt idx="38">
                  <c:v>Denmark</c:v>
                </c:pt>
              </c:strCache>
            </c:strRef>
          </c:cat>
          <c:val>
            <c:numRef>
              <c:f>'Figure D4.2.'!$C$48:$C$86</c:f>
              <c:numCache>
                <c:formatCode>0</c:formatCode>
                <c:ptCount val="39"/>
                <c:pt idx="0">
                  <c:v>1267.2</c:v>
                </c:pt>
                <c:pt idx="1">
                  <c:v>1200</c:v>
                </c:pt>
                <c:pt idx="2">
                  <c:v>1063.5552077238151</c:v>
                </c:pt>
                <c:pt idx="3">
                  <c:v>1020</c:v>
                </c:pt>
                <c:pt idx="4">
                  <c:v>966.36311999999998</c:v>
                </c:pt>
                <c:pt idx="5">
                  <c:v>855</c:v>
                </c:pt>
                <c:pt idx="6">
                  <c:v>1046.6666666666661</c:v>
                </c:pt>
                <c:pt idx="7">
                  <c:v>797.28161882472796</c:v>
                </c:pt>
                <c:pt idx="8">
                  <c:v>840.40000000000009</c:v>
                </c:pt>
                <c:pt idx="9">
                  <c:v>750</c:v>
                </c:pt>
                <c:pt idx="10">
                  <c:v>744.53291935095456</c:v>
                </c:pt>
                <c:pt idx="11">
                  <c:v>721.6</c:v>
                </c:pt>
                <c:pt idx="12">
                  <c:v>747.40942004589363</c:v>
                </c:pt>
                <c:pt idx="13">
                  <c:v>712.8</c:v>
                </c:pt>
                <c:pt idx="14">
                  <c:v>684</c:v>
                </c:pt>
                <c:pt idx="15">
                  <c:v>703.36639465923895</c:v>
                </c:pt>
                <c:pt idx="16">
                  <c:v>655.20000000000005</c:v>
                </c:pt>
                <c:pt idx="17">
                  <c:v>760</c:v>
                </c:pt>
                <c:pt idx="18">
                  <c:v>667.9648876689613</c:v>
                </c:pt>
                <c:pt idx="19">
                  <c:v>626.4</c:v>
                </c:pt>
                <c:pt idx="20">
                  <c:v>616</c:v>
                </c:pt>
                <c:pt idx="21">
                  <c:v>698.87170663429129</c:v>
                </c:pt>
                <c:pt idx="22">
                  <c:v>612</c:v>
                </c:pt>
                <c:pt idx="23">
                  <c:v>656.93</c:v>
                </c:pt>
                <c:pt idx="24">
                  <c:v>608.92500000000007</c:v>
                </c:pt>
                <c:pt idx="25">
                  <c:v>617.1</c:v>
                </c:pt>
                <c:pt idx="26">
                  <c:v>606.6</c:v>
                </c:pt>
                <c:pt idx="27">
                  <c:v>627</c:v>
                </c:pt>
                <c:pt idx="28">
                  <c:v>602</c:v>
                </c:pt>
                <c:pt idx="29">
                  <c:v>652.05000000000007</c:v>
                </c:pt>
                <c:pt idx="30">
                  <c:v>533.2314601752048</c:v>
                </c:pt>
                <c:pt idx="31">
                  <c:v>589.04999999999995</c:v>
                </c:pt>
                <c:pt idx="32">
                  <c:v>663.1</c:v>
                </c:pt>
                <c:pt idx="33">
                  <c:v>609.910571</c:v>
                </c:pt>
                <c:pt idx="34">
                  <c:v>503.99999999999994</c:v>
                </c:pt>
                <c:pt idx="35">
                  <c:v>533.33333333333337</c:v>
                </c:pt>
                <c:pt idx="36">
                  <c:v>623.88</c:v>
                </c:pt>
                <c:pt idx="37">
                  <c:v>477.90000000000003</c:v>
                </c:pt>
              </c:numCache>
            </c:numRef>
          </c:val>
          <c:smooth val="0"/>
          <c:extLst>
            <c:ext xmlns:c16="http://schemas.microsoft.com/office/drawing/2014/chart" uri="{C3380CC4-5D6E-409C-BE32-E72D297353CC}">
              <c16:uniqueId val="{00000001-ED44-49B9-94A9-848E1A2BE1D4}"/>
            </c:ext>
          </c:extLst>
        </c:ser>
        <c:ser>
          <c:idx val="0"/>
          <c:order val="2"/>
          <c:tx>
            <c:strRef>
              <c:f>'Figure D4.2.'!$D$47</c:f>
              <c:strCache>
                <c:ptCount val="1"/>
                <c:pt idx="0">
                  <c:v>Primary</c:v>
                </c:pt>
              </c:strCache>
            </c:strRef>
          </c:tx>
          <c:spPr>
            <a:ln w="28575">
              <a:noFill/>
            </a:ln>
          </c:spPr>
          <c:marker>
            <c:symbol val="diamond"/>
            <c:size val="5"/>
            <c:spPr>
              <a:solidFill>
                <a:srgbClr val="000000"/>
              </a:solidFill>
              <a:ln>
                <a:solidFill>
                  <a:srgbClr val="000000"/>
                </a:solidFill>
                <a:prstDash val="solid"/>
              </a:ln>
            </c:spPr>
          </c:marker>
          <c:cat>
            <c:strRef>
              <c:f>'Figure D4.2.'!$A$48:$A$86</c:f>
              <c:strCache>
                <c:ptCount val="39"/>
                <c:pt idx="0">
                  <c:v>Costa Rica</c:v>
                </c:pt>
                <c:pt idx="1">
                  <c:v>Colombia</c:v>
                </c:pt>
                <c:pt idx="2">
                  <c:v>Chile</c:v>
                </c:pt>
                <c:pt idx="3">
                  <c:v>Latvia</c:v>
                </c:pt>
                <c:pt idx="4">
                  <c:v>United States1, 2</c:v>
                </c:pt>
                <c:pt idx="5">
                  <c:v>Scotland (UK)</c:v>
                </c:pt>
                <c:pt idx="6">
                  <c:v>Mexico</c:v>
                </c:pt>
                <c:pt idx="7">
                  <c:v>Australia</c:v>
                </c:pt>
                <c:pt idx="8">
                  <c:v>New Zealand</c:v>
                </c:pt>
                <c:pt idx="9">
                  <c:v>Netherlands</c:v>
                </c:pt>
                <c:pt idx="10">
                  <c:v>Canada</c:v>
                </c:pt>
                <c:pt idx="11">
                  <c:v>Ireland</c:v>
                </c:pt>
                <c:pt idx="12">
                  <c:v>Germany</c:v>
                </c:pt>
                <c:pt idx="13">
                  <c:v>Spain</c:v>
                </c:pt>
                <c:pt idx="14">
                  <c:v>France</c:v>
                </c:pt>
                <c:pt idx="15">
                  <c:v>OECD average</c:v>
                </c:pt>
                <c:pt idx="16">
                  <c:v>Hungary</c:v>
                </c:pt>
                <c:pt idx="17">
                  <c:v>Switzerland</c:v>
                </c:pt>
                <c:pt idx="18">
                  <c:v>EU22 average</c:v>
                </c:pt>
                <c:pt idx="19">
                  <c:v>Italy</c:v>
                </c:pt>
                <c:pt idx="20">
                  <c:v>Portugal</c:v>
                </c:pt>
                <c:pt idx="21">
                  <c:v>Israel</c:v>
                </c:pt>
                <c:pt idx="22">
                  <c:v>Lithuania</c:v>
                </c:pt>
                <c:pt idx="23">
                  <c:v>French comm. (Belgium)</c:v>
                </c:pt>
                <c:pt idx="24">
                  <c:v>Greece</c:v>
                </c:pt>
                <c:pt idx="25">
                  <c:v>Czech Republic</c:v>
                </c:pt>
                <c:pt idx="26">
                  <c:v>Austria</c:v>
                </c:pt>
                <c:pt idx="27">
                  <c:v>Slovenia</c:v>
                </c:pt>
                <c:pt idx="28">
                  <c:v>Estonia</c:v>
                </c:pt>
                <c:pt idx="29">
                  <c:v>Slovak Republic</c:v>
                </c:pt>
                <c:pt idx="30">
                  <c:v>Korea</c:v>
                </c:pt>
                <c:pt idx="31">
                  <c:v>Finland</c:v>
                </c:pt>
                <c:pt idx="32">
                  <c:v>Norway</c:v>
                </c:pt>
                <c:pt idx="33">
                  <c:v>Japan3</c:v>
                </c:pt>
                <c:pt idx="34">
                  <c:v>Turkey</c:v>
                </c:pt>
                <c:pt idx="35">
                  <c:v>Flemish comm. (Belgium)</c:v>
                </c:pt>
                <c:pt idx="36">
                  <c:v>Iceland</c:v>
                </c:pt>
                <c:pt idx="37">
                  <c:v>Poland</c:v>
                </c:pt>
                <c:pt idx="38">
                  <c:v>Denmark</c:v>
                </c:pt>
              </c:strCache>
            </c:strRef>
          </c:cat>
          <c:val>
            <c:numRef>
              <c:f>'Figure D4.2.'!$D$48:$D$86</c:f>
              <c:numCache>
                <c:formatCode>0</c:formatCode>
                <c:ptCount val="39"/>
                <c:pt idx="0">
                  <c:v>1188</c:v>
                </c:pt>
                <c:pt idx="1">
                  <c:v>1000</c:v>
                </c:pt>
                <c:pt idx="2">
                  <c:v>1063.5552077238151</c:v>
                </c:pt>
                <c:pt idx="3">
                  <c:v>1020</c:v>
                </c:pt>
                <c:pt idx="4">
                  <c:v>1004.3748000000001</c:v>
                </c:pt>
                <c:pt idx="5">
                  <c:v>855</c:v>
                </c:pt>
                <c:pt idx="6">
                  <c:v>800</c:v>
                </c:pt>
                <c:pt idx="7">
                  <c:v>865.26860492495666</c:v>
                </c:pt>
                <c:pt idx="8">
                  <c:v>921.59999999999991</c:v>
                </c:pt>
                <c:pt idx="9">
                  <c:v>930</c:v>
                </c:pt>
                <c:pt idx="10">
                  <c:v>797.7713045847172</c:v>
                </c:pt>
                <c:pt idx="11">
                  <c:v>910</c:v>
                </c:pt>
                <c:pt idx="12">
                  <c:v>800.53658579721048</c:v>
                </c:pt>
                <c:pt idx="13">
                  <c:v>880</c:v>
                </c:pt>
                <c:pt idx="14">
                  <c:v>900</c:v>
                </c:pt>
                <c:pt idx="15">
                  <c:v>783.63763660052666</c:v>
                </c:pt>
                <c:pt idx="16">
                  <c:v>655.20000000000005</c:v>
                </c:pt>
                <c:pt idx="17">
                  <c:v>817</c:v>
                </c:pt>
                <c:pt idx="18">
                  <c:v>762.4507181787493</c:v>
                </c:pt>
                <c:pt idx="19">
                  <c:v>765.6</c:v>
                </c:pt>
                <c:pt idx="20">
                  <c:v>778.5</c:v>
                </c:pt>
                <c:pt idx="21">
                  <c:v>843.34742197468893</c:v>
                </c:pt>
                <c:pt idx="22">
                  <c:v>576</c:v>
                </c:pt>
                <c:pt idx="23">
                  <c:v>716</c:v>
                </c:pt>
                <c:pt idx="24">
                  <c:v>660</c:v>
                </c:pt>
                <c:pt idx="25">
                  <c:v>617.1</c:v>
                </c:pt>
                <c:pt idx="26">
                  <c:v>779.4</c:v>
                </c:pt>
                <c:pt idx="27">
                  <c:v>627</c:v>
                </c:pt>
                <c:pt idx="28">
                  <c:v>584.79999999999995</c:v>
                </c:pt>
                <c:pt idx="29">
                  <c:v>793.80000000000007</c:v>
                </c:pt>
                <c:pt idx="30">
                  <c:v>671.13440503421725</c:v>
                </c:pt>
                <c:pt idx="31">
                  <c:v>673.2</c:v>
                </c:pt>
                <c:pt idx="32">
                  <c:v>741</c:v>
                </c:pt>
                <c:pt idx="33">
                  <c:v>742.09590000000003</c:v>
                </c:pt>
                <c:pt idx="34">
                  <c:v>720</c:v>
                </c:pt>
                <c:pt idx="35">
                  <c:v>739.02777777777783</c:v>
                </c:pt>
                <c:pt idx="36">
                  <c:v>623.88</c:v>
                </c:pt>
                <c:pt idx="37">
                  <c:v>563.85</c:v>
                </c:pt>
              </c:numCache>
            </c:numRef>
          </c:val>
          <c:smooth val="0"/>
          <c:extLst>
            <c:ext xmlns:c16="http://schemas.microsoft.com/office/drawing/2014/chart" uri="{C3380CC4-5D6E-409C-BE32-E72D297353CC}">
              <c16:uniqueId val="{00000002-ED44-49B9-94A9-848E1A2BE1D4}"/>
            </c:ext>
          </c:extLst>
        </c:ser>
        <c:ser>
          <c:idx val="3"/>
          <c:order val="3"/>
          <c:tx>
            <c:strRef>
              <c:f>'Figure D4.2.'!$E$47</c:f>
              <c:strCache>
                <c:ptCount val="1"/>
                <c:pt idx="0">
                  <c:v>Pre-primary</c:v>
                </c:pt>
              </c:strCache>
            </c:strRef>
          </c:tx>
          <c:spPr>
            <a:ln w="28575">
              <a:noFill/>
            </a:ln>
          </c:spPr>
          <c:marker>
            <c:symbol val="diamond"/>
            <c:size val="5"/>
            <c:spPr>
              <a:solidFill>
                <a:schemeClr val="tx2">
                  <a:lumMod val="20000"/>
                  <a:lumOff val="80000"/>
                </a:schemeClr>
              </a:solidFill>
              <a:ln w="3175">
                <a:solidFill>
                  <a:srgbClr val="000000"/>
                </a:solidFill>
                <a:prstDash val="solid"/>
              </a:ln>
              <a:effectLst/>
              <a:extLst/>
            </c:spPr>
          </c:marker>
          <c:cat>
            <c:strRef>
              <c:f>'Figure D4.2.'!$A$48:$A$86</c:f>
              <c:strCache>
                <c:ptCount val="39"/>
                <c:pt idx="0">
                  <c:v>Costa Rica</c:v>
                </c:pt>
                <c:pt idx="1">
                  <c:v>Colombia</c:v>
                </c:pt>
                <c:pt idx="2">
                  <c:v>Chile</c:v>
                </c:pt>
                <c:pt idx="3">
                  <c:v>Latvia</c:v>
                </c:pt>
                <c:pt idx="4">
                  <c:v>United States1, 2</c:v>
                </c:pt>
                <c:pt idx="5">
                  <c:v>Scotland (UK)</c:v>
                </c:pt>
                <c:pt idx="6">
                  <c:v>Mexico</c:v>
                </c:pt>
                <c:pt idx="7">
                  <c:v>Australia</c:v>
                </c:pt>
                <c:pt idx="8">
                  <c:v>New Zealand</c:v>
                </c:pt>
                <c:pt idx="9">
                  <c:v>Netherlands</c:v>
                </c:pt>
                <c:pt idx="10">
                  <c:v>Canada</c:v>
                </c:pt>
                <c:pt idx="11">
                  <c:v>Ireland</c:v>
                </c:pt>
                <c:pt idx="12">
                  <c:v>Germany</c:v>
                </c:pt>
                <c:pt idx="13">
                  <c:v>Spain</c:v>
                </c:pt>
                <c:pt idx="14">
                  <c:v>France</c:v>
                </c:pt>
                <c:pt idx="15">
                  <c:v>OECD average</c:v>
                </c:pt>
                <c:pt idx="16">
                  <c:v>Hungary</c:v>
                </c:pt>
                <c:pt idx="17">
                  <c:v>Switzerland</c:v>
                </c:pt>
                <c:pt idx="18">
                  <c:v>EU22 average</c:v>
                </c:pt>
                <c:pt idx="19">
                  <c:v>Italy</c:v>
                </c:pt>
                <c:pt idx="20">
                  <c:v>Portugal</c:v>
                </c:pt>
                <c:pt idx="21">
                  <c:v>Israel</c:v>
                </c:pt>
                <c:pt idx="22">
                  <c:v>Lithuania</c:v>
                </c:pt>
                <c:pt idx="23">
                  <c:v>French comm. (Belgium)</c:v>
                </c:pt>
                <c:pt idx="24">
                  <c:v>Greece</c:v>
                </c:pt>
                <c:pt idx="25">
                  <c:v>Czech Republic</c:v>
                </c:pt>
                <c:pt idx="26">
                  <c:v>Austria</c:v>
                </c:pt>
                <c:pt idx="27">
                  <c:v>Slovenia</c:v>
                </c:pt>
                <c:pt idx="28">
                  <c:v>Estonia</c:v>
                </c:pt>
                <c:pt idx="29">
                  <c:v>Slovak Republic</c:v>
                </c:pt>
                <c:pt idx="30">
                  <c:v>Korea</c:v>
                </c:pt>
                <c:pt idx="31">
                  <c:v>Finland</c:v>
                </c:pt>
                <c:pt idx="32">
                  <c:v>Norway</c:v>
                </c:pt>
                <c:pt idx="33">
                  <c:v>Japan3</c:v>
                </c:pt>
                <c:pt idx="34">
                  <c:v>Turkey</c:v>
                </c:pt>
                <c:pt idx="35">
                  <c:v>Flemish comm. (Belgium)</c:v>
                </c:pt>
                <c:pt idx="36">
                  <c:v>Iceland</c:v>
                </c:pt>
                <c:pt idx="37">
                  <c:v>Poland</c:v>
                </c:pt>
                <c:pt idx="38">
                  <c:v>Denmark</c:v>
                </c:pt>
              </c:strCache>
            </c:strRef>
          </c:cat>
          <c:val>
            <c:numRef>
              <c:f>'Figure D4.2.'!$E$48:$E$86</c:f>
              <c:numCache>
                <c:formatCode>0</c:formatCode>
                <c:ptCount val="39"/>
                <c:pt idx="0">
                  <c:v>811.8</c:v>
                </c:pt>
                <c:pt idx="1">
                  <c:v>800</c:v>
                </c:pt>
                <c:pt idx="2">
                  <c:v>1063.5552077238151</c:v>
                </c:pt>
                <c:pt idx="3">
                  <c:v>1520</c:v>
                </c:pt>
                <c:pt idx="4">
                  <c:v>1010.7090000000001</c:v>
                </c:pt>
                <c:pt idx="5">
                  <c:v>855</c:v>
                </c:pt>
                <c:pt idx="6">
                  <c:v>532</c:v>
                </c:pt>
                <c:pt idx="7">
                  <c:v>903.24666835803009</c:v>
                </c:pt>
                <c:pt idx="9">
                  <c:v>930</c:v>
                </c:pt>
                <c:pt idx="12">
                  <c:v>1755</c:v>
                </c:pt>
                <c:pt idx="13">
                  <c:v>880</c:v>
                </c:pt>
                <c:pt idx="14">
                  <c:v>900</c:v>
                </c:pt>
                <c:pt idx="15">
                  <c:v>1044.2226436784008</c:v>
                </c:pt>
                <c:pt idx="16">
                  <c:v>1344</c:v>
                </c:pt>
                <c:pt idx="17">
                  <c:v>778.99999999999989</c:v>
                </c:pt>
                <c:pt idx="18">
                  <c:v>1093.3545315904139</c:v>
                </c:pt>
                <c:pt idx="19">
                  <c:v>945</c:v>
                </c:pt>
                <c:pt idx="20">
                  <c:v>935</c:v>
                </c:pt>
                <c:pt idx="21">
                  <c:v>1030.7532603345974</c:v>
                </c:pt>
                <c:pt idx="22">
                  <c:v>640</c:v>
                </c:pt>
                <c:pt idx="23">
                  <c:v>775.07</c:v>
                </c:pt>
                <c:pt idx="24">
                  <c:v>821.92</c:v>
                </c:pt>
                <c:pt idx="25">
                  <c:v>1333</c:v>
                </c:pt>
                <c:pt idx="27">
                  <c:v>1314</c:v>
                </c:pt>
                <c:pt idx="28">
                  <c:v>1320</c:v>
                </c:pt>
                <c:pt idx="29">
                  <c:v>1149.5</c:v>
                </c:pt>
                <c:pt idx="30">
                  <c:v>543.49756218494338</c:v>
                </c:pt>
                <c:pt idx="34">
                  <c:v>1080</c:v>
                </c:pt>
                <c:pt idx="35">
                  <c:v>724.53703703703707</c:v>
                </c:pt>
                <c:pt idx="36">
                  <c:v>1620</c:v>
                </c:pt>
                <c:pt idx="37">
                  <c:v>1085</c:v>
                </c:pt>
              </c:numCache>
            </c:numRef>
          </c:val>
          <c:smooth val="0"/>
          <c:extLst>
            <c:ext xmlns:c16="http://schemas.microsoft.com/office/drawing/2014/chart" uri="{C3380CC4-5D6E-409C-BE32-E72D297353CC}">
              <c16:uniqueId val="{00000003-ED44-49B9-94A9-848E1A2BE1D4}"/>
            </c:ext>
          </c:extLst>
        </c:ser>
        <c:dLbls>
          <c:showLegendKey val="0"/>
          <c:showVal val="0"/>
          <c:showCatName val="0"/>
          <c:showSerName val="0"/>
          <c:showPercent val="0"/>
          <c:showBubbleSize val="0"/>
        </c:dLbls>
        <c:marker val="1"/>
        <c:smooth val="0"/>
        <c:axId val="449974272"/>
        <c:axId val="449976192"/>
      </c:lineChart>
      <c:catAx>
        <c:axId val="449974272"/>
        <c:scaling>
          <c:orientation val="minMax"/>
        </c:scaling>
        <c:delete val="0"/>
        <c:axPos val="b"/>
        <c:majorGridlines>
          <c:spPr>
            <a:ln w="9525" cmpd="sng">
              <a:solidFill>
                <a:srgbClr val="FFFFFF"/>
              </a:solidFill>
              <a:prstDash val="solid"/>
            </a:ln>
          </c:spPr>
        </c:majorGridlines>
        <c:numFmt formatCode="General" sourceLinked="0"/>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2700000" vert="horz"/>
          <a:lstStyle/>
          <a:p>
            <a:pPr>
              <a:defRPr sz="750" b="0" i="0" u="none" strike="noStrike" baseline="0">
                <a:solidFill>
                  <a:srgbClr val="000000"/>
                </a:solidFill>
                <a:latin typeface="Arial Narrow"/>
                <a:ea typeface="Arial Narrow"/>
                <a:cs typeface="Arial Narrow"/>
              </a:defRPr>
            </a:pPr>
            <a:endParaRPr lang="en-US"/>
          </a:p>
        </c:txPr>
        <c:crossAx val="449976192"/>
        <c:crosses val="autoZero"/>
        <c:auto val="1"/>
        <c:lblAlgn val="ctr"/>
        <c:lblOffset val="0"/>
        <c:tickLblSkip val="1"/>
        <c:tickMarkSkip val="1"/>
        <c:noMultiLvlLbl val="0"/>
      </c:catAx>
      <c:valAx>
        <c:axId val="449976192"/>
        <c:scaling>
          <c:orientation val="minMax"/>
          <c:max val="1800"/>
        </c:scaling>
        <c:delete val="0"/>
        <c:axPos val="l"/>
        <c:majorGridlines>
          <c:spPr>
            <a:ln w="9525" cmpd="sng">
              <a:solidFill>
                <a:srgbClr val="FFFFFF"/>
              </a:solidFill>
              <a:prstDash val="solid"/>
            </a:ln>
          </c:spPr>
        </c:majorGridlines>
        <c:title>
          <c:tx>
            <c:rich>
              <a:bodyPr rot="0" vert="horz"/>
              <a:lstStyle/>
              <a:p>
                <a:pPr algn="ctr">
                  <a:defRPr sz="750" b="0" i="1" u="none" strike="noStrike" baseline="0">
                    <a:solidFill>
                      <a:srgbClr val="000000"/>
                    </a:solidFill>
                    <a:latin typeface="Arial Narrow"/>
                    <a:ea typeface="Arial"/>
                    <a:cs typeface="Arial"/>
                  </a:defRPr>
                </a:pPr>
                <a:r>
                  <a:rPr lang="en-GB" sz="750" b="0" i="1">
                    <a:solidFill>
                      <a:srgbClr val="000000"/>
                    </a:solidFill>
                    <a:latin typeface="Arial Narrow"/>
                  </a:rPr>
                  <a:t>Hours per year</a:t>
                </a:r>
              </a:p>
            </c:rich>
          </c:tx>
          <c:layout>
            <c:manualLayout>
              <c:xMode val="edge"/>
              <c:yMode val="edge"/>
              <c:x val="4.3716535433070865E-3"/>
              <c:y val="9.4158132194260044E-2"/>
            </c:manualLayout>
          </c:layout>
          <c:overlay val="0"/>
        </c:title>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0" vert="horz"/>
          <a:lstStyle/>
          <a:p>
            <a:pPr>
              <a:defRPr sz="750" b="0" i="0" u="none" strike="noStrike" baseline="0">
                <a:solidFill>
                  <a:srgbClr val="000000"/>
                </a:solidFill>
                <a:latin typeface="Arial Narrow"/>
                <a:ea typeface="Arial Narrow"/>
                <a:cs typeface="Arial Narrow"/>
              </a:defRPr>
            </a:pPr>
            <a:endParaRPr lang="en-US"/>
          </a:p>
        </c:txPr>
        <c:crossAx val="449974272"/>
        <c:crosses val="autoZero"/>
        <c:crossBetween val="between"/>
        <c:majorUnit val="200"/>
      </c:valAx>
      <c:spPr>
        <a:solidFill>
          <a:srgbClr val="F4FFFF"/>
        </a:solidFill>
        <a:ln w="9525">
          <a:solidFill>
            <a:srgbClr val="000000"/>
          </a:solidFill>
          <a:prstDash val="solid"/>
        </a:ln>
      </c:spPr>
    </c:plotArea>
    <c:legend>
      <c:legendPos val="t"/>
      <c:legendEntry>
        <c:idx val="0"/>
        <c:txPr>
          <a:bodyPr/>
          <a:lstStyle/>
          <a:p>
            <a:pPr>
              <a:defRPr sz="750" b="0" i="0" u="none" strike="noStrike" baseline="0">
                <a:solidFill>
                  <a:srgbClr val="000000"/>
                </a:solidFill>
                <a:latin typeface="Arial Narrow"/>
                <a:ea typeface="Arial Narrow"/>
                <a:cs typeface="Arial Narrow"/>
              </a:defRPr>
            </a:pPr>
            <a:endParaRPr lang="en-US"/>
          </a:p>
        </c:txPr>
      </c:legendEntry>
      <c:legendEntry>
        <c:idx val="1"/>
        <c:txPr>
          <a:bodyPr/>
          <a:lstStyle/>
          <a:p>
            <a:pPr>
              <a:defRPr sz="750" b="0" i="0" u="none" strike="noStrike" baseline="0">
                <a:solidFill>
                  <a:srgbClr val="000000"/>
                </a:solidFill>
                <a:latin typeface="Arial Narrow"/>
                <a:ea typeface="Arial Narrow"/>
                <a:cs typeface="Arial Narrow"/>
              </a:defRPr>
            </a:pPr>
            <a:endParaRPr lang="en-US"/>
          </a:p>
        </c:txPr>
      </c:legendEntry>
      <c:legendEntry>
        <c:idx val="2"/>
        <c:txPr>
          <a:bodyPr/>
          <a:lstStyle/>
          <a:p>
            <a:pPr>
              <a:defRPr sz="750" b="0" i="0" u="none" strike="noStrike" baseline="0">
                <a:solidFill>
                  <a:srgbClr val="000000"/>
                </a:solidFill>
                <a:latin typeface="Arial Narrow"/>
                <a:ea typeface="Arial Narrow"/>
                <a:cs typeface="Arial Narrow"/>
              </a:defRPr>
            </a:pPr>
            <a:endParaRPr lang="en-US"/>
          </a:p>
        </c:txPr>
      </c:legendEntry>
      <c:layout>
        <c:manualLayout>
          <c:xMode val="edge"/>
          <c:yMode val="edge"/>
          <c:x val="5.095160882667444E-2"/>
          <c:y val="1.1619462599854757E-2"/>
          <c:w val="0.92361932536210756"/>
          <c:h val="6.390704429920116E-2"/>
        </c:manualLayout>
      </c:layout>
      <c:overlay val="1"/>
      <c:spPr>
        <a:solidFill>
          <a:sysClr val="window" lastClr="FFFFFF"/>
        </a:solidFill>
        <a:ln w="25400">
          <a:noFill/>
        </a:ln>
      </c:spPr>
      <c:txPr>
        <a:bodyPr/>
        <a:lstStyle/>
        <a:p>
          <a:pPr>
            <a:defRPr sz="750" b="0" i="0" u="none" strike="noStrike" baseline="0">
              <a:solidFill>
                <a:srgbClr val="000000"/>
              </a:solidFill>
              <a:latin typeface="Arial Narrow"/>
              <a:ea typeface="Arial Narrow"/>
              <a:cs typeface="Arial Narrow"/>
            </a:defRPr>
          </a:pPr>
          <a:endParaRPr lang="en-US"/>
        </a:p>
      </c:txPr>
    </c:legend>
    <c:plotVisOnly val="1"/>
    <c:dispBlanksAs val="gap"/>
    <c:showDLblsOverMax val="1"/>
  </c:chart>
  <c:spPr>
    <a:noFill/>
    <a:ln w="9525">
      <a:noFill/>
    </a:ln>
    <a:extLst>
      <a:ext uri="{909E8E84-426E-40DD-AFC4-6F175D3DCCD1}">
        <a14:hiddenFill xmlns:a14="http://schemas.microsoft.com/office/drawing/2010/main">
          <a:solidFill>
            <a:srgbClr val="FFFFFF"/>
          </a:solidFill>
        </a14:hiddenFill>
      </a:ext>
    </a:extLst>
  </c:spPr>
  <c:txPr>
    <a:bodyPr/>
    <a:lstStyle/>
    <a:p>
      <a:pPr>
        <a:defRPr sz="1200" b="0" i="0" u="none" strike="noStrike" baseline="0">
          <a:solidFill>
            <a:srgbClr val="000000"/>
          </a:solidFill>
          <a:latin typeface="Arial"/>
          <a:ea typeface="Arial"/>
          <a:cs typeface="Arial"/>
        </a:defRPr>
      </a:pPr>
      <a:endParaRPr lang="en-US"/>
    </a:p>
  </c:txPr>
  <c:printSettings>
    <c:headerFooter alignWithMargins="0"/>
    <c:pageMargins b="0.750000000000001" l="0.25" r="0.25" t="0.750000000000001" header="0.3" footer="0.3"/>
    <c:pageSetup orientation="portrait"/>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1064846513750997E-2"/>
          <c:y val="0.14028763157182672"/>
          <c:w val="0.93510783978089695"/>
          <c:h val="0.64643193674864718"/>
        </c:manualLayout>
      </c:layout>
      <c:barChart>
        <c:barDir val="col"/>
        <c:grouping val="clustered"/>
        <c:varyColors val="0"/>
        <c:ser>
          <c:idx val="1"/>
          <c:order val="1"/>
          <c:tx>
            <c:strRef>
              <c:f>'Figure D4.3.'!$C$45</c:f>
              <c:strCache>
                <c:ptCount val="1"/>
                <c:pt idx="0">
                  <c:v>Upper secondary, general programmes</c:v>
                </c:pt>
              </c:strCache>
            </c:strRef>
          </c:tx>
          <c:spPr>
            <a:solidFill>
              <a:srgbClr val="4F81BD"/>
            </a:solidFill>
            <a:ln w="3175">
              <a:solidFill>
                <a:srgbClr val="000000"/>
              </a:solidFill>
              <a:prstDash val="solid"/>
            </a:ln>
          </c:spPr>
          <c:invertIfNegative val="0"/>
          <c:cat>
            <c:strRef>
              <c:f>'Figure D4.3.'!$A$46:$A$77</c:f>
              <c:strCache>
                <c:ptCount val="32"/>
                <c:pt idx="0">
                  <c:v>Costa Rica</c:v>
                </c:pt>
                <c:pt idx="1">
                  <c:v>Colombia</c:v>
                </c:pt>
                <c:pt idx="2">
                  <c:v>Chile</c:v>
                </c:pt>
                <c:pt idx="3">
                  <c:v>Latvia</c:v>
                </c:pt>
                <c:pt idx="4">
                  <c:v>Mexico</c:v>
                </c:pt>
                <c:pt idx="5">
                  <c:v>Canada</c:v>
                </c:pt>
                <c:pt idx="6">
                  <c:v>Germany</c:v>
                </c:pt>
                <c:pt idx="7">
                  <c:v>Spain</c:v>
                </c:pt>
                <c:pt idx="8">
                  <c:v>France</c:v>
                </c:pt>
                <c:pt idx="9">
                  <c:v>OECD average</c:v>
                </c:pt>
                <c:pt idx="10">
                  <c:v>Hungary</c:v>
                </c:pt>
                <c:pt idx="11">
                  <c:v>Switzerland</c:v>
                </c:pt>
                <c:pt idx="12">
                  <c:v>EU22 average</c:v>
                </c:pt>
                <c:pt idx="13">
                  <c:v>Italy</c:v>
                </c:pt>
                <c:pt idx="14">
                  <c:v>Portugal</c:v>
                </c:pt>
                <c:pt idx="15">
                  <c:v>Israel</c:v>
                </c:pt>
                <c:pt idx="16">
                  <c:v>Lithuania</c:v>
                </c:pt>
                <c:pt idx="17">
                  <c:v>French comm. (Belgium)</c:v>
                </c:pt>
                <c:pt idx="18">
                  <c:v>Greece</c:v>
                </c:pt>
                <c:pt idx="19">
                  <c:v>Czech Republic</c:v>
                </c:pt>
                <c:pt idx="20">
                  <c:v>Slovenia</c:v>
                </c:pt>
                <c:pt idx="21">
                  <c:v>Slovak Republic</c:v>
                </c:pt>
                <c:pt idx="22">
                  <c:v>Korea</c:v>
                </c:pt>
                <c:pt idx="23">
                  <c:v>Finland</c:v>
                </c:pt>
                <c:pt idx="24">
                  <c:v>Norway</c:v>
                </c:pt>
                <c:pt idx="25">
                  <c:v>Japan1</c:v>
                </c:pt>
                <c:pt idx="26">
                  <c:v>Turkey</c:v>
                </c:pt>
                <c:pt idx="27">
                  <c:v>Flemish comm. (Belgium)</c:v>
                </c:pt>
                <c:pt idx="28">
                  <c:v>Iceland</c:v>
                </c:pt>
                <c:pt idx="29">
                  <c:v>Poland</c:v>
                </c:pt>
                <c:pt idx="30">
                  <c:v>Denmark</c:v>
                </c:pt>
                <c:pt idx="31">
                  <c:v>OECD average incl. Lithuania</c:v>
                </c:pt>
              </c:strCache>
            </c:strRef>
          </c:cat>
          <c:val>
            <c:numRef>
              <c:f>'Figure D4.3.'!$C$46:$C$76</c:f>
              <c:numCache>
                <c:formatCode>0</c:formatCode>
                <c:ptCount val="31"/>
                <c:pt idx="0">
                  <c:v>1267.2</c:v>
                </c:pt>
                <c:pt idx="1">
                  <c:v>1200</c:v>
                </c:pt>
                <c:pt idx="2">
                  <c:v>1063.5552077238151</c:v>
                </c:pt>
                <c:pt idx="3">
                  <c:v>1020</c:v>
                </c:pt>
                <c:pt idx="4">
                  <c:v>837.90000000000009</c:v>
                </c:pt>
                <c:pt idx="5">
                  <c:v>745.7403076282186</c:v>
                </c:pt>
                <c:pt idx="6">
                  <c:v>719.32343858851857</c:v>
                </c:pt>
                <c:pt idx="7">
                  <c:v>692.55</c:v>
                </c:pt>
                <c:pt idx="8">
                  <c:v>684</c:v>
                </c:pt>
                <c:pt idx="9">
                  <c:v>656.77700615619938</c:v>
                </c:pt>
                <c:pt idx="10">
                  <c:v>651.6</c:v>
                </c:pt>
                <c:pt idx="11">
                  <c:v>646</c:v>
                </c:pt>
                <c:pt idx="12">
                  <c:v>634.81670077934746</c:v>
                </c:pt>
                <c:pt idx="13">
                  <c:v>626.4</c:v>
                </c:pt>
                <c:pt idx="14">
                  <c:v>616</c:v>
                </c:pt>
                <c:pt idx="15">
                  <c:v>609.74471713184903</c:v>
                </c:pt>
                <c:pt idx="16">
                  <c:v>603</c:v>
                </c:pt>
                <c:pt idx="17">
                  <c:v>596.07000000000005</c:v>
                </c:pt>
                <c:pt idx="18">
                  <c:v>593.91750000000002</c:v>
                </c:pt>
                <c:pt idx="19">
                  <c:v>589.04999999999995</c:v>
                </c:pt>
                <c:pt idx="20">
                  <c:v>570</c:v>
                </c:pt>
                <c:pt idx="21">
                  <c:v>567</c:v>
                </c:pt>
                <c:pt idx="22">
                  <c:v>550.72526320890734</c:v>
                </c:pt>
                <c:pt idx="23">
                  <c:v>547.16200000000003</c:v>
                </c:pt>
                <c:pt idx="24">
                  <c:v>522.5</c:v>
                </c:pt>
                <c:pt idx="25">
                  <c:v>510.75700000000001</c:v>
                </c:pt>
                <c:pt idx="26">
                  <c:v>503.99999999999994</c:v>
                </c:pt>
                <c:pt idx="27">
                  <c:v>497.77777777777777</c:v>
                </c:pt>
                <c:pt idx="28">
                  <c:v>485.39325842696627</c:v>
                </c:pt>
                <c:pt idx="29">
                  <c:v>472.50000000000006</c:v>
                </c:pt>
                <c:pt idx="30">
                  <c:v>405</c:v>
                </c:pt>
              </c:numCache>
            </c:numRef>
          </c:val>
          <c:extLst>
            <c:ext xmlns:c16="http://schemas.microsoft.com/office/drawing/2014/chart" uri="{C3380CC4-5D6E-409C-BE32-E72D297353CC}">
              <c16:uniqueId val="{00000000-6F50-4ED2-BA7E-1246DA8CA40A}"/>
            </c:ext>
          </c:extLst>
        </c:ser>
        <c:dLbls>
          <c:showLegendKey val="0"/>
          <c:showVal val="0"/>
          <c:showCatName val="0"/>
          <c:showSerName val="0"/>
          <c:showPercent val="0"/>
          <c:showBubbleSize val="0"/>
        </c:dLbls>
        <c:gapWidth val="150"/>
        <c:axId val="454513792"/>
        <c:axId val="454515712"/>
      </c:barChart>
      <c:lineChart>
        <c:grouping val="standard"/>
        <c:varyColors val="0"/>
        <c:ser>
          <c:idx val="2"/>
          <c:order val="0"/>
          <c:tx>
            <c:strRef>
              <c:f>'Figure D4.3.'!$B$45</c:f>
              <c:strCache>
                <c:ptCount val="1"/>
                <c:pt idx="0">
                  <c:v>Upper secondary, vocational programmes</c:v>
                </c:pt>
              </c:strCache>
            </c:strRef>
          </c:tx>
          <c:spPr>
            <a:ln w="28575">
              <a:noFill/>
            </a:ln>
          </c:spPr>
          <c:marker>
            <c:symbol val="diamond"/>
            <c:size val="7"/>
            <c:spPr>
              <a:solidFill>
                <a:srgbClr val="FFFFFF"/>
              </a:solidFill>
              <a:ln>
                <a:solidFill>
                  <a:srgbClr val="000000"/>
                </a:solidFill>
                <a:prstDash val="solid"/>
              </a:ln>
            </c:spPr>
          </c:marker>
          <c:cat>
            <c:strRef>
              <c:f>'Figure D4.3.'!$A$46:$A$77</c:f>
              <c:strCache>
                <c:ptCount val="32"/>
                <c:pt idx="0">
                  <c:v>Costa Rica</c:v>
                </c:pt>
                <c:pt idx="1">
                  <c:v>Colombia</c:v>
                </c:pt>
                <c:pt idx="2">
                  <c:v>Chile</c:v>
                </c:pt>
                <c:pt idx="3">
                  <c:v>Latvia</c:v>
                </c:pt>
                <c:pt idx="4">
                  <c:v>Mexico</c:v>
                </c:pt>
                <c:pt idx="5">
                  <c:v>Canada</c:v>
                </c:pt>
                <c:pt idx="6">
                  <c:v>Germany</c:v>
                </c:pt>
                <c:pt idx="7">
                  <c:v>Spain</c:v>
                </c:pt>
                <c:pt idx="8">
                  <c:v>France</c:v>
                </c:pt>
                <c:pt idx="9">
                  <c:v>OECD average</c:v>
                </c:pt>
                <c:pt idx="10">
                  <c:v>Hungary</c:v>
                </c:pt>
                <c:pt idx="11">
                  <c:v>Switzerland</c:v>
                </c:pt>
                <c:pt idx="12">
                  <c:v>EU22 average</c:v>
                </c:pt>
                <c:pt idx="13">
                  <c:v>Italy</c:v>
                </c:pt>
                <c:pt idx="14">
                  <c:v>Portugal</c:v>
                </c:pt>
                <c:pt idx="15">
                  <c:v>Israel</c:v>
                </c:pt>
                <c:pt idx="16">
                  <c:v>Lithuania</c:v>
                </c:pt>
                <c:pt idx="17">
                  <c:v>French comm. (Belgium)</c:v>
                </c:pt>
                <c:pt idx="18">
                  <c:v>Greece</c:v>
                </c:pt>
                <c:pt idx="19">
                  <c:v>Czech Republic</c:v>
                </c:pt>
                <c:pt idx="20">
                  <c:v>Slovenia</c:v>
                </c:pt>
                <c:pt idx="21">
                  <c:v>Slovak Republic</c:v>
                </c:pt>
                <c:pt idx="22">
                  <c:v>Korea</c:v>
                </c:pt>
                <c:pt idx="23">
                  <c:v>Finland</c:v>
                </c:pt>
                <c:pt idx="24">
                  <c:v>Norway</c:v>
                </c:pt>
                <c:pt idx="25">
                  <c:v>Japan1</c:v>
                </c:pt>
                <c:pt idx="26">
                  <c:v>Turkey</c:v>
                </c:pt>
                <c:pt idx="27">
                  <c:v>Flemish comm. (Belgium)</c:v>
                </c:pt>
                <c:pt idx="28">
                  <c:v>Iceland</c:v>
                </c:pt>
                <c:pt idx="29">
                  <c:v>Poland</c:v>
                </c:pt>
                <c:pt idx="30">
                  <c:v>Denmark</c:v>
                </c:pt>
                <c:pt idx="31">
                  <c:v>OECD average incl. Lithuania</c:v>
                </c:pt>
              </c:strCache>
            </c:strRef>
          </c:cat>
          <c:val>
            <c:numRef>
              <c:f>'Figure D4.3.'!$B$46:$B$76</c:f>
              <c:numCache>
                <c:formatCode>0</c:formatCode>
                <c:ptCount val="31"/>
                <c:pt idx="0">
                  <c:v>1267.2</c:v>
                </c:pt>
                <c:pt idx="1">
                  <c:v>1200</c:v>
                </c:pt>
                <c:pt idx="2">
                  <c:v>1063.5552077238151</c:v>
                </c:pt>
                <c:pt idx="3">
                  <c:v>1290</c:v>
                </c:pt>
                <c:pt idx="4">
                  <c:v>684</c:v>
                </c:pt>
                <c:pt idx="5">
                  <c:v>635</c:v>
                </c:pt>
                <c:pt idx="6">
                  <c:v>726.19090025883133</c:v>
                </c:pt>
                <c:pt idx="7">
                  <c:v>692.55</c:v>
                </c:pt>
                <c:pt idx="8">
                  <c:v>684</c:v>
                </c:pt>
                <c:pt idx="9">
                  <c:v>655.81928035691465</c:v>
                </c:pt>
                <c:pt idx="10">
                  <c:v>651.6</c:v>
                </c:pt>
                <c:pt idx="11">
                  <c:v>741</c:v>
                </c:pt>
                <c:pt idx="12">
                  <c:v>669.71860371988055</c:v>
                </c:pt>
                <c:pt idx="13">
                  <c:v>626.4</c:v>
                </c:pt>
                <c:pt idx="14">
                  <c:v>616</c:v>
                </c:pt>
                <c:pt idx="15">
                  <c:v>609.74471713184903</c:v>
                </c:pt>
                <c:pt idx="16">
                  <c:v>740</c:v>
                </c:pt>
                <c:pt idx="17">
                  <c:v>596.07000000000005</c:v>
                </c:pt>
                <c:pt idx="18">
                  <c:v>593.91750000000002</c:v>
                </c:pt>
                <c:pt idx="19">
                  <c:v>589.04999999999995</c:v>
                </c:pt>
                <c:pt idx="20">
                  <c:v>570</c:v>
                </c:pt>
                <c:pt idx="21">
                  <c:v>604.80000000000007</c:v>
                </c:pt>
                <c:pt idx="22">
                  <c:v>557.01141078838168</c:v>
                </c:pt>
                <c:pt idx="23">
                  <c:v>688.16000000000008</c:v>
                </c:pt>
                <c:pt idx="24">
                  <c:v>522.5</c:v>
                </c:pt>
                <c:pt idx="25">
                  <c:v>510.75700000000001</c:v>
                </c:pt>
                <c:pt idx="26">
                  <c:v>503.99999999999994</c:v>
                </c:pt>
                <c:pt idx="27">
                  <c:v>699.25925925925924</c:v>
                </c:pt>
                <c:pt idx="28">
                  <c:v>508.23529411764707</c:v>
                </c:pt>
                <c:pt idx="29">
                  <c:v>472.50000000000006</c:v>
                </c:pt>
                <c:pt idx="30">
                  <c:v>615</c:v>
                </c:pt>
              </c:numCache>
            </c:numRef>
          </c:val>
          <c:smooth val="0"/>
          <c:extLst>
            <c:ext xmlns:c16="http://schemas.microsoft.com/office/drawing/2014/chart" uri="{C3380CC4-5D6E-409C-BE32-E72D297353CC}">
              <c16:uniqueId val="{00000001-6F50-4ED2-BA7E-1246DA8CA40A}"/>
            </c:ext>
          </c:extLst>
        </c:ser>
        <c:dLbls>
          <c:showLegendKey val="0"/>
          <c:showVal val="0"/>
          <c:showCatName val="0"/>
          <c:showSerName val="0"/>
          <c:showPercent val="0"/>
          <c:showBubbleSize val="0"/>
        </c:dLbls>
        <c:marker val="1"/>
        <c:smooth val="0"/>
        <c:axId val="454513792"/>
        <c:axId val="454515712"/>
      </c:lineChart>
      <c:catAx>
        <c:axId val="454513792"/>
        <c:scaling>
          <c:orientation val="minMax"/>
        </c:scaling>
        <c:delete val="0"/>
        <c:axPos val="b"/>
        <c:majorGridlines>
          <c:spPr>
            <a:ln w="9525" cmpd="sng">
              <a:solidFill>
                <a:srgbClr val="FFFFFF"/>
              </a:solidFill>
              <a:prstDash val="solid"/>
            </a:ln>
          </c:spPr>
        </c:majorGridlines>
        <c:numFmt formatCode="General" sourceLinked="0"/>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2700000" vert="horz"/>
          <a:lstStyle/>
          <a:p>
            <a:pPr>
              <a:defRPr sz="750" b="0" i="0" u="none" strike="noStrike" baseline="0">
                <a:solidFill>
                  <a:srgbClr val="000000"/>
                </a:solidFill>
                <a:latin typeface="Arial Narrow"/>
                <a:ea typeface="Arial Narrow"/>
                <a:cs typeface="Arial Narrow"/>
              </a:defRPr>
            </a:pPr>
            <a:endParaRPr lang="en-US"/>
          </a:p>
        </c:txPr>
        <c:crossAx val="454515712"/>
        <c:crosses val="autoZero"/>
        <c:auto val="1"/>
        <c:lblAlgn val="ctr"/>
        <c:lblOffset val="0"/>
        <c:tickLblSkip val="1"/>
        <c:tickMarkSkip val="1"/>
        <c:noMultiLvlLbl val="0"/>
      </c:catAx>
      <c:valAx>
        <c:axId val="454515712"/>
        <c:scaling>
          <c:orientation val="minMax"/>
          <c:max val="1400"/>
        </c:scaling>
        <c:delete val="0"/>
        <c:axPos val="l"/>
        <c:majorGridlines>
          <c:spPr>
            <a:ln w="9525" cmpd="sng">
              <a:solidFill>
                <a:srgbClr val="FFFFFF"/>
              </a:solidFill>
              <a:prstDash val="solid"/>
            </a:ln>
          </c:spPr>
        </c:majorGridlines>
        <c:title>
          <c:tx>
            <c:rich>
              <a:bodyPr rot="0" vert="horz"/>
              <a:lstStyle/>
              <a:p>
                <a:pPr algn="ctr">
                  <a:defRPr sz="750" b="0" i="1" u="none" strike="noStrike" baseline="0">
                    <a:solidFill>
                      <a:srgbClr val="000000"/>
                    </a:solidFill>
                    <a:latin typeface="Arial Narrow"/>
                    <a:ea typeface="Arial"/>
                    <a:cs typeface="Arial"/>
                  </a:defRPr>
                </a:pPr>
                <a:r>
                  <a:rPr lang="en-GB" sz="750" b="0" i="1">
                    <a:solidFill>
                      <a:srgbClr val="000000"/>
                    </a:solidFill>
                    <a:latin typeface="Arial Narrow"/>
                  </a:rPr>
                  <a:t>Hours per year</a:t>
                </a:r>
              </a:p>
            </c:rich>
          </c:tx>
          <c:layout>
            <c:manualLayout>
              <c:xMode val="edge"/>
              <c:yMode val="edge"/>
              <c:x val="2.2147812075014573E-3"/>
              <c:y val="9.4158132194260044E-2"/>
            </c:manualLayout>
          </c:layout>
          <c:overlay val="0"/>
        </c:title>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0" vert="horz"/>
          <a:lstStyle/>
          <a:p>
            <a:pPr>
              <a:defRPr sz="750" b="0" i="0" u="none" strike="noStrike" baseline="0">
                <a:solidFill>
                  <a:srgbClr val="000000"/>
                </a:solidFill>
                <a:latin typeface="Arial Narrow"/>
                <a:ea typeface="Arial Narrow"/>
                <a:cs typeface="Arial Narrow"/>
              </a:defRPr>
            </a:pPr>
            <a:endParaRPr lang="en-US"/>
          </a:p>
        </c:txPr>
        <c:crossAx val="454513792"/>
        <c:crosses val="autoZero"/>
        <c:crossBetween val="between"/>
        <c:majorUnit val="200"/>
      </c:valAx>
      <c:spPr>
        <a:solidFill>
          <a:srgbClr val="F4FFFF"/>
        </a:solidFill>
        <a:ln w="9525">
          <a:solidFill>
            <a:srgbClr val="000000"/>
          </a:solidFill>
          <a:prstDash val="solid"/>
        </a:ln>
      </c:spPr>
    </c:plotArea>
    <c:legend>
      <c:legendPos val="t"/>
      <c:legendEntry>
        <c:idx val="0"/>
        <c:txPr>
          <a:bodyPr/>
          <a:lstStyle/>
          <a:p>
            <a:pPr>
              <a:defRPr sz="750" b="0" i="0" u="none" strike="noStrike" baseline="0">
                <a:solidFill>
                  <a:srgbClr val="000000"/>
                </a:solidFill>
                <a:latin typeface="Arial Narrow"/>
                <a:ea typeface="Arial Narrow"/>
                <a:cs typeface="Arial Narrow"/>
              </a:defRPr>
            </a:pPr>
            <a:endParaRPr lang="en-US"/>
          </a:p>
        </c:txPr>
      </c:legendEntry>
      <c:legendEntry>
        <c:idx val="1"/>
        <c:txPr>
          <a:bodyPr/>
          <a:lstStyle/>
          <a:p>
            <a:pPr>
              <a:defRPr sz="750" b="0" i="0" u="none" strike="noStrike" baseline="0">
                <a:solidFill>
                  <a:srgbClr val="000000"/>
                </a:solidFill>
                <a:latin typeface="Arial Narrow"/>
                <a:ea typeface="Arial Narrow"/>
                <a:cs typeface="Arial Narrow"/>
              </a:defRPr>
            </a:pPr>
            <a:endParaRPr lang="en-US"/>
          </a:p>
        </c:txPr>
      </c:legendEntry>
      <c:layout>
        <c:manualLayout>
          <c:xMode val="edge"/>
          <c:yMode val="edge"/>
          <c:x val="5.1064763493823072E-2"/>
          <c:y val="1.1619462599854757E-2"/>
          <c:w val="0.93510774868671176"/>
          <c:h val="4.357298474945534E-2"/>
        </c:manualLayout>
      </c:layout>
      <c:overlay val="1"/>
      <c:spPr>
        <a:solidFill>
          <a:sysClr val="window" lastClr="FFFFFF"/>
        </a:solidFill>
        <a:ln w="3175">
          <a:noFill/>
          <a:prstDash val="solid"/>
          <a:round/>
        </a:ln>
        <a:effectLst/>
        <a:extLst>
          <a:ext uri="{91240B29-F687-4F45-9708-019B960494DF}">
            <a14:hiddenLine xmlns:a14="http://schemas.microsoft.com/office/drawing/2010/main" w="3175">
              <a:solidFill>
                <a:srgbClr val="000000"/>
              </a:solidFill>
              <a:prstDash val="solid"/>
              <a:round/>
            </a14:hiddenLine>
          </a:ext>
        </a:extLst>
      </c:spPr>
      <c:txPr>
        <a:bodyPr/>
        <a:lstStyle/>
        <a:p>
          <a:pPr>
            <a:defRPr sz="750" b="0" i="0" u="none" strike="noStrike" baseline="0">
              <a:solidFill>
                <a:srgbClr val="000000"/>
              </a:solidFill>
              <a:latin typeface="Arial Narrow"/>
              <a:ea typeface="Arial Narrow"/>
              <a:cs typeface="Arial Narrow"/>
            </a:defRPr>
          </a:pPr>
          <a:endParaRPr lang="en-US"/>
        </a:p>
      </c:txPr>
    </c:legend>
    <c:plotVisOnly val="1"/>
    <c:dispBlanksAs val="gap"/>
    <c:showDLblsOverMax val="1"/>
  </c:chart>
  <c:spPr>
    <a:noFill/>
    <a:ln w="9525">
      <a:noFill/>
    </a:ln>
    <a:extLst>
      <a:ext uri="{909E8E84-426E-40DD-AFC4-6F175D3DCCD1}">
        <a14:hiddenFill xmlns:a14="http://schemas.microsoft.com/office/drawing/2010/main">
          <a:solidFill>
            <a:srgbClr val="FFFFFF"/>
          </a:solidFill>
        </a14:hiddenFill>
      </a:ext>
    </a:extLst>
  </c:spPr>
  <c:txPr>
    <a:bodyPr/>
    <a:lstStyle/>
    <a:p>
      <a:pPr>
        <a:defRPr sz="1200" b="0" i="0" u="none" strike="noStrike" baseline="0">
          <a:solidFill>
            <a:srgbClr val="000000"/>
          </a:solidFill>
          <a:latin typeface="Arial"/>
          <a:ea typeface="Arial"/>
          <a:cs typeface="Arial"/>
        </a:defRPr>
      </a:pPr>
      <a:endParaRPr lang="en-US"/>
    </a:p>
  </c:txPr>
  <c:printSettings>
    <c:headerFooter alignWithMargins="0"/>
    <c:pageMargins b="0.750000000000001" l="0.25" r="0.25" t="0.750000000000001" header="0.3" footer="0.3"/>
    <c:pageSetup orientation="portrait"/>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712569446169386E-2"/>
          <c:y val="7.4188821807975827E-2"/>
          <c:w val="0.88193232155128876"/>
          <c:h val="0.82376411959867313"/>
        </c:manualLayout>
      </c:layout>
      <c:scatterChart>
        <c:scatterStyle val="lineMarker"/>
        <c:varyColors val="0"/>
        <c:ser>
          <c:idx val="8"/>
          <c:order val="0"/>
          <c:spPr>
            <a:ln w="28575">
              <a:noFill/>
            </a:ln>
          </c:spPr>
          <c:marker>
            <c:symbol val="diamond"/>
            <c:size val="5"/>
            <c:spPr>
              <a:solidFill>
                <a:srgbClr val="4F81BD"/>
              </a:solidFill>
              <a:ln>
                <a:solidFill>
                  <a:srgbClr val="4F81BD"/>
                </a:solidFill>
                <a:prstDash val="solid"/>
              </a:ln>
            </c:spPr>
          </c:marker>
          <c:dLbls>
            <c:dLbl>
              <c:idx val="0"/>
              <c:layout>
                <c:manualLayout>
                  <c:x val="-7.5346313928332187E-2"/>
                  <c:y val="3.4187874765078605E-2"/>
                </c:manualLayout>
              </c:layout>
              <c:tx>
                <c:rich>
                  <a:bodyPr/>
                  <a:lstStyle/>
                  <a:p>
                    <a:pPr>
                      <a:defRPr sz="750" b="0" i="0">
                        <a:solidFill>
                          <a:srgbClr val="000000"/>
                        </a:solidFill>
                        <a:latin typeface="Arial Narrow"/>
                      </a:defRPr>
                    </a:pPr>
                    <a:r>
                      <a:rPr lang="en-US" sz="750" b="0" i="0">
                        <a:solidFill>
                          <a:srgbClr val="000000"/>
                        </a:solidFill>
                        <a:latin typeface="Arial Narrow"/>
                      </a:rPr>
                      <a:t>Poland</a:t>
                    </a:r>
                  </a:p>
                </c:rich>
              </c:tx>
              <c:spPr/>
              <c:dLblPos val="r"/>
              <c:showLegendKey val="0"/>
              <c:showVal val="0"/>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FED9-4141-B71E-D2492DD7B959}"/>
                </c:ext>
              </c:extLst>
            </c:dLbl>
            <c:dLbl>
              <c:idx val="1"/>
              <c:layout>
                <c:manualLayout>
                  <c:x val="-2.4788470478847049E-2"/>
                  <c:y val="3.4187874765078605E-2"/>
                </c:manualLayout>
              </c:layout>
              <c:tx>
                <c:rich>
                  <a:bodyPr/>
                  <a:lstStyle/>
                  <a:p>
                    <a:pPr>
                      <a:defRPr sz="750" b="0" i="0">
                        <a:solidFill>
                          <a:srgbClr val="000000"/>
                        </a:solidFill>
                        <a:latin typeface="Arial Narrow"/>
                      </a:defRPr>
                    </a:pPr>
                    <a:r>
                      <a:rPr lang="en-US" sz="750" b="0" i="0">
                        <a:solidFill>
                          <a:srgbClr val="000000"/>
                        </a:solidFill>
                        <a:latin typeface="Arial Narrow"/>
                      </a:rPr>
                      <a:t>Turkey</a:t>
                    </a:r>
                  </a:p>
                </c:rich>
              </c:tx>
              <c:spPr/>
              <c:dLblPos val="r"/>
              <c:showLegendKey val="0"/>
              <c:showVal val="0"/>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FED9-4141-B71E-D2492DD7B959}"/>
                </c:ext>
              </c:extLst>
            </c:dLbl>
            <c:dLbl>
              <c:idx val="2"/>
              <c:layout>
                <c:manualLayout>
                  <c:x val="-6.9474662947466306E-2"/>
                  <c:y val="-9.805345322795922E-3"/>
                </c:manualLayout>
              </c:layout>
              <c:tx>
                <c:rich>
                  <a:bodyPr/>
                  <a:lstStyle/>
                  <a:p>
                    <a:pPr>
                      <a:defRPr sz="750" b="0" i="0">
                        <a:solidFill>
                          <a:srgbClr val="000000"/>
                        </a:solidFill>
                        <a:latin typeface="Arial Narrow"/>
                      </a:defRPr>
                    </a:pPr>
                    <a:r>
                      <a:rPr lang="en-US" sz="750" b="0" i="0">
                        <a:solidFill>
                          <a:srgbClr val="000000"/>
                        </a:solidFill>
                        <a:latin typeface="Arial Narrow"/>
                      </a:rPr>
                      <a:t>Korea</a:t>
                    </a:r>
                  </a:p>
                </c:rich>
              </c:tx>
              <c:spPr/>
              <c:dLblPos val="r"/>
              <c:showLegendKey val="0"/>
              <c:showVal val="0"/>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FED9-4141-B71E-D2492DD7B959}"/>
                </c:ext>
              </c:extLst>
            </c:dLbl>
            <c:dLbl>
              <c:idx val="3"/>
              <c:layout>
                <c:manualLayout>
                  <c:x val="-8.4388656438865645E-2"/>
                  <c:y val="-6.4212514698824977E-3"/>
                </c:manualLayout>
              </c:layout>
              <c:tx>
                <c:rich>
                  <a:bodyPr/>
                  <a:lstStyle/>
                  <a:p>
                    <a:pPr>
                      <a:defRPr sz="750" b="0" i="0">
                        <a:solidFill>
                          <a:srgbClr val="000000"/>
                        </a:solidFill>
                        <a:latin typeface="Arial Narrow"/>
                      </a:defRPr>
                    </a:pPr>
                    <a:r>
                      <a:rPr lang="en-US" sz="750" b="0" i="0">
                        <a:solidFill>
                          <a:srgbClr val="000000"/>
                        </a:solidFill>
                        <a:latin typeface="Arial Narrow"/>
                      </a:rPr>
                      <a:t>Estonia</a:t>
                    </a:r>
                  </a:p>
                </c:rich>
              </c:tx>
              <c:spPr/>
              <c:dLblPos val="r"/>
              <c:showLegendKey val="0"/>
              <c:showVal val="0"/>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FED9-4141-B71E-D2492DD7B959}"/>
                </c:ext>
              </c:extLst>
            </c:dLbl>
            <c:dLbl>
              <c:idx val="4"/>
              <c:layout>
                <c:manualLayout>
                  <c:x val="-7.6122806824879111E-2"/>
                  <c:y val="1.7267405500511479E-2"/>
                </c:manualLayout>
              </c:layout>
              <c:tx>
                <c:rich>
                  <a:bodyPr/>
                  <a:lstStyle/>
                  <a:p>
                    <a:pPr>
                      <a:defRPr sz="750" b="0" i="0">
                        <a:solidFill>
                          <a:srgbClr val="000000"/>
                        </a:solidFill>
                        <a:latin typeface="Arial Narrow"/>
                      </a:defRPr>
                    </a:pPr>
                    <a:r>
                      <a:rPr lang="en-US" sz="750" b="0" i="0">
                        <a:solidFill>
                          <a:srgbClr val="000000"/>
                        </a:solidFill>
                        <a:latin typeface="Arial Narrow"/>
                      </a:rPr>
                      <a:t>Austria</a:t>
                    </a:r>
                  </a:p>
                </c:rich>
              </c:tx>
              <c:spPr/>
              <c:dLblPos val="r"/>
              <c:showLegendKey val="0"/>
              <c:showVal val="0"/>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FED9-4141-B71E-D2492DD7B959}"/>
                </c:ext>
              </c:extLst>
            </c:dLbl>
            <c:dLbl>
              <c:idx val="5"/>
              <c:layout>
                <c:manualLayout>
                  <c:x val="-5.8902909102889332E-2"/>
                  <c:y val="3.080378091216518E-2"/>
                </c:manualLayout>
              </c:layout>
              <c:tx>
                <c:rich>
                  <a:bodyPr/>
                  <a:lstStyle/>
                  <a:p>
                    <a:pPr>
                      <a:defRPr sz="750" b="0" i="0">
                        <a:solidFill>
                          <a:srgbClr val="000000"/>
                        </a:solidFill>
                        <a:latin typeface="Arial Narrow"/>
                      </a:defRPr>
                    </a:pPr>
                    <a:r>
                      <a:rPr lang="en-US" sz="750" b="0" i="0">
                        <a:solidFill>
                          <a:srgbClr val="000000"/>
                        </a:solidFill>
                        <a:latin typeface="Arial Narrow"/>
                      </a:rPr>
                      <a:t>Japan1</a:t>
                    </a:r>
                  </a:p>
                </c:rich>
              </c:tx>
              <c:spPr/>
              <c:dLblPos val="r"/>
              <c:showLegendKey val="0"/>
              <c:showVal val="0"/>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FED9-4141-B71E-D2492DD7B959}"/>
                </c:ext>
              </c:extLst>
            </c:dLbl>
            <c:dLbl>
              <c:idx val="6"/>
              <c:layout>
                <c:manualLayout>
                  <c:x val="1.6280579990262722E-2"/>
                  <c:y val="0.14586297191122163"/>
                </c:manualLayout>
              </c:layout>
              <c:tx>
                <c:rich>
                  <a:bodyPr/>
                  <a:lstStyle/>
                  <a:p>
                    <a:pPr>
                      <a:defRPr sz="750" b="0" i="0">
                        <a:solidFill>
                          <a:srgbClr val="000000"/>
                        </a:solidFill>
                        <a:latin typeface="Arial Narrow"/>
                      </a:defRPr>
                    </a:pPr>
                    <a:r>
                      <a:rPr lang="en-US" sz="750" b="0" i="0">
                        <a:solidFill>
                          <a:srgbClr val="000000"/>
                        </a:solidFill>
                        <a:latin typeface="Arial Narrow"/>
                      </a:rPr>
                      <a:t>Lithuania</a:t>
                    </a:r>
                  </a:p>
                </c:rich>
              </c:tx>
              <c:spPr/>
              <c:dLblPos val="r"/>
              <c:showLegendKey val="0"/>
              <c:showVal val="0"/>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6-FED9-4141-B71E-D2492DD7B959}"/>
                </c:ext>
              </c:extLst>
            </c:dLbl>
            <c:dLbl>
              <c:idx val="7"/>
              <c:layout>
                <c:manualLayout>
                  <c:x val="-0.19710839492343793"/>
                  <c:y val="-0.10794406705728525"/>
                </c:manualLayout>
              </c:layout>
              <c:tx>
                <c:rich>
                  <a:bodyPr/>
                  <a:lstStyle/>
                  <a:p>
                    <a:pPr>
                      <a:defRPr sz="750" b="0" i="0">
                        <a:solidFill>
                          <a:srgbClr val="000000"/>
                        </a:solidFill>
                        <a:latin typeface="Arial Narrow"/>
                      </a:defRPr>
                    </a:pPr>
                    <a:r>
                      <a:rPr lang="en-US" sz="750" b="0" i="0">
                        <a:solidFill>
                          <a:srgbClr val="000000"/>
                        </a:solidFill>
                        <a:latin typeface="Arial Narrow"/>
                      </a:rPr>
                      <a:t>Czech Republic</a:t>
                    </a:r>
                  </a:p>
                </c:rich>
              </c:tx>
              <c:spPr/>
              <c:dLblPos val="r"/>
              <c:showLegendKey val="0"/>
              <c:showVal val="0"/>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7-FED9-4141-B71E-D2492DD7B959}"/>
                </c:ext>
              </c:extLst>
            </c:dLbl>
            <c:dLbl>
              <c:idx val="8"/>
              <c:layout>
                <c:manualLayout>
                  <c:x val="-2.8191538819153848E-2"/>
                  <c:y val="0.1695516288816156"/>
                </c:manualLayout>
              </c:layout>
              <c:tx>
                <c:rich>
                  <a:bodyPr/>
                  <a:lstStyle/>
                  <a:p>
                    <a:pPr>
                      <a:defRPr sz="750" b="0" i="0">
                        <a:solidFill>
                          <a:srgbClr val="000000"/>
                        </a:solidFill>
                        <a:latin typeface="Arial Narrow"/>
                      </a:defRPr>
                    </a:pPr>
                    <a:r>
                      <a:rPr lang="en-US" sz="750" b="0" i="0">
                        <a:solidFill>
                          <a:srgbClr val="000000"/>
                        </a:solidFill>
                        <a:latin typeface="Arial Narrow"/>
                      </a:rPr>
                      <a:t>Iceland</a:t>
                    </a:r>
                  </a:p>
                </c:rich>
              </c:tx>
              <c:spPr/>
              <c:dLblPos val="r"/>
              <c:showLegendKey val="0"/>
              <c:showVal val="0"/>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8-FED9-4141-B71E-D2492DD7B959}"/>
                </c:ext>
              </c:extLst>
            </c:dLbl>
            <c:dLbl>
              <c:idx val="9"/>
              <c:layout>
                <c:manualLayout>
                  <c:x val="-0.10908414690841466"/>
                  <c:y val="-0.12148044246893895"/>
                </c:manualLayout>
              </c:layout>
              <c:tx>
                <c:rich>
                  <a:bodyPr/>
                  <a:lstStyle/>
                  <a:p>
                    <a:pPr>
                      <a:defRPr sz="750" b="0" i="0">
                        <a:solidFill>
                          <a:srgbClr val="000000"/>
                        </a:solidFill>
                        <a:latin typeface="Arial Narrow"/>
                      </a:defRPr>
                    </a:pPr>
                    <a:r>
                      <a:rPr lang="en-US" sz="750" b="0" i="0">
                        <a:solidFill>
                          <a:srgbClr val="000000"/>
                        </a:solidFill>
                        <a:latin typeface="Arial Narrow"/>
                      </a:rPr>
                      <a:t>Portugal</a:t>
                    </a:r>
                  </a:p>
                </c:rich>
              </c:tx>
              <c:spPr/>
              <c:dLblPos val="r"/>
              <c:showLegendKey val="0"/>
              <c:showVal val="0"/>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9-FED9-4141-B71E-D2492DD7B959}"/>
                </c:ext>
              </c:extLst>
            </c:dLbl>
            <c:dLbl>
              <c:idx val="10"/>
              <c:layout>
                <c:manualLayout>
                  <c:x val="-0.14343564794986396"/>
                  <c:y val="-0.18577822567429408"/>
                </c:manualLayout>
              </c:layout>
              <c:tx>
                <c:rich>
                  <a:bodyPr/>
                  <a:lstStyle/>
                  <a:p>
                    <a:pPr>
                      <a:defRPr sz="750" b="0" i="0">
                        <a:solidFill>
                          <a:srgbClr val="000000"/>
                        </a:solidFill>
                        <a:latin typeface="Arial Narrow"/>
                      </a:defRPr>
                    </a:pPr>
                    <a:r>
                      <a:rPr lang="en-US" sz="750" b="0" i="0">
                        <a:solidFill>
                          <a:srgbClr val="000000"/>
                        </a:solidFill>
                        <a:latin typeface="Arial Narrow"/>
                      </a:rPr>
                      <a:t>Slovak Republic</a:t>
                    </a:r>
                  </a:p>
                </c:rich>
              </c:tx>
              <c:spPr/>
              <c:dLblPos val="r"/>
              <c:showLegendKey val="0"/>
              <c:showVal val="0"/>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A-FED9-4141-B71E-D2492DD7B959}"/>
                </c:ext>
              </c:extLst>
            </c:dLbl>
            <c:dLbl>
              <c:idx val="11"/>
              <c:layout>
                <c:manualLayout>
                  <c:x val="7.8805170274217809E-2"/>
                  <c:y val="0.19324028585200959"/>
                </c:manualLayout>
              </c:layout>
              <c:tx>
                <c:rich>
                  <a:bodyPr/>
                  <a:lstStyle/>
                  <a:p>
                    <a:pPr>
                      <a:defRPr sz="750" b="0" i="0">
                        <a:solidFill>
                          <a:srgbClr val="000000"/>
                        </a:solidFill>
                        <a:latin typeface="Arial Narrow"/>
                      </a:defRPr>
                    </a:pPr>
                    <a:r>
                      <a:rPr lang="en-US" sz="750" b="0" i="0">
                        <a:solidFill>
                          <a:srgbClr val="000000"/>
                        </a:solidFill>
                        <a:latin typeface="Arial Narrow"/>
                      </a:rPr>
                      <a:t>Hungary</a:t>
                    </a:r>
                  </a:p>
                </c:rich>
              </c:tx>
              <c:spPr/>
              <c:dLblPos val="r"/>
              <c:showLegendKey val="0"/>
              <c:showVal val="0"/>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B-FED9-4141-B71E-D2492DD7B959}"/>
                </c:ext>
              </c:extLst>
            </c:dLbl>
            <c:dLbl>
              <c:idx val="12"/>
              <c:layout>
                <c:manualLayout>
                  <c:x val="8.4909344490934374E-2"/>
                  <c:y val="0.12894250264665449"/>
                </c:manualLayout>
              </c:layout>
              <c:tx>
                <c:rich>
                  <a:bodyPr/>
                  <a:lstStyle/>
                  <a:p>
                    <a:pPr>
                      <a:defRPr sz="750" b="0" i="0">
                        <a:solidFill>
                          <a:srgbClr val="000000"/>
                        </a:solidFill>
                        <a:latin typeface="Arial Narrow"/>
                      </a:defRPr>
                    </a:pPr>
                    <a:r>
                      <a:rPr lang="en-US" sz="750" b="0" i="0">
                        <a:solidFill>
                          <a:srgbClr val="000000"/>
                        </a:solidFill>
                        <a:latin typeface="Arial Narrow"/>
                      </a:rPr>
                      <a:t>Norway</a:t>
                    </a:r>
                  </a:p>
                </c:rich>
              </c:tx>
              <c:spPr/>
              <c:dLblPos val="r"/>
              <c:showLegendKey val="0"/>
              <c:showVal val="0"/>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C-FED9-4141-B71E-D2492DD7B959}"/>
                </c:ext>
              </c:extLst>
            </c:dLbl>
            <c:dLbl>
              <c:idx val="13"/>
              <c:layout>
                <c:manualLayout>
                  <c:x val="6.4779099265311502E-2"/>
                  <c:y val="5.7876531735472581E-2"/>
                </c:manualLayout>
              </c:layout>
              <c:tx>
                <c:rich>
                  <a:bodyPr/>
                  <a:lstStyle/>
                  <a:p>
                    <a:pPr>
                      <a:defRPr sz="750" b="0" i="0">
                        <a:solidFill>
                          <a:srgbClr val="000000"/>
                        </a:solidFill>
                        <a:latin typeface="Arial Narrow"/>
                      </a:defRPr>
                    </a:pPr>
                    <a:r>
                      <a:rPr lang="en-US" sz="750" b="0" i="0">
                        <a:solidFill>
                          <a:srgbClr val="000000"/>
                        </a:solidFill>
                        <a:latin typeface="Arial Narrow"/>
                      </a:rPr>
                      <a:t>France</a:t>
                    </a:r>
                  </a:p>
                </c:rich>
              </c:tx>
              <c:spPr/>
              <c:dLblPos val="r"/>
              <c:showLegendKey val="0"/>
              <c:showVal val="0"/>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D-FED9-4141-B71E-D2492DD7B959}"/>
                </c:ext>
              </c:extLst>
            </c:dLbl>
            <c:dLbl>
              <c:idx val="14"/>
              <c:layout>
                <c:manualLayout>
                  <c:x val="-3.6238922017592989E-2"/>
                  <c:y val="-3.3494002293189898E-2"/>
                </c:manualLayout>
              </c:layout>
              <c:tx>
                <c:rich>
                  <a:bodyPr/>
                  <a:lstStyle/>
                  <a:p>
                    <a:pPr>
                      <a:defRPr sz="750" b="0" i="0">
                        <a:solidFill>
                          <a:srgbClr val="000000"/>
                        </a:solidFill>
                        <a:latin typeface="Arial Narrow"/>
                      </a:defRPr>
                    </a:pPr>
                    <a:r>
                      <a:rPr lang="en-US" sz="750" b="0" i="0">
                        <a:solidFill>
                          <a:srgbClr val="000000"/>
                        </a:solidFill>
                        <a:latin typeface="Arial Narrow"/>
                      </a:rPr>
                      <a:t>Israel</a:t>
                    </a:r>
                  </a:p>
                </c:rich>
              </c:tx>
              <c:spPr/>
              <c:dLblPos val="r"/>
              <c:showLegendKey val="0"/>
              <c:showVal val="0"/>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E-FED9-4141-B71E-D2492DD7B959}"/>
                </c:ext>
              </c:extLst>
            </c:dLbl>
            <c:dLbl>
              <c:idx val="15"/>
              <c:layout>
                <c:manualLayout>
                  <c:x val="-4.0158139228412347E-2"/>
                  <c:y val="-3.349400229318996E-2"/>
                </c:manualLayout>
              </c:layout>
              <c:tx>
                <c:rich>
                  <a:bodyPr/>
                  <a:lstStyle/>
                  <a:p>
                    <a:pPr>
                      <a:defRPr sz="750" b="0" i="0">
                        <a:solidFill>
                          <a:srgbClr val="000000"/>
                        </a:solidFill>
                        <a:latin typeface="Arial Narrow"/>
                      </a:defRPr>
                    </a:pPr>
                    <a:r>
                      <a:rPr lang="en-US" sz="750" b="0" i="0">
                        <a:solidFill>
                          <a:srgbClr val="000000"/>
                        </a:solidFill>
                        <a:latin typeface="Arial Narrow"/>
                      </a:rPr>
                      <a:t>Spain</a:t>
                    </a:r>
                  </a:p>
                </c:rich>
              </c:tx>
              <c:spPr/>
              <c:dLblPos val="r"/>
              <c:showLegendKey val="0"/>
              <c:showVal val="0"/>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F-FED9-4141-B71E-D2492DD7B959}"/>
                </c:ext>
              </c:extLst>
            </c:dLbl>
            <c:dLbl>
              <c:idx val="16"/>
              <c:layout>
                <c:manualLayout>
                  <c:x val="-3.0690724328914955E-4"/>
                  <c:y val="3.4693623594435271E-4"/>
                </c:manualLayout>
              </c:layout>
              <c:tx>
                <c:rich>
                  <a:bodyPr/>
                  <a:lstStyle/>
                  <a:p>
                    <a:pPr>
                      <a:defRPr sz="750" b="0" i="0">
                        <a:solidFill>
                          <a:srgbClr val="000000"/>
                        </a:solidFill>
                        <a:latin typeface="Arial Narrow"/>
                      </a:defRPr>
                    </a:pPr>
                    <a:r>
                      <a:rPr lang="en-US" sz="750" b="0" i="0">
                        <a:solidFill>
                          <a:srgbClr val="000000"/>
                        </a:solidFill>
                        <a:latin typeface="Arial Narrow"/>
                      </a:rPr>
                      <a:t>Germany</a:t>
                    </a:r>
                  </a:p>
                </c:rich>
              </c:tx>
              <c:spPr/>
              <c:dLblPos val="r"/>
              <c:showLegendKey val="0"/>
              <c:showVal val="0"/>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0-FED9-4141-B71E-D2492DD7B959}"/>
                </c:ext>
              </c:extLst>
            </c:dLbl>
            <c:dLbl>
              <c:idx val="17"/>
              <c:layout>
                <c:manualLayout>
                  <c:x val="-2.7894002789400278E-3"/>
                  <c:y val="-1.6573533028622772E-2"/>
                </c:manualLayout>
              </c:layout>
              <c:tx>
                <c:rich>
                  <a:bodyPr/>
                  <a:lstStyle/>
                  <a:p>
                    <a:pPr>
                      <a:defRPr sz="750" b="0" i="0">
                        <a:solidFill>
                          <a:srgbClr val="000000"/>
                        </a:solidFill>
                        <a:latin typeface="Arial Narrow"/>
                      </a:defRPr>
                    </a:pPr>
                    <a:r>
                      <a:rPr lang="en-US" sz="750" b="0" i="0">
                        <a:solidFill>
                          <a:srgbClr val="000000"/>
                        </a:solidFill>
                        <a:latin typeface="Arial Narrow"/>
                      </a:rPr>
                      <a:t>Netherlands</a:t>
                    </a:r>
                  </a:p>
                </c:rich>
              </c:tx>
              <c:spPr/>
              <c:dLblPos val="r"/>
              <c:showLegendKey val="0"/>
              <c:showVal val="0"/>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1-FED9-4141-B71E-D2492DD7B959}"/>
                </c:ext>
              </c:extLst>
            </c:dLbl>
            <c:dLbl>
              <c:idx val="18"/>
              <c:layout>
                <c:manualLayout>
                  <c:x val="-2.2268346163842492E-3"/>
                  <c:y val="1.0499217794684627E-2"/>
                </c:manualLayout>
              </c:layout>
              <c:tx>
                <c:rich>
                  <a:bodyPr/>
                  <a:lstStyle/>
                  <a:p>
                    <a:pPr>
                      <a:defRPr sz="750" b="0" i="0">
                        <a:solidFill>
                          <a:srgbClr val="000000"/>
                        </a:solidFill>
                        <a:latin typeface="Arial Narrow"/>
                      </a:defRPr>
                    </a:pPr>
                    <a:r>
                      <a:rPr lang="en-US" sz="750" b="0" i="0">
                        <a:solidFill>
                          <a:srgbClr val="000000"/>
                        </a:solidFill>
                        <a:latin typeface="Arial Narrow"/>
                      </a:rPr>
                      <a:t>Switzerland</a:t>
                    </a:r>
                  </a:p>
                </c:rich>
              </c:tx>
              <c:spPr/>
              <c:dLblPos val="r"/>
              <c:showLegendKey val="0"/>
              <c:showVal val="0"/>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2-FED9-4141-B71E-D2492DD7B959}"/>
                </c:ext>
              </c:extLst>
            </c:dLbl>
            <c:dLbl>
              <c:idx val="19"/>
              <c:layout>
                <c:manualLayout>
                  <c:x val="2.3281608627441647E-5"/>
                  <c:y val="3.4693623594435271E-4"/>
                </c:manualLayout>
              </c:layout>
              <c:tx>
                <c:rich>
                  <a:bodyPr/>
                  <a:lstStyle/>
                  <a:p>
                    <a:pPr>
                      <a:defRPr sz="750" b="0" i="0">
                        <a:solidFill>
                          <a:srgbClr val="000000"/>
                        </a:solidFill>
                        <a:latin typeface="Arial Narrow"/>
                      </a:defRPr>
                    </a:pPr>
                    <a:r>
                      <a:rPr lang="en-US" sz="750" b="0" i="0">
                        <a:solidFill>
                          <a:srgbClr val="000000"/>
                        </a:solidFill>
                        <a:latin typeface="Arial Narrow"/>
                      </a:rPr>
                      <a:t>Scotland (UK)</a:t>
                    </a:r>
                  </a:p>
                </c:rich>
              </c:tx>
              <c:spPr/>
              <c:dLblPos val="r"/>
              <c:showLegendKey val="0"/>
              <c:showVal val="0"/>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3-FED9-4141-B71E-D2492DD7B959}"/>
                </c:ext>
              </c:extLst>
            </c:dLbl>
            <c:dLbl>
              <c:idx val="20"/>
              <c:layout>
                <c:manualLayout>
                  <c:x val="-4.3422396468223903E-3"/>
                  <c:y val="-3.0374240810519789E-3"/>
                </c:manualLayout>
              </c:layout>
              <c:tx>
                <c:rich>
                  <a:bodyPr/>
                  <a:lstStyle/>
                  <a:p>
                    <a:pPr>
                      <a:defRPr sz="750" b="0" i="0">
                        <a:solidFill>
                          <a:srgbClr val="000000"/>
                        </a:solidFill>
                        <a:latin typeface="Arial Narrow"/>
                      </a:defRPr>
                    </a:pPr>
                    <a:r>
                      <a:rPr lang="en-US" sz="750" b="0" i="0">
                        <a:solidFill>
                          <a:srgbClr val="000000"/>
                        </a:solidFill>
                        <a:latin typeface="Arial Narrow"/>
                      </a:rPr>
                      <a:t>United States2, 3</a:t>
                    </a:r>
                  </a:p>
                </c:rich>
              </c:tx>
              <c:spPr/>
              <c:dLblPos val="r"/>
              <c:showLegendKey val="0"/>
              <c:showVal val="0"/>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4-FED9-4141-B71E-D2492DD7B959}"/>
                </c:ext>
              </c:extLst>
            </c:dLbl>
            <c:dLbl>
              <c:idx val="21"/>
              <c:layout>
                <c:manualLayout>
                  <c:x val="-1.2036298809929093E-2"/>
                  <c:y val="-3.0109908440276473E-2"/>
                </c:manualLayout>
              </c:layout>
              <c:tx>
                <c:rich>
                  <a:bodyPr/>
                  <a:lstStyle/>
                  <a:p>
                    <a:pPr>
                      <a:defRPr sz="750" b="0" i="0">
                        <a:solidFill>
                          <a:srgbClr val="000000"/>
                        </a:solidFill>
                        <a:latin typeface="Arial Narrow"/>
                      </a:defRPr>
                    </a:pPr>
                    <a:r>
                      <a:rPr lang="en-US" sz="750" b="0" i="0">
                        <a:solidFill>
                          <a:srgbClr val="000000"/>
                        </a:solidFill>
                        <a:latin typeface="Arial Narrow"/>
                      </a:rPr>
                      <a:t>Latvia</a:t>
                    </a:r>
                  </a:p>
                </c:rich>
              </c:tx>
              <c:spPr/>
              <c:dLblPos val="r"/>
              <c:showLegendKey val="0"/>
              <c:showVal val="0"/>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5-FED9-4141-B71E-D2492DD7B959}"/>
                </c:ext>
              </c:extLst>
            </c:dLbl>
            <c:dLbl>
              <c:idx val="22"/>
              <c:layout>
                <c:manualLayout>
                  <c:x val="-6.648143877412813E-3"/>
                  <c:y val="-6.4212514698824353E-3"/>
                </c:manualLayout>
              </c:layout>
              <c:tx>
                <c:rich>
                  <a:bodyPr/>
                  <a:lstStyle/>
                  <a:p>
                    <a:pPr>
                      <a:defRPr sz="750" b="0" i="0">
                        <a:solidFill>
                          <a:srgbClr val="000000"/>
                        </a:solidFill>
                        <a:latin typeface="Arial Narrow"/>
                      </a:defRPr>
                    </a:pPr>
                    <a:r>
                      <a:rPr lang="en-US" sz="750" b="0" i="0">
                        <a:solidFill>
                          <a:srgbClr val="000000"/>
                        </a:solidFill>
                        <a:latin typeface="Arial Narrow"/>
                      </a:rPr>
                      <a:t>Chile</a:t>
                    </a:r>
                  </a:p>
                </c:rich>
              </c:tx>
              <c:spPr/>
              <c:dLblPos val="r"/>
              <c:showLegendKey val="0"/>
              <c:showVal val="0"/>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6-FED9-4141-B71E-D2492DD7B959}"/>
                </c:ext>
              </c:extLst>
            </c:dLbl>
            <c:dLbl>
              <c:idx val="23"/>
              <c:layout/>
              <c:tx>
                <c:rich>
                  <a:bodyPr/>
                  <a:lstStyle/>
                  <a:p>
                    <a:pPr>
                      <a:defRPr sz="750" b="0" i="0">
                        <a:solidFill>
                          <a:srgbClr val="000000"/>
                        </a:solidFill>
                        <a:latin typeface="Arial Narrow"/>
                      </a:defRPr>
                    </a:pPr>
                    <a:r>
                      <a:rPr lang="en-US" sz="750" b="0" i="0">
                        <a:solidFill>
                          <a:srgbClr val="000000"/>
                        </a:solidFill>
                        <a:latin typeface="Arial Narrow"/>
                      </a:rPr>
                      <a:t>Colombia</a:t>
                    </a:r>
                  </a:p>
                </c:rich>
              </c:tx>
              <c:spPr/>
              <c:dLblPos val="b"/>
              <c:showLegendKey val="0"/>
              <c:showVal val="0"/>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7-FED9-4141-B71E-D2492DD7B959}"/>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'Figure D4.4.'!$B$43:$B$66</c:f>
              <c:numCache>
                <c:formatCode>0</c:formatCode>
                <c:ptCount val="24"/>
                <c:pt idx="0">
                  <c:v>477.9</c:v>
                </c:pt>
                <c:pt idx="1">
                  <c:v>504</c:v>
                </c:pt>
                <c:pt idx="2">
                  <c:v>533.23146017520503</c:v>
                </c:pt>
                <c:pt idx="3">
                  <c:v>602</c:v>
                </c:pt>
                <c:pt idx="4">
                  <c:v>606.6</c:v>
                </c:pt>
                <c:pt idx="5">
                  <c:v>609.910571</c:v>
                </c:pt>
                <c:pt idx="6">
                  <c:v>612</c:v>
                </c:pt>
                <c:pt idx="7">
                  <c:v>617.1</c:v>
                </c:pt>
                <c:pt idx="8">
                  <c:v>623.88</c:v>
                </c:pt>
                <c:pt idx="9">
                  <c:v>616</c:v>
                </c:pt>
                <c:pt idx="10">
                  <c:v>652.04999999999995</c:v>
                </c:pt>
                <c:pt idx="11">
                  <c:v>655.20000000000005</c:v>
                </c:pt>
                <c:pt idx="12">
                  <c:v>663.1</c:v>
                </c:pt>
                <c:pt idx="13">
                  <c:v>684</c:v>
                </c:pt>
                <c:pt idx="14">
                  <c:v>698.87170663429094</c:v>
                </c:pt>
                <c:pt idx="15">
                  <c:v>712.8</c:v>
                </c:pt>
                <c:pt idx="16">
                  <c:v>747.40942004589397</c:v>
                </c:pt>
                <c:pt idx="17">
                  <c:v>750</c:v>
                </c:pt>
                <c:pt idx="18">
                  <c:v>760</c:v>
                </c:pt>
                <c:pt idx="19">
                  <c:v>855</c:v>
                </c:pt>
                <c:pt idx="20">
                  <c:v>966.36311999999998</c:v>
                </c:pt>
                <c:pt idx="21">
                  <c:v>1020</c:v>
                </c:pt>
                <c:pt idx="22">
                  <c:v>1063.5552077238201</c:v>
                </c:pt>
                <c:pt idx="23">
                  <c:v>1200</c:v>
                </c:pt>
              </c:numCache>
            </c:numRef>
          </c:xVal>
          <c:yVal>
            <c:numRef>
              <c:f>'Figure D4.4.'!$C$43:$C$66</c:f>
              <c:numCache>
                <c:formatCode>0.00</c:formatCode>
                <c:ptCount val="24"/>
                <c:pt idx="0">
                  <c:v>0.32290540540540541</c:v>
                </c:pt>
                <c:pt idx="1">
                  <c:v>0.3165829145728643</c:v>
                </c:pt>
                <c:pt idx="2">
                  <c:v>0.35081017116789792</c:v>
                </c:pt>
                <c:pt idx="3">
                  <c:v>0.39090909090909093</c:v>
                </c:pt>
                <c:pt idx="4">
                  <c:v>0.34155405405405409</c:v>
                </c:pt>
                <c:pt idx="5">
                  <c:v>0.32390364896441848</c:v>
                </c:pt>
                <c:pt idx="6">
                  <c:v>0.38636363636363635</c:v>
                </c:pt>
                <c:pt idx="7">
                  <c:v>0.3955769230769231</c:v>
                </c:pt>
                <c:pt idx="8">
                  <c:v>0.35447727272727275</c:v>
                </c:pt>
                <c:pt idx="9">
                  <c:v>0.42249657064471879</c:v>
                </c:pt>
                <c:pt idx="10">
                  <c:v>0.41598086124401917</c:v>
                </c:pt>
                <c:pt idx="11">
                  <c:v>0.39375000000000004</c:v>
                </c:pt>
                <c:pt idx="12">
                  <c:v>0.39294814814814816</c:v>
                </c:pt>
                <c:pt idx="13">
                  <c:v>0.42563783447417547</c:v>
                </c:pt>
                <c:pt idx="14">
                  <c:v>0.5916562423604641</c:v>
                </c:pt>
                <c:pt idx="15">
                  <c:v>0.50021052631578944</c:v>
                </c:pt>
                <c:pt idx="16">
                  <c:v>0.41953938818180952</c:v>
                </c:pt>
                <c:pt idx="17">
                  <c:v>0.45207956600361665</c:v>
                </c:pt>
                <c:pt idx="18">
                  <c:v>0.35480859010270777</c:v>
                </c:pt>
                <c:pt idx="19">
                  <c:v>0.62637362637362637</c:v>
                </c:pt>
                <c:pt idx="20">
                  <c:v>0.47567963081283959</c:v>
                </c:pt>
                <c:pt idx="21">
                  <c:v>0.57954545454545459</c:v>
                </c:pt>
                <c:pt idx="22">
                  <c:v>0.5419665754809494</c:v>
                </c:pt>
                <c:pt idx="23">
                  <c:v>0.75</c:v>
                </c:pt>
              </c:numCache>
            </c:numRef>
          </c:yVal>
          <c:smooth val="0"/>
          <c:extLst>
            <c:ext xmlns:c16="http://schemas.microsoft.com/office/drawing/2014/chart" uri="{C3380CC4-5D6E-409C-BE32-E72D297353CC}">
              <c16:uniqueId val="{00000018-FED9-4141-B71E-D2492DD7B959}"/>
            </c:ext>
          </c:extLst>
        </c:ser>
        <c:dLbls>
          <c:showLegendKey val="0"/>
          <c:showVal val="0"/>
          <c:showCatName val="0"/>
          <c:showSerName val="0"/>
          <c:showPercent val="0"/>
          <c:showBubbleSize val="0"/>
        </c:dLbls>
        <c:axId val="487084416"/>
        <c:axId val="487776640"/>
      </c:scatterChart>
      <c:valAx>
        <c:axId val="487084416"/>
        <c:scaling>
          <c:orientation val="minMax"/>
          <c:max val="1300"/>
          <c:min val="400"/>
        </c:scaling>
        <c:delete val="0"/>
        <c:axPos val="b"/>
        <c:majorGridlines>
          <c:spPr>
            <a:ln w="9525" cmpd="sng">
              <a:solidFill>
                <a:srgbClr val="FFFFFF"/>
              </a:solidFill>
              <a:prstDash val="solid"/>
            </a:ln>
          </c:spPr>
        </c:majorGridlines>
        <c:numFmt formatCode="General" sourceLinked="0"/>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u="none" strike="noStrike" baseline="0">
                <a:solidFill>
                  <a:srgbClr val="000000"/>
                </a:solidFill>
                <a:latin typeface="Arial Narrow"/>
                <a:ea typeface="Arial Narrow"/>
                <a:cs typeface="Arial Narrow"/>
              </a:defRPr>
            </a:pPr>
            <a:endParaRPr lang="en-US"/>
          </a:p>
        </c:txPr>
        <c:crossAx val="487776640"/>
        <c:crosses val="autoZero"/>
        <c:crossBetween val="midCat"/>
      </c:valAx>
      <c:valAx>
        <c:axId val="487776640"/>
        <c:scaling>
          <c:orientation val="minMax"/>
          <c:max val="0.8"/>
          <c:min val="0.2"/>
        </c:scaling>
        <c:delete val="0"/>
        <c:axPos val="l"/>
        <c:majorGridlines>
          <c:spPr>
            <a:ln w="9525" cmpd="sng">
              <a:solidFill>
                <a:srgbClr val="FFFFFF"/>
              </a:solidFill>
              <a:prstDash val="solid"/>
            </a:ln>
          </c:spPr>
        </c:majorGridlines>
        <c:numFmt formatCode="0%"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487084416"/>
        <c:crosses val="autoZero"/>
        <c:crossBetween val="midCat"/>
      </c:valAx>
      <c:spPr>
        <a:solidFill>
          <a:srgbClr val="F4FFFF"/>
        </a:solidFill>
        <a:ln w="9525">
          <a:solidFill>
            <a:srgbClr val="000000"/>
          </a:solidFill>
        </a:ln>
      </c:spPr>
    </c:plotArea>
    <c:plotVisOnly val="1"/>
    <c:dispBlanksAs val="gap"/>
    <c:showDLblsOverMax val="0"/>
  </c:chart>
  <c:spPr>
    <a:noFill/>
    <a:ln w="9525">
      <a:noFill/>
    </a:ln>
    <a:extLst>
      <a:ext uri="{909E8E84-426E-40DD-AFC4-6F175D3DCCD1}">
        <a14:hiddenFill xmlns:a14="http://schemas.microsoft.com/office/drawing/2010/main">
          <a:solidFill>
            <a:srgbClr val="FFFFFF"/>
          </a:solidFill>
        </a14:hiddenFill>
      </a:ext>
    </a:extLst>
  </c:spPr>
  <c:printSettings>
    <c:headerFooter/>
    <c:pageMargins b="0.75" l="0.7" r="0.7" t="0.75" header="0.3" footer="0.3"/>
    <c:pageSetup orientation="portrait"/>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2797397331321595E-2"/>
          <c:y val="0.13735958005249346"/>
          <c:w val="0.85396451192103984"/>
          <c:h val="0.63170778652668413"/>
        </c:manualLayout>
      </c:layout>
      <c:barChart>
        <c:barDir val="col"/>
        <c:grouping val="clustered"/>
        <c:varyColors val="0"/>
        <c:ser>
          <c:idx val="0"/>
          <c:order val="0"/>
          <c:tx>
            <c:strRef>
              <c:f>'Figure D4.5 (Web only).'!$B$40</c:f>
              <c:strCache>
                <c:ptCount val="1"/>
                <c:pt idx="0">
                  <c:v>Actual teaching time</c:v>
                </c:pt>
              </c:strCache>
            </c:strRef>
          </c:tx>
          <c:spPr>
            <a:solidFill>
              <a:srgbClr val="4F81BD"/>
            </a:solidFill>
            <a:ln w="6350" cmpd="sng">
              <a:solidFill>
                <a:srgbClr val="000000"/>
              </a:solidFill>
              <a:round/>
            </a:ln>
            <a:effectLst/>
          </c:spPr>
          <c:invertIfNegative val="0"/>
          <c:cat>
            <c:strRef>
              <c:f>'Figure D4.5 (Web only).'!$A$41:$A$51</c:f>
              <c:strCache>
                <c:ptCount val="11"/>
                <c:pt idx="0">
                  <c:v>Latvia</c:v>
                </c:pt>
                <c:pt idx="1">
                  <c:v>Australia</c:v>
                </c:pt>
                <c:pt idx="2">
                  <c:v>Switzerland</c:v>
                </c:pt>
                <c:pt idx="3">
                  <c:v>Slovenia</c:v>
                </c:pt>
                <c:pt idx="4">
                  <c:v>France</c:v>
                </c:pt>
                <c:pt idx="5">
                  <c:v>Czech Republic</c:v>
                </c:pt>
                <c:pt idx="6">
                  <c:v>Estonia</c:v>
                </c:pt>
                <c:pt idx="7">
                  <c:v>Portugal</c:v>
                </c:pt>
                <c:pt idx="8">
                  <c:v>Lithuania</c:v>
                </c:pt>
                <c:pt idx="9">
                  <c:v>Finland</c:v>
                </c:pt>
                <c:pt idx="10">
                  <c:v>Poland</c:v>
                </c:pt>
              </c:strCache>
            </c:strRef>
          </c:cat>
          <c:val>
            <c:numRef>
              <c:f>'Figure D4.5 (Web only).'!$B$41:$B$51</c:f>
              <c:numCache>
                <c:formatCode>0</c:formatCode>
                <c:ptCount val="11"/>
                <c:pt idx="0">
                  <c:v>1046.93</c:v>
                </c:pt>
                <c:pt idx="1">
                  <c:v>817.74</c:v>
                </c:pt>
                <c:pt idx="2">
                  <c:v>760</c:v>
                </c:pt>
                <c:pt idx="3">
                  <c:v>668</c:v>
                </c:pt>
                <c:pt idx="4">
                  <c:v>649.31334188940343</c:v>
                </c:pt>
                <c:pt idx="5">
                  <c:v>617.1</c:v>
                </c:pt>
                <c:pt idx="6">
                  <c:v>610.92215455567896</c:v>
                </c:pt>
                <c:pt idx="7">
                  <c:v>605</c:v>
                </c:pt>
                <c:pt idx="8">
                  <c:v>602</c:v>
                </c:pt>
                <c:pt idx="9">
                  <c:v>598.5</c:v>
                </c:pt>
                <c:pt idx="10">
                  <c:v>548</c:v>
                </c:pt>
              </c:numCache>
            </c:numRef>
          </c:val>
          <c:extLst>
            <c:ext xmlns:c16="http://schemas.microsoft.com/office/drawing/2014/chart" uri="{C3380CC4-5D6E-409C-BE32-E72D297353CC}">
              <c16:uniqueId val="{00000000-EC7F-498C-A607-412D2B4527DE}"/>
            </c:ext>
          </c:extLst>
        </c:ser>
        <c:ser>
          <c:idx val="1"/>
          <c:order val="1"/>
          <c:tx>
            <c:strRef>
              <c:f>'Figure D4.5 (Web only).'!$C$40</c:f>
              <c:strCache>
                <c:ptCount val="1"/>
                <c:pt idx="0">
                  <c:v>Statutory teaching time</c:v>
                </c:pt>
              </c:strCache>
            </c:strRef>
          </c:tx>
          <c:spPr>
            <a:solidFill>
              <a:srgbClr val="CCCCCC"/>
            </a:solidFill>
            <a:ln w="6350" cmpd="sng">
              <a:solidFill>
                <a:srgbClr val="000000"/>
              </a:solidFill>
              <a:round/>
            </a:ln>
            <a:effectLst/>
          </c:spPr>
          <c:invertIfNegative val="0"/>
          <c:cat>
            <c:strRef>
              <c:f>'Figure D4.5 (Web only).'!$A$41:$A$51</c:f>
              <c:strCache>
                <c:ptCount val="11"/>
                <c:pt idx="0">
                  <c:v>Latvia</c:v>
                </c:pt>
                <c:pt idx="1">
                  <c:v>Australia</c:v>
                </c:pt>
                <c:pt idx="2">
                  <c:v>Switzerland</c:v>
                </c:pt>
                <c:pt idx="3">
                  <c:v>Slovenia</c:v>
                </c:pt>
                <c:pt idx="4">
                  <c:v>France</c:v>
                </c:pt>
                <c:pt idx="5">
                  <c:v>Czech Republic</c:v>
                </c:pt>
                <c:pt idx="6">
                  <c:v>Estonia</c:v>
                </c:pt>
                <c:pt idx="7">
                  <c:v>Portugal</c:v>
                </c:pt>
                <c:pt idx="8">
                  <c:v>Lithuania</c:v>
                </c:pt>
                <c:pt idx="9">
                  <c:v>Finland</c:v>
                </c:pt>
                <c:pt idx="10">
                  <c:v>Poland</c:v>
                </c:pt>
              </c:strCache>
            </c:strRef>
          </c:cat>
          <c:val>
            <c:numRef>
              <c:f>'Figure D4.5 (Web only).'!$C$41:$C$51</c:f>
              <c:numCache>
                <c:formatCode>0</c:formatCode>
                <c:ptCount val="11"/>
                <c:pt idx="0">
                  <c:v>718.2</c:v>
                </c:pt>
                <c:pt idx="1">
                  <c:v>795.38401184808663</c:v>
                </c:pt>
                <c:pt idx="2">
                  <c:v>760</c:v>
                </c:pt>
                <c:pt idx="3">
                  <c:v>627</c:v>
                </c:pt>
                <c:pt idx="4">
                  <c:v>684</c:v>
                </c:pt>
                <c:pt idx="5">
                  <c:v>617.1</c:v>
                </c:pt>
                <c:pt idx="6">
                  <c:v>602</c:v>
                </c:pt>
                <c:pt idx="7">
                  <c:v>605.00000005499999</c:v>
                </c:pt>
                <c:pt idx="8">
                  <c:v>612</c:v>
                </c:pt>
                <c:pt idx="9">
                  <c:v>595.35</c:v>
                </c:pt>
                <c:pt idx="10">
                  <c:v>480.6</c:v>
                </c:pt>
              </c:numCache>
            </c:numRef>
          </c:val>
          <c:extLst>
            <c:ext xmlns:c16="http://schemas.microsoft.com/office/drawing/2014/chart" uri="{C3380CC4-5D6E-409C-BE32-E72D297353CC}">
              <c16:uniqueId val="{00000001-EC7F-498C-A607-412D2B4527DE}"/>
            </c:ext>
          </c:extLst>
        </c:ser>
        <c:dLbls>
          <c:showLegendKey val="0"/>
          <c:showVal val="0"/>
          <c:showCatName val="0"/>
          <c:showSerName val="0"/>
          <c:showPercent val="0"/>
          <c:showBubbleSize val="0"/>
        </c:dLbls>
        <c:gapWidth val="150"/>
        <c:overlap val="-25"/>
        <c:axId val="474771840"/>
        <c:axId val="474773376"/>
      </c:barChart>
      <c:catAx>
        <c:axId val="474771840"/>
        <c:scaling>
          <c:orientation val="minMax"/>
        </c:scaling>
        <c:delete val="0"/>
        <c:axPos val="b"/>
        <c:majorGridlines>
          <c:spPr>
            <a:ln w="9525" cmpd="sng">
              <a:solidFill>
                <a:srgbClr val="FFFFFF"/>
              </a:solidFill>
              <a:prstDash val="solid"/>
            </a:ln>
          </c:spPr>
        </c:majorGridlines>
        <c:numFmt formatCode="General" sourceLinked="0"/>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2700000" vert="horz"/>
          <a:lstStyle/>
          <a:p>
            <a:pPr>
              <a:defRPr sz="750" b="0" i="0" u="none" strike="noStrike" baseline="0">
                <a:solidFill>
                  <a:srgbClr val="000000"/>
                </a:solidFill>
                <a:latin typeface="Arial Narrow"/>
                <a:ea typeface="Arial Narrow"/>
                <a:cs typeface="Arial Narrow"/>
              </a:defRPr>
            </a:pPr>
            <a:endParaRPr lang="en-US"/>
          </a:p>
        </c:txPr>
        <c:crossAx val="474773376"/>
        <c:crosses val="autoZero"/>
        <c:auto val="1"/>
        <c:lblAlgn val="ctr"/>
        <c:lblOffset val="0"/>
        <c:tickLblSkip val="1"/>
        <c:noMultiLvlLbl val="0"/>
      </c:catAx>
      <c:valAx>
        <c:axId val="474773376"/>
        <c:scaling>
          <c:orientation val="minMax"/>
          <c:max val="1200"/>
        </c:scaling>
        <c:delete val="0"/>
        <c:axPos val="l"/>
        <c:majorGridlines>
          <c:spPr>
            <a:ln w="9525" cmpd="sng">
              <a:solidFill>
                <a:srgbClr val="FFFFFF"/>
              </a:solidFill>
              <a:prstDash val="solid"/>
            </a:ln>
          </c:spPr>
        </c:majorGridlines>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u="none" strike="noStrike" baseline="0">
                <a:solidFill>
                  <a:srgbClr val="000000"/>
                </a:solidFill>
                <a:latin typeface="Arial Narrow"/>
                <a:ea typeface="Arial Narrow"/>
                <a:cs typeface="Arial Narrow"/>
              </a:defRPr>
            </a:pPr>
            <a:endParaRPr lang="en-US"/>
          </a:p>
        </c:txPr>
        <c:crossAx val="474771840"/>
        <c:crosses val="autoZero"/>
        <c:crossBetween val="between"/>
      </c:valAx>
      <c:spPr>
        <a:solidFill>
          <a:srgbClr val="F4FFFF"/>
        </a:solidFill>
        <a:ln w="9525">
          <a:solidFill>
            <a:srgbClr val="000000"/>
          </a:solidFill>
        </a:ln>
      </c:spPr>
    </c:plotArea>
    <c:legend>
      <c:legendPos val="t"/>
      <c:layout>
        <c:manualLayout>
          <c:xMode val="edge"/>
          <c:yMode val="edge"/>
          <c:x val="7.2797407173418385E-2"/>
          <c:y val="1.4814814814814815E-2"/>
          <c:w val="0.85396448731579788"/>
          <c:h val="5.5555555555555552E-2"/>
        </c:manualLayout>
      </c:layout>
      <c:overlay val="1"/>
      <c:spPr>
        <a:solidFill>
          <a:srgbClr val="EAEAEA"/>
        </a:solidFill>
        <a:ln>
          <a:noFill/>
          <a:round/>
        </a:ln>
        <a:effectLst/>
        <a:extLst>
          <a:ext uri="{91240B29-F687-4F45-9708-019B960494DF}">
            <a14:hiddenLine xmlns:a14="http://schemas.microsoft.com/office/drawing/2010/main">
              <a:noFill/>
              <a:round/>
            </a14:hiddenLine>
          </a:ext>
        </a:extLst>
      </c:spPr>
      <c:txPr>
        <a:bodyPr/>
        <a:lstStyle/>
        <a:p>
          <a:pPr>
            <a:defRPr sz="750" b="0" i="0" u="none" strike="noStrike" baseline="0">
              <a:solidFill>
                <a:srgbClr val="000000"/>
              </a:solidFill>
              <a:latin typeface="Arial Narrow"/>
              <a:ea typeface="Arial Narrow"/>
              <a:cs typeface="Arial Narrow"/>
            </a:defRPr>
          </a:pPr>
          <a:endParaRPr lang="en-US"/>
        </a:p>
      </c:txPr>
    </c:legend>
    <c:plotVisOnly val="1"/>
    <c:dispBlanksAs val="gap"/>
    <c:showDLblsOverMax val="1"/>
  </c:chart>
  <c:spPr>
    <a:noFill/>
    <a:ln>
      <a:noFill/>
    </a:ln>
    <a:extLst>
      <a:ext uri="{909E8E84-426E-40DD-AFC4-6F175D3DCCD1}">
        <a14:hiddenFill xmlns:a14="http://schemas.microsoft.com/office/drawing/2010/main">
          <a:solidFill>
            <a:srgbClr val="FFFFFF"/>
          </a:solidFill>
        </a14:hiddenFill>
      </a:ext>
    </a:ex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0"/>
    <c:plotArea>
      <c:layout>
        <c:manualLayout>
          <c:layoutTarget val="inner"/>
          <c:xMode val="edge"/>
          <c:yMode val="edge"/>
          <c:x val="0.46059956325454565"/>
          <c:y val="0.25295848582307495"/>
          <c:w val="0.51609304428535607"/>
          <c:h val="0.67054329476421082"/>
        </c:manualLayout>
      </c:layout>
      <c:barChart>
        <c:barDir val="bar"/>
        <c:grouping val="stacked"/>
        <c:varyColors val="0"/>
        <c:ser>
          <c:idx val="0"/>
          <c:order val="0"/>
          <c:tx>
            <c:strRef>
              <c:f>'Figure D4.a.'!$B$41</c:f>
              <c:strCache>
                <c:ptCount val="1"/>
                <c:pt idx="0">
                  <c:v>Mandatory</c:v>
                </c:pt>
              </c:strCache>
            </c:strRef>
          </c:tx>
          <c:spPr>
            <a:solidFill>
              <a:srgbClr val="4F81BD"/>
            </a:solidFill>
            <a:ln w="6350" cmpd="sng">
              <a:solidFill>
                <a:srgbClr val="000000"/>
              </a:solidFill>
              <a:prstDash val="solid"/>
              <a:round/>
            </a:ln>
            <a:effectLst/>
          </c:spPr>
          <c:invertIfNegative val="0"/>
          <c:cat>
            <c:strRef>
              <c:f>'Figure D4.a.'!$A$42:$A$56</c:f>
              <c:strCache>
                <c:ptCount val="15"/>
                <c:pt idx="0">
                  <c:v>Participation in mentoring programmes and/or supporting new teachers in induction programmes</c:v>
                </c:pt>
                <c:pt idx="1">
                  <c:v>Special tasks (e.g. training student teachers; guidance counselling)</c:v>
                </c:pt>
                <c:pt idx="2">
                  <c:v>Engaging in extracurricular activities (e.g. sports and drama clubs, homework clubs, summer school, etc.)</c:v>
                </c:pt>
                <c:pt idx="3">
                  <c:v>Participation in school or other management in addition to teaching duties</c:v>
                </c:pt>
                <c:pt idx="4">
                  <c:v>Teaching more classes or hours than required by full-time contract (e.g. overtime compensation)</c:v>
                </c:pt>
                <c:pt idx="5">
                  <c:v>Class teacher/form teacher</c:v>
                </c:pt>
                <c:pt idx="6">
                  <c:v>Students counselling (including student supervising, virtual counselling, career guidance, and delinquency prevention)</c:v>
                </c:pt>
                <c:pt idx="8">
                  <c:v>Supervision of students during breaks</c:v>
                </c:pt>
                <c:pt idx="9">
                  <c:v>Team work and dialogue with colleagues at school or elsewhere</c:v>
                </c:pt>
                <c:pt idx="10">
                  <c:v>General administrative work (including communication, paperwork and other clerical duties a teacher undertakes as part of his/her job)</c:v>
                </c:pt>
                <c:pt idx="11">
                  <c:v>Communication and co-operation with parents or guardians</c:v>
                </c:pt>
                <c:pt idx="12">
                  <c:v>Marking/correcting of student work</c:v>
                </c:pt>
                <c:pt idx="13">
                  <c:v>Individual planning or preparation of lessons either at school or elsewhere</c:v>
                </c:pt>
                <c:pt idx="14">
                  <c:v>Teaching</c:v>
                </c:pt>
              </c:strCache>
            </c:strRef>
          </c:cat>
          <c:val>
            <c:numRef>
              <c:f>'Figure D4.a.'!$B$42:$B$56</c:f>
              <c:numCache>
                <c:formatCode>General</c:formatCode>
                <c:ptCount val="15"/>
                <c:pt idx="0" formatCode="0">
                  <c:v>4</c:v>
                </c:pt>
                <c:pt idx="1">
                  <c:v>2</c:v>
                </c:pt>
                <c:pt idx="2">
                  <c:v>3</c:v>
                </c:pt>
                <c:pt idx="3">
                  <c:v>5</c:v>
                </c:pt>
                <c:pt idx="4">
                  <c:v>3</c:v>
                </c:pt>
                <c:pt idx="5">
                  <c:v>4</c:v>
                </c:pt>
                <c:pt idx="6">
                  <c:v>15</c:v>
                </c:pt>
                <c:pt idx="8">
                  <c:v>15</c:v>
                </c:pt>
                <c:pt idx="9">
                  <c:v>25</c:v>
                </c:pt>
                <c:pt idx="10">
                  <c:v>26</c:v>
                </c:pt>
                <c:pt idx="11">
                  <c:v>31</c:v>
                </c:pt>
                <c:pt idx="12">
                  <c:v>34</c:v>
                </c:pt>
                <c:pt idx="13">
                  <c:v>35</c:v>
                </c:pt>
                <c:pt idx="14">
                  <c:v>37</c:v>
                </c:pt>
              </c:numCache>
            </c:numRef>
          </c:val>
          <c:extLst>
            <c:ext xmlns:c16="http://schemas.microsoft.com/office/drawing/2014/chart" uri="{C3380CC4-5D6E-409C-BE32-E72D297353CC}">
              <c16:uniqueId val="{00000000-4C13-4D2F-94D7-17A828C1B64A}"/>
            </c:ext>
          </c:extLst>
        </c:ser>
        <c:ser>
          <c:idx val="1"/>
          <c:order val="1"/>
          <c:tx>
            <c:strRef>
              <c:f>'Figure D4.a.'!$C$41</c:f>
              <c:strCache>
                <c:ptCount val="1"/>
                <c:pt idx="0">
                  <c:v>Required, at the discretion of individual schools</c:v>
                </c:pt>
              </c:strCache>
            </c:strRef>
          </c:tx>
          <c:spPr>
            <a:solidFill>
              <a:srgbClr val="CCCCCC"/>
            </a:solidFill>
            <a:ln w="6350" cmpd="sng">
              <a:solidFill>
                <a:srgbClr val="000000"/>
              </a:solidFill>
              <a:prstDash val="solid"/>
              <a:round/>
            </a:ln>
            <a:effectLst/>
          </c:spPr>
          <c:invertIfNegative val="0"/>
          <c:cat>
            <c:strRef>
              <c:f>'Figure D4.a.'!$A$42:$A$56</c:f>
              <c:strCache>
                <c:ptCount val="15"/>
                <c:pt idx="0">
                  <c:v>Participation in mentoring programmes and/or supporting new teachers in induction programmes</c:v>
                </c:pt>
                <c:pt idx="1">
                  <c:v>Special tasks (e.g. training student teachers; guidance counselling)</c:v>
                </c:pt>
                <c:pt idx="2">
                  <c:v>Engaging in extracurricular activities (e.g. sports and drama clubs, homework clubs, summer school, etc.)</c:v>
                </c:pt>
                <c:pt idx="3">
                  <c:v>Participation in school or other management in addition to teaching duties</c:v>
                </c:pt>
                <c:pt idx="4">
                  <c:v>Teaching more classes or hours than required by full-time contract (e.g. overtime compensation)</c:v>
                </c:pt>
                <c:pt idx="5">
                  <c:v>Class teacher/form teacher</c:v>
                </c:pt>
                <c:pt idx="6">
                  <c:v>Students counselling (including student supervising, virtual counselling, career guidance, and delinquency prevention)</c:v>
                </c:pt>
                <c:pt idx="8">
                  <c:v>Supervision of students during breaks</c:v>
                </c:pt>
                <c:pt idx="9">
                  <c:v>Team work and dialogue with colleagues at school or elsewhere</c:v>
                </c:pt>
                <c:pt idx="10">
                  <c:v>General administrative work (including communication, paperwork and other clerical duties a teacher undertakes as part of his/her job)</c:v>
                </c:pt>
                <c:pt idx="11">
                  <c:v>Communication and co-operation with parents or guardians</c:v>
                </c:pt>
                <c:pt idx="12">
                  <c:v>Marking/correcting of student work</c:v>
                </c:pt>
                <c:pt idx="13">
                  <c:v>Individual planning or preparation of lessons either at school or elsewhere</c:v>
                </c:pt>
                <c:pt idx="14">
                  <c:v>Teaching</c:v>
                </c:pt>
              </c:strCache>
            </c:strRef>
          </c:cat>
          <c:val>
            <c:numRef>
              <c:f>'Figure D4.a.'!$C$42:$C$56</c:f>
              <c:numCache>
                <c:formatCode>General</c:formatCode>
                <c:ptCount val="15"/>
                <c:pt idx="0">
                  <c:v>14</c:v>
                </c:pt>
                <c:pt idx="1">
                  <c:v>14</c:v>
                </c:pt>
                <c:pt idx="2">
                  <c:v>7</c:v>
                </c:pt>
                <c:pt idx="3">
                  <c:v>17</c:v>
                </c:pt>
                <c:pt idx="4">
                  <c:v>11</c:v>
                </c:pt>
                <c:pt idx="5">
                  <c:v>21</c:v>
                </c:pt>
                <c:pt idx="6">
                  <c:v>10</c:v>
                </c:pt>
                <c:pt idx="8">
                  <c:v>14</c:v>
                </c:pt>
                <c:pt idx="9">
                  <c:v>7</c:v>
                </c:pt>
                <c:pt idx="10">
                  <c:v>8</c:v>
                </c:pt>
                <c:pt idx="11">
                  <c:v>6</c:v>
                </c:pt>
                <c:pt idx="12">
                  <c:v>3</c:v>
                </c:pt>
                <c:pt idx="13">
                  <c:v>2</c:v>
                </c:pt>
                <c:pt idx="14">
                  <c:v>1</c:v>
                </c:pt>
              </c:numCache>
            </c:numRef>
          </c:val>
          <c:extLst>
            <c:ext xmlns:c16="http://schemas.microsoft.com/office/drawing/2014/chart" uri="{C3380CC4-5D6E-409C-BE32-E72D297353CC}">
              <c16:uniqueId val="{00000001-4C13-4D2F-94D7-17A828C1B64A}"/>
            </c:ext>
          </c:extLst>
        </c:ser>
        <c:ser>
          <c:idx val="7"/>
          <c:order val="2"/>
          <c:tx>
            <c:strRef>
              <c:f>'Figure D4.a.'!$D$41</c:f>
              <c:strCache>
                <c:ptCount val="1"/>
                <c:pt idx="0">
                  <c:v>Mandatory, or Required, at the discretion of individual schools</c:v>
                </c:pt>
              </c:strCache>
            </c:strRef>
          </c:tx>
          <c:spPr>
            <a:solidFill>
              <a:srgbClr val="A7B9E3"/>
            </a:solidFill>
            <a:ln w="6350" cmpd="sng">
              <a:solidFill>
                <a:srgbClr val="000000"/>
              </a:solidFill>
              <a:prstDash val="solid"/>
              <a:round/>
            </a:ln>
            <a:effectLst/>
          </c:spPr>
          <c:invertIfNegative val="0"/>
          <c:cat>
            <c:strRef>
              <c:f>'Figure D4.a.'!$A$42:$A$56</c:f>
              <c:strCache>
                <c:ptCount val="15"/>
                <c:pt idx="0">
                  <c:v>Participation in mentoring programmes and/or supporting new teachers in induction programmes</c:v>
                </c:pt>
                <c:pt idx="1">
                  <c:v>Special tasks (e.g. training student teachers; guidance counselling)</c:v>
                </c:pt>
                <c:pt idx="2">
                  <c:v>Engaging in extracurricular activities (e.g. sports and drama clubs, homework clubs, summer school, etc.)</c:v>
                </c:pt>
                <c:pt idx="3">
                  <c:v>Participation in school or other management in addition to teaching duties</c:v>
                </c:pt>
                <c:pt idx="4">
                  <c:v>Teaching more classes or hours than required by full-time contract (e.g. overtime compensation)</c:v>
                </c:pt>
                <c:pt idx="5">
                  <c:v>Class teacher/form teacher</c:v>
                </c:pt>
                <c:pt idx="6">
                  <c:v>Students counselling (including student supervising, virtual counselling, career guidance, and delinquency prevention)</c:v>
                </c:pt>
                <c:pt idx="8">
                  <c:v>Supervision of students during breaks</c:v>
                </c:pt>
                <c:pt idx="9">
                  <c:v>Team work and dialogue with colleagues at school or elsewhere</c:v>
                </c:pt>
                <c:pt idx="10">
                  <c:v>General administrative work (including communication, paperwork and other clerical duties a teacher undertakes as part of his/her job)</c:v>
                </c:pt>
                <c:pt idx="11">
                  <c:v>Communication and co-operation with parents or guardians</c:v>
                </c:pt>
                <c:pt idx="12">
                  <c:v>Marking/correcting of student work</c:v>
                </c:pt>
                <c:pt idx="13">
                  <c:v>Individual planning or preparation of lessons either at school or elsewhere</c:v>
                </c:pt>
                <c:pt idx="14">
                  <c:v>Teaching</c:v>
                </c:pt>
              </c:strCache>
            </c:strRef>
          </c:cat>
          <c:val>
            <c:numRef>
              <c:f>'Figure D4.a.'!$D$42:$D$56</c:f>
              <c:numCache>
                <c:formatCode>General</c:formatCode>
                <c:ptCount val="15"/>
                <c:pt idx="0">
                  <c:v>0</c:v>
                </c:pt>
                <c:pt idx="1">
                  <c:v>0</c:v>
                </c:pt>
                <c:pt idx="2">
                  <c:v>1</c:v>
                </c:pt>
                <c:pt idx="3">
                  <c:v>1</c:v>
                </c:pt>
                <c:pt idx="4">
                  <c:v>1</c:v>
                </c:pt>
                <c:pt idx="5">
                  <c:v>1</c:v>
                </c:pt>
                <c:pt idx="6">
                  <c:v>1</c:v>
                </c:pt>
                <c:pt idx="8">
                  <c:v>1</c:v>
                </c:pt>
                <c:pt idx="9">
                  <c:v>1</c:v>
                </c:pt>
                <c:pt idx="10">
                  <c:v>0</c:v>
                </c:pt>
                <c:pt idx="11">
                  <c:v>0</c:v>
                </c:pt>
                <c:pt idx="12">
                  <c:v>0</c:v>
                </c:pt>
                <c:pt idx="13">
                  <c:v>0</c:v>
                </c:pt>
                <c:pt idx="14">
                  <c:v>0</c:v>
                </c:pt>
              </c:numCache>
            </c:numRef>
          </c:val>
          <c:extLst>
            <c:ext xmlns:c16="http://schemas.microsoft.com/office/drawing/2014/chart" uri="{C3380CC4-5D6E-409C-BE32-E72D297353CC}">
              <c16:uniqueId val="{00000002-4C13-4D2F-94D7-17A828C1B64A}"/>
            </c:ext>
          </c:extLst>
        </c:ser>
        <c:ser>
          <c:idx val="6"/>
          <c:order val="3"/>
          <c:tx>
            <c:strRef>
              <c:f>'Figure D4.a.'!$E$41</c:f>
              <c:strCache>
                <c:ptCount val="1"/>
                <c:pt idx="0">
                  <c:v>Voluntary at the discretion of individual teachers or Required, at the discretion of individual schools</c:v>
                </c:pt>
              </c:strCache>
            </c:strRef>
          </c:tx>
          <c:spPr>
            <a:solidFill>
              <a:srgbClr val="929292"/>
            </a:solidFill>
            <a:ln w="6350" cmpd="sng">
              <a:solidFill>
                <a:srgbClr val="000000"/>
              </a:solidFill>
              <a:prstDash val="solid"/>
              <a:round/>
            </a:ln>
            <a:effectLst/>
          </c:spPr>
          <c:invertIfNegative val="0"/>
          <c:cat>
            <c:strRef>
              <c:f>'Figure D4.a.'!$A$42:$A$56</c:f>
              <c:strCache>
                <c:ptCount val="15"/>
                <c:pt idx="0">
                  <c:v>Participation in mentoring programmes and/or supporting new teachers in induction programmes</c:v>
                </c:pt>
                <c:pt idx="1">
                  <c:v>Special tasks (e.g. training student teachers; guidance counselling)</c:v>
                </c:pt>
                <c:pt idx="2">
                  <c:v>Engaging in extracurricular activities (e.g. sports and drama clubs, homework clubs, summer school, etc.)</c:v>
                </c:pt>
                <c:pt idx="3">
                  <c:v>Participation in school or other management in addition to teaching duties</c:v>
                </c:pt>
                <c:pt idx="4">
                  <c:v>Teaching more classes or hours than required by full-time contract (e.g. overtime compensation)</c:v>
                </c:pt>
                <c:pt idx="5">
                  <c:v>Class teacher/form teacher</c:v>
                </c:pt>
                <c:pt idx="6">
                  <c:v>Students counselling (including student supervising, virtual counselling, career guidance, and delinquency prevention)</c:v>
                </c:pt>
                <c:pt idx="8">
                  <c:v>Supervision of students during breaks</c:v>
                </c:pt>
                <c:pt idx="9">
                  <c:v>Team work and dialogue with colleagues at school or elsewhere</c:v>
                </c:pt>
                <c:pt idx="10">
                  <c:v>General administrative work (including communication, paperwork and other clerical duties a teacher undertakes as part of his/her job)</c:v>
                </c:pt>
                <c:pt idx="11">
                  <c:v>Communication and co-operation with parents or guardians</c:v>
                </c:pt>
                <c:pt idx="12">
                  <c:v>Marking/correcting of student work</c:v>
                </c:pt>
                <c:pt idx="13">
                  <c:v>Individual planning or preparation of lessons either at school or elsewhere</c:v>
                </c:pt>
                <c:pt idx="14">
                  <c:v>Teaching</c:v>
                </c:pt>
              </c:strCache>
            </c:strRef>
          </c:cat>
          <c:val>
            <c:numRef>
              <c:f>'Figure D4.a.'!$E$42:$E$56</c:f>
              <c:numCache>
                <c:formatCode>General</c:formatCode>
                <c:ptCount val="15"/>
                <c:pt idx="0">
                  <c:v>0</c:v>
                </c:pt>
                <c:pt idx="1">
                  <c:v>0</c:v>
                </c:pt>
                <c:pt idx="2">
                  <c:v>0</c:v>
                </c:pt>
                <c:pt idx="3">
                  <c:v>0</c:v>
                </c:pt>
                <c:pt idx="4">
                  <c:v>0</c:v>
                </c:pt>
                <c:pt idx="5">
                  <c:v>0</c:v>
                </c:pt>
                <c:pt idx="6">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3-4C13-4D2F-94D7-17A828C1B64A}"/>
            </c:ext>
          </c:extLst>
        </c:ser>
        <c:ser>
          <c:idx val="2"/>
          <c:order val="4"/>
          <c:tx>
            <c:strRef>
              <c:f>'Figure D4.a.'!$F$41</c:f>
              <c:strCache>
                <c:ptCount val="1"/>
                <c:pt idx="0">
                  <c:v>Voluntary at the discretion of individual teachers</c:v>
                </c:pt>
              </c:strCache>
            </c:strRef>
          </c:tx>
          <c:spPr>
            <a:solidFill>
              <a:srgbClr val="EDF0F7"/>
            </a:solidFill>
            <a:ln w="6350" cmpd="sng">
              <a:solidFill>
                <a:srgbClr val="000000"/>
              </a:solidFill>
              <a:prstDash val="solid"/>
              <a:round/>
            </a:ln>
            <a:effectLst/>
          </c:spPr>
          <c:invertIfNegative val="0"/>
          <c:cat>
            <c:strRef>
              <c:f>'Figure D4.a.'!$A$42:$A$56</c:f>
              <c:strCache>
                <c:ptCount val="15"/>
                <c:pt idx="0">
                  <c:v>Participation in mentoring programmes and/or supporting new teachers in induction programmes</c:v>
                </c:pt>
                <c:pt idx="1">
                  <c:v>Special tasks (e.g. training student teachers; guidance counselling)</c:v>
                </c:pt>
                <c:pt idx="2">
                  <c:v>Engaging in extracurricular activities (e.g. sports and drama clubs, homework clubs, summer school, etc.)</c:v>
                </c:pt>
                <c:pt idx="3">
                  <c:v>Participation in school or other management in addition to teaching duties</c:v>
                </c:pt>
                <c:pt idx="4">
                  <c:v>Teaching more classes or hours than required by full-time contract (e.g. overtime compensation)</c:v>
                </c:pt>
                <c:pt idx="5">
                  <c:v>Class teacher/form teacher</c:v>
                </c:pt>
                <c:pt idx="6">
                  <c:v>Students counselling (including student supervising, virtual counselling, career guidance, and delinquency prevention)</c:v>
                </c:pt>
                <c:pt idx="8">
                  <c:v>Supervision of students during breaks</c:v>
                </c:pt>
                <c:pt idx="9">
                  <c:v>Team work and dialogue with colleagues at school or elsewhere</c:v>
                </c:pt>
                <c:pt idx="10">
                  <c:v>General administrative work (including communication, paperwork and other clerical duties a teacher undertakes as part of his/her job)</c:v>
                </c:pt>
                <c:pt idx="11">
                  <c:v>Communication and co-operation with parents or guardians</c:v>
                </c:pt>
                <c:pt idx="12">
                  <c:v>Marking/correcting of student work</c:v>
                </c:pt>
                <c:pt idx="13">
                  <c:v>Individual planning or preparation of lessons either at school or elsewhere</c:v>
                </c:pt>
                <c:pt idx="14">
                  <c:v>Teaching</c:v>
                </c:pt>
              </c:strCache>
            </c:strRef>
          </c:cat>
          <c:val>
            <c:numRef>
              <c:f>'Figure D4.a.'!$F$42:$F$56</c:f>
              <c:numCache>
                <c:formatCode>General</c:formatCode>
                <c:ptCount val="15"/>
                <c:pt idx="0">
                  <c:v>18</c:v>
                </c:pt>
                <c:pt idx="1">
                  <c:v>20</c:v>
                </c:pt>
                <c:pt idx="2">
                  <c:v>22</c:v>
                </c:pt>
                <c:pt idx="3">
                  <c:v>13</c:v>
                </c:pt>
                <c:pt idx="4">
                  <c:v>16</c:v>
                </c:pt>
                <c:pt idx="5">
                  <c:v>6</c:v>
                </c:pt>
                <c:pt idx="6">
                  <c:v>7</c:v>
                </c:pt>
                <c:pt idx="8">
                  <c:v>6</c:v>
                </c:pt>
                <c:pt idx="9">
                  <c:v>5</c:v>
                </c:pt>
                <c:pt idx="10">
                  <c:v>3</c:v>
                </c:pt>
                <c:pt idx="11">
                  <c:v>1</c:v>
                </c:pt>
                <c:pt idx="12">
                  <c:v>1</c:v>
                </c:pt>
                <c:pt idx="13">
                  <c:v>1</c:v>
                </c:pt>
                <c:pt idx="14">
                  <c:v>0</c:v>
                </c:pt>
              </c:numCache>
            </c:numRef>
          </c:val>
          <c:extLst>
            <c:ext xmlns:c16="http://schemas.microsoft.com/office/drawing/2014/chart" uri="{C3380CC4-5D6E-409C-BE32-E72D297353CC}">
              <c16:uniqueId val="{00000004-4C13-4D2F-94D7-17A828C1B64A}"/>
            </c:ext>
          </c:extLst>
        </c:ser>
        <c:ser>
          <c:idx val="5"/>
          <c:order val="5"/>
          <c:tx>
            <c:strRef>
              <c:f>'Figure D4.a.'!$G$41</c:f>
              <c:strCache>
                <c:ptCount val="1"/>
                <c:pt idx="0">
                  <c:v>Not required</c:v>
                </c:pt>
              </c:strCache>
            </c:strRef>
          </c:tx>
          <c:spPr>
            <a:pattFill prst="openDmnd">
              <a:fgClr>
                <a:srgbClr val="000000"/>
              </a:fgClr>
              <a:bgClr>
                <a:srgbClr val="FFFFFF"/>
              </a:bgClr>
            </a:pattFill>
            <a:ln w="6350" cmpd="sng">
              <a:solidFill>
                <a:srgbClr val="000000"/>
              </a:solidFill>
              <a:round/>
            </a:ln>
            <a:effectLst/>
          </c:spPr>
          <c:invertIfNegative val="0"/>
          <c:cat>
            <c:strRef>
              <c:f>'Figure D4.a.'!$A$42:$A$56</c:f>
              <c:strCache>
                <c:ptCount val="15"/>
                <c:pt idx="0">
                  <c:v>Participation in mentoring programmes and/or supporting new teachers in induction programmes</c:v>
                </c:pt>
                <c:pt idx="1">
                  <c:v>Special tasks (e.g. training student teachers; guidance counselling)</c:v>
                </c:pt>
                <c:pt idx="2">
                  <c:v>Engaging in extracurricular activities (e.g. sports and drama clubs, homework clubs, summer school, etc.)</c:v>
                </c:pt>
                <c:pt idx="3">
                  <c:v>Participation in school or other management in addition to teaching duties</c:v>
                </c:pt>
                <c:pt idx="4">
                  <c:v>Teaching more classes or hours than required by full-time contract (e.g. overtime compensation)</c:v>
                </c:pt>
                <c:pt idx="5">
                  <c:v>Class teacher/form teacher</c:v>
                </c:pt>
                <c:pt idx="6">
                  <c:v>Students counselling (including student supervising, virtual counselling, career guidance, and delinquency prevention)</c:v>
                </c:pt>
                <c:pt idx="8">
                  <c:v>Supervision of students during breaks</c:v>
                </c:pt>
                <c:pt idx="9">
                  <c:v>Team work and dialogue with colleagues at school or elsewhere</c:v>
                </c:pt>
                <c:pt idx="10">
                  <c:v>General administrative work (including communication, paperwork and other clerical duties a teacher undertakes as part of his/her job)</c:v>
                </c:pt>
                <c:pt idx="11">
                  <c:v>Communication and co-operation with parents or guardians</c:v>
                </c:pt>
                <c:pt idx="12">
                  <c:v>Marking/correcting of student work</c:v>
                </c:pt>
                <c:pt idx="13">
                  <c:v>Individual planning or preparation of lessons either at school or elsewhere</c:v>
                </c:pt>
                <c:pt idx="14">
                  <c:v>Teaching</c:v>
                </c:pt>
              </c:strCache>
            </c:strRef>
          </c:cat>
          <c:val>
            <c:numRef>
              <c:f>'Figure D4.a.'!$G$42:$G$56</c:f>
              <c:numCache>
                <c:formatCode>General</c:formatCode>
                <c:ptCount val="15"/>
                <c:pt idx="0">
                  <c:v>1</c:v>
                </c:pt>
                <c:pt idx="1">
                  <c:v>2</c:v>
                </c:pt>
                <c:pt idx="2">
                  <c:v>5</c:v>
                </c:pt>
                <c:pt idx="3">
                  <c:v>1</c:v>
                </c:pt>
                <c:pt idx="4">
                  <c:v>6</c:v>
                </c:pt>
                <c:pt idx="5">
                  <c:v>5</c:v>
                </c:pt>
                <c:pt idx="6">
                  <c:v>5</c:v>
                </c:pt>
                <c:pt idx="8">
                  <c:v>2</c:v>
                </c:pt>
                <c:pt idx="9">
                  <c:v>0</c:v>
                </c:pt>
                <c:pt idx="10">
                  <c:v>1</c:v>
                </c:pt>
                <c:pt idx="11">
                  <c:v>0</c:v>
                </c:pt>
                <c:pt idx="12">
                  <c:v>0</c:v>
                </c:pt>
                <c:pt idx="13">
                  <c:v>0</c:v>
                </c:pt>
                <c:pt idx="14">
                  <c:v>0</c:v>
                </c:pt>
              </c:numCache>
            </c:numRef>
          </c:val>
          <c:extLst>
            <c:ext xmlns:c16="http://schemas.microsoft.com/office/drawing/2014/chart" uri="{C3380CC4-5D6E-409C-BE32-E72D297353CC}">
              <c16:uniqueId val="{00000005-4C13-4D2F-94D7-17A828C1B64A}"/>
            </c:ext>
          </c:extLst>
        </c:ser>
        <c:ser>
          <c:idx val="3"/>
          <c:order val="6"/>
          <c:tx>
            <c:strRef>
              <c:f>'Figure D4.a.'!$H$41</c:f>
              <c:strCache>
                <c:ptCount val="1"/>
                <c:pt idx="0">
                  <c:v>Not applicable</c:v>
                </c:pt>
              </c:strCache>
            </c:strRef>
          </c:tx>
          <c:spPr>
            <a:solidFill>
              <a:srgbClr val="FFFFFF"/>
            </a:solidFill>
            <a:ln w="6350" cmpd="sng">
              <a:solidFill>
                <a:srgbClr val="000000"/>
              </a:solidFill>
              <a:round/>
            </a:ln>
            <a:effectLst/>
          </c:spPr>
          <c:invertIfNegative val="0"/>
          <c:cat>
            <c:strRef>
              <c:f>'Figure D4.a.'!$A$42:$A$56</c:f>
              <c:strCache>
                <c:ptCount val="15"/>
                <c:pt idx="0">
                  <c:v>Participation in mentoring programmes and/or supporting new teachers in induction programmes</c:v>
                </c:pt>
                <c:pt idx="1">
                  <c:v>Special tasks (e.g. training student teachers; guidance counselling)</c:v>
                </c:pt>
                <c:pt idx="2">
                  <c:v>Engaging in extracurricular activities (e.g. sports and drama clubs, homework clubs, summer school, etc.)</c:v>
                </c:pt>
                <c:pt idx="3">
                  <c:v>Participation in school or other management in addition to teaching duties</c:v>
                </c:pt>
                <c:pt idx="4">
                  <c:v>Teaching more classes or hours than required by full-time contract (e.g. overtime compensation)</c:v>
                </c:pt>
                <c:pt idx="5">
                  <c:v>Class teacher/form teacher</c:v>
                </c:pt>
                <c:pt idx="6">
                  <c:v>Students counselling (including student supervising, virtual counselling, career guidance, and delinquency prevention)</c:v>
                </c:pt>
                <c:pt idx="8">
                  <c:v>Supervision of students during breaks</c:v>
                </c:pt>
                <c:pt idx="9">
                  <c:v>Team work and dialogue with colleagues at school or elsewhere</c:v>
                </c:pt>
                <c:pt idx="10">
                  <c:v>General administrative work (including communication, paperwork and other clerical duties a teacher undertakes as part of his/her job)</c:v>
                </c:pt>
                <c:pt idx="11">
                  <c:v>Communication and co-operation with parents or guardians</c:v>
                </c:pt>
                <c:pt idx="12">
                  <c:v>Marking/correcting of student work</c:v>
                </c:pt>
                <c:pt idx="13">
                  <c:v>Individual planning or preparation of lessons either at school or elsewhere</c:v>
                </c:pt>
                <c:pt idx="14">
                  <c:v>Teaching</c:v>
                </c:pt>
              </c:strCache>
            </c:strRef>
          </c:cat>
          <c:val>
            <c:numRef>
              <c:f>'Figure D4.a.'!$H$42:$H$56</c:f>
              <c:numCache>
                <c:formatCode>General</c:formatCode>
                <c:ptCount val="15"/>
                <c:pt idx="0">
                  <c:v>1</c:v>
                </c:pt>
                <c:pt idx="1">
                  <c:v>0</c:v>
                </c:pt>
                <c:pt idx="2">
                  <c:v>0</c:v>
                </c:pt>
                <c:pt idx="3">
                  <c:v>1</c:v>
                </c:pt>
                <c:pt idx="4">
                  <c:v>0</c:v>
                </c:pt>
                <c:pt idx="5">
                  <c:v>1</c:v>
                </c:pt>
                <c:pt idx="6">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6-4C13-4D2F-94D7-17A828C1B64A}"/>
            </c:ext>
          </c:extLst>
        </c:ser>
        <c:ser>
          <c:idx val="4"/>
          <c:order val="7"/>
          <c:tx>
            <c:strRef>
              <c:f>'Figure D4.a.'!$I$41</c:f>
              <c:strCache>
                <c:ptCount val="1"/>
                <c:pt idx="0">
                  <c:v>Missing</c:v>
                </c:pt>
              </c:strCache>
            </c:strRef>
          </c:tx>
          <c:spPr>
            <a:pattFill prst="ltUpDiag">
              <a:fgClr>
                <a:srgbClr val="000000"/>
              </a:fgClr>
              <a:bgClr>
                <a:srgbClr val="FFFFFF"/>
              </a:bgClr>
            </a:pattFill>
            <a:ln w="6350" cmpd="sng">
              <a:solidFill>
                <a:srgbClr val="000000"/>
              </a:solidFill>
              <a:prstDash val="solid"/>
              <a:round/>
            </a:ln>
            <a:effectLst/>
          </c:spPr>
          <c:invertIfNegative val="0"/>
          <c:cat>
            <c:strRef>
              <c:f>'Figure D4.a.'!$A$42:$A$56</c:f>
              <c:strCache>
                <c:ptCount val="15"/>
                <c:pt idx="0">
                  <c:v>Participation in mentoring programmes and/or supporting new teachers in induction programmes</c:v>
                </c:pt>
                <c:pt idx="1">
                  <c:v>Special tasks (e.g. training student teachers; guidance counselling)</c:v>
                </c:pt>
                <c:pt idx="2">
                  <c:v>Engaging in extracurricular activities (e.g. sports and drama clubs, homework clubs, summer school, etc.)</c:v>
                </c:pt>
                <c:pt idx="3">
                  <c:v>Participation in school or other management in addition to teaching duties</c:v>
                </c:pt>
                <c:pt idx="4">
                  <c:v>Teaching more classes or hours than required by full-time contract (e.g. overtime compensation)</c:v>
                </c:pt>
                <c:pt idx="5">
                  <c:v>Class teacher/form teacher</c:v>
                </c:pt>
                <c:pt idx="6">
                  <c:v>Students counselling (including student supervising, virtual counselling, career guidance, and delinquency prevention)</c:v>
                </c:pt>
                <c:pt idx="8">
                  <c:v>Supervision of students during breaks</c:v>
                </c:pt>
                <c:pt idx="9">
                  <c:v>Team work and dialogue with colleagues at school or elsewhere</c:v>
                </c:pt>
                <c:pt idx="10">
                  <c:v>General administrative work (including communication, paperwork and other clerical duties a teacher undertakes as part of his/her job)</c:v>
                </c:pt>
                <c:pt idx="11">
                  <c:v>Communication and co-operation with parents or guardians</c:v>
                </c:pt>
                <c:pt idx="12">
                  <c:v>Marking/correcting of student work</c:v>
                </c:pt>
                <c:pt idx="13">
                  <c:v>Individual planning or preparation of lessons either at school or elsewhere</c:v>
                </c:pt>
                <c:pt idx="14">
                  <c:v>Teaching</c:v>
                </c:pt>
              </c:strCache>
            </c:strRef>
          </c:cat>
          <c:val>
            <c:numRef>
              <c:f>'Figure D4.a.'!$I$42:$I$56</c:f>
              <c:numCache>
                <c:formatCode>General</c:formatCode>
                <c:ptCount val="15"/>
                <c:pt idx="0">
                  <c:v>0</c:v>
                </c:pt>
                <c:pt idx="1">
                  <c:v>0</c:v>
                </c:pt>
                <c:pt idx="2">
                  <c:v>0</c:v>
                </c:pt>
                <c:pt idx="3">
                  <c:v>0</c:v>
                </c:pt>
                <c:pt idx="4">
                  <c:v>0</c:v>
                </c:pt>
                <c:pt idx="5">
                  <c:v>0</c:v>
                </c:pt>
                <c:pt idx="6">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7-4C13-4D2F-94D7-17A828C1B64A}"/>
            </c:ext>
          </c:extLst>
        </c:ser>
        <c:ser>
          <c:idx val="8"/>
          <c:order val="8"/>
          <c:tx>
            <c:strRef>
              <c:f>'Figure D4.a.'!$J$41</c:f>
              <c:strCache>
                <c:ptCount val="1"/>
                <c:pt idx="0">
                  <c:v>Mandatory, or Voluntary at the discretion of individual teachers</c:v>
                </c:pt>
              </c:strCache>
            </c:strRef>
          </c:tx>
          <c:spPr>
            <a:pattFill prst="openDmnd">
              <a:fgClr>
                <a:srgbClr val="4F81BD"/>
              </a:fgClr>
              <a:bgClr>
                <a:srgbClr val="FFFFFF"/>
              </a:bgClr>
            </a:pattFill>
            <a:ln w="6350" cmpd="sng">
              <a:solidFill>
                <a:srgbClr val="000000"/>
              </a:solidFill>
              <a:prstDash val="solid"/>
              <a:round/>
            </a:ln>
            <a:effectLst/>
          </c:spPr>
          <c:invertIfNegative val="0"/>
          <c:cat>
            <c:strRef>
              <c:f>'Figure D4.a.'!$A$42:$A$56</c:f>
              <c:strCache>
                <c:ptCount val="15"/>
                <c:pt idx="0">
                  <c:v>Participation in mentoring programmes and/or supporting new teachers in induction programmes</c:v>
                </c:pt>
                <c:pt idx="1">
                  <c:v>Special tasks (e.g. training student teachers; guidance counselling)</c:v>
                </c:pt>
                <c:pt idx="2">
                  <c:v>Engaging in extracurricular activities (e.g. sports and drama clubs, homework clubs, summer school, etc.)</c:v>
                </c:pt>
                <c:pt idx="3">
                  <c:v>Participation in school or other management in addition to teaching duties</c:v>
                </c:pt>
                <c:pt idx="4">
                  <c:v>Teaching more classes or hours than required by full-time contract (e.g. overtime compensation)</c:v>
                </c:pt>
                <c:pt idx="5">
                  <c:v>Class teacher/form teacher</c:v>
                </c:pt>
                <c:pt idx="6">
                  <c:v>Students counselling (including student supervising, virtual counselling, career guidance, and delinquency prevention)</c:v>
                </c:pt>
                <c:pt idx="8">
                  <c:v>Supervision of students during breaks</c:v>
                </c:pt>
                <c:pt idx="9">
                  <c:v>Team work and dialogue with colleagues at school or elsewhere</c:v>
                </c:pt>
                <c:pt idx="10">
                  <c:v>General administrative work (including communication, paperwork and other clerical duties a teacher undertakes as part of his/her job)</c:v>
                </c:pt>
                <c:pt idx="11">
                  <c:v>Communication and co-operation with parents or guardians</c:v>
                </c:pt>
                <c:pt idx="12">
                  <c:v>Marking/correcting of student work</c:v>
                </c:pt>
                <c:pt idx="13">
                  <c:v>Individual planning or preparation of lessons either at school or elsewhere</c:v>
                </c:pt>
                <c:pt idx="14">
                  <c:v>Teaching</c:v>
                </c:pt>
              </c:strCache>
            </c:strRef>
          </c:cat>
          <c:val>
            <c:numRef>
              <c:f>'Figure D4.a.'!$J$42:$J$56</c:f>
              <c:numCache>
                <c:formatCode>General</c:formatCode>
                <c:ptCount val="15"/>
                <c:pt idx="0">
                  <c:v>0</c:v>
                </c:pt>
                <c:pt idx="1">
                  <c:v>0</c:v>
                </c:pt>
                <c:pt idx="2">
                  <c:v>0</c:v>
                </c:pt>
                <c:pt idx="3">
                  <c:v>0</c:v>
                </c:pt>
                <c:pt idx="4">
                  <c:v>1</c:v>
                </c:pt>
                <c:pt idx="5">
                  <c:v>0</c:v>
                </c:pt>
                <c:pt idx="6">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8-4C13-4D2F-94D7-17A828C1B64A}"/>
            </c:ext>
          </c:extLst>
        </c:ser>
        <c:dLbls>
          <c:showLegendKey val="0"/>
          <c:showVal val="0"/>
          <c:showCatName val="0"/>
          <c:showSerName val="0"/>
          <c:showPercent val="0"/>
          <c:showBubbleSize val="0"/>
        </c:dLbls>
        <c:gapWidth val="95"/>
        <c:overlap val="100"/>
        <c:axId val="475100288"/>
        <c:axId val="475101824"/>
      </c:barChart>
      <c:catAx>
        <c:axId val="475100288"/>
        <c:scaling>
          <c:orientation val="minMax"/>
        </c:scaling>
        <c:delete val="0"/>
        <c:axPos val="l"/>
        <c:majorGridlines>
          <c:spPr>
            <a:ln w="9525" cmpd="sng">
              <a:solidFill>
                <a:srgbClr val="FFFFFF"/>
              </a:solidFill>
              <a:prstDash val="solid"/>
            </a:ln>
          </c:spPr>
        </c:majorGridlines>
        <c:numFmt formatCode="General" sourceLinked="0"/>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u="none" strike="noStrike" baseline="0">
                <a:solidFill>
                  <a:srgbClr val="000000"/>
                </a:solidFill>
                <a:latin typeface="Arial Narrow"/>
                <a:ea typeface="Arial Narrow"/>
                <a:cs typeface="Arial Narrow"/>
              </a:defRPr>
            </a:pPr>
            <a:endParaRPr lang="en-US"/>
          </a:p>
        </c:txPr>
        <c:crossAx val="475101824"/>
        <c:crosses val="autoZero"/>
        <c:auto val="1"/>
        <c:lblAlgn val="ctr"/>
        <c:lblOffset val="0"/>
        <c:tickLblSkip val="1"/>
        <c:noMultiLvlLbl val="0"/>
      </c:catAx>
      <c:valAx>
        <c:axId val="475101824"/>
        <c:scaling>
          <c:orientation val="minMax"/>
          <c:max val="40"/>
          <c:min val="0"/>
        </c:scaling>
        <c:delete val="0"/>
        <c:axPos val="b"/>
        <c:majorGridlines>
          <c:spPr>
            <a:ln w="9525" cmpd="sng">
              <a:solidFill>
                <a:srgbClr val="FFFFFF"/>
              </a:solidFill>
              <a:prstDash val="solid"/>
            </a:ln>
          </c:spPr>
        </c:majorGridlines>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u="none" strike="noStrike" baseline="0">
                <a:solidFill>
                  <a:srgbClr val="000000"/>
                </a:solidFill>
                <a:latin typeface="Arial Narrow"/>
                <a:ea typeface="Arial Narrow"/>
                <a:cs typeface="Arial Narrow"/>
              </a:defRPr>
            </a:pPr>
            <a:endParaRPr lang="en-US"/>
          </a:p>
        </c:txPr>
        <c:crossAx val="475100288"/>
        <c:crosses val="autoZero"/>
        <c:crossBetween val="between"/>
        <c:majorUnit val="5"/>
      </c:valAx>
      <c:spPr>
        <a:solidFill>
          <a:srgbClr val="F4FFFF"/>
        </a:solidFill>
        <a:ln w="9525">
          <a:solidFill>
            <a:srgbClr val="000000"/>
          </a:solidFill>
        </a:ln>
      </c:spPr>
    </c:plotArea>
    <c:legend>
      <c:legendPos val="r"/>
      <c:legendEntry>
        <c:idx val="3"/>
        <c:delete val="1"/>
      </c:legendEntry>
      <c:legendEntry>
        <c:idx val="7"/>
        <c:delete val="1"/>
      </c:legendEntry>
      <c:layout>
        <c:manualLayout>
          <c:xMode val="edge"/>
          <c:yMode val="edge"/>
          <c:x val="0.46059953032186768"/>
          <c:y val="1.1931394481730051E-2"/>
          <c:w val="0.51609297874992832"/>
          <c:h val="0.15510812826249068"/>
        </c:manualLayout>
      </c:layout>
      <c:overlay val="1"/>
      <c:spPr>
        <a:solidFill>
          <a:srgbClr val="EAEAEA"/>
        </a:solidFill>
        <a:ln w="25400">
          <a:noFill/>
        </a:ln>
      </c:spPr>
      <c:txPr>
        <a:bodyPr/>
        <a:lstStyle/>
        <a:p>
          <a:pPr>
            <a:defRPr sz="750" b="0" i="0" u="none" strike="noStrike" baseline="0">
              <a:solidFill>
                <a:srgbClr val="000000"/>
              </a:solidFill>
              <a:latin typeface="Arial Narrow"/>
              <a:ea typeface="Arial Narrow"/>
              <a:cs typeface="Arial Narrow"/>
            </a:defRPr>
          </a:pPr>
          <a:endParaRPr lang="en-US"/>
        </a:p>
      </c:txPr>
    </c:legend>
    <c:plotVisOnly val="1"/>
    <c:dispBlanksAs val="gap"/>
    <c:showDLblsOverMax val="1"/>
  </c:chart>
  <c:spPr>
    <a:noFill/>
    <a:ln w="9525">
      <a:no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1" l="0.25" r="0.25" t="0.750000000000001" header="0.3" footer="0.3"/>
    <c:pageSetup orientation="portrait"/>
  </c:printSettings>
  <c:userShapes r:id="rId1"/>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57150</xdr:colOff>
      <xdr:row>9</xdr:row>
      <xdr:rowOff>3810</xdr:rowOff>
    </xdr:from>
    <xdr:to>
      <xdr:col>12</xdr:col>
      <xdr:colOff>251460</xdr:colOff>
      <xdr:row>34</xdr:row>
      <xdr:rowOff>102870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absSizeAnchor xmlns:cdr="http://schemas.openxmlformats.org/drawingml/2006/chartDrawing">
    <cdr:from>
      <cdr:x>0.14239</cdr:x>
      <cdr:y>0.13776</cdr:y>
    </cdr:from>
    <cdr:ext cx="4904153" cy="335709"/>
    <cdr:sp macro="" textlink="">
      <cdr:nvSpPr>
        <cdr:cNvPr id="2" name="TextBox 1"/>
        <cdr:cNvSpPr txBox="1"/>
      </cdr:nvSpPr>
      <cdr:spPr>
        <a:xfrm xmlns:a="http://schemas.openxmlformats.org/drawingml/2006/main">
          <a:off x="1063324" y="984147"/>
          <a:ext cx="5540138" cy="66258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0.02551</cdr:x>
      <cdr:y>0.87184</cdr:y>
    </cdr:from>
    <cdr:ext cx="3237749" cy="446682"/>
    <cdr:sp macro="" textlink="">
      <cdr:nvSpPr>
        <cdr:cNvPr id="3" name="TextBox 2"/>
        <cdr:cNvSpPr txBox="1"/>
      </cdr:nvSpPr>
      <cdr:spPr>
        <a:xfrm xmlns:a="http://schemas.openxmlformats.org/drawingml/2006/main">
          <a:off x="190500" y="5248275"/>
          <a:ext cx="3657600" cy="7429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cdr:x>
      <cdr:y>0.04225</cdr:y>
    </cdr:from>
    <cdr:ext cx="1030157" cy="244316"/>
    <cdr:sp macro="" textlink="">
      <cdr:nvSpPr>
        <cdr:cNvPr id="4" name="TextBox 1"/>
        <cdr:cNvSpPr txBox="1"/>
      </cdr:nvSpPr>
      <cdr:spPr>
        <a:xfrm xmlns:a="http://schemas.openxmlformats.org/drawingml/2006/main">
          <a:off x="0" y="247120"/>
          <a:ext cx="1206798" cy="39476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0.45273</cdr:x>
      <cdr:y>0.12359</cdr:y>
    </cdr:from>
    <cdr:ext cx="155938" cy="2038683"/>
    <cdr:sp macro="" textlink="">
      <cdr:nvSpPr>
        <cdr:cNvPr id="11" name="Rectangle 10"/>
        <cdr:cNvSpPr>
          <a:spLocks xmlns:a="http://schemas.openxmlformats.org/drawingml/2006/main" noChangeArrowheads="1"/>
        </cdr:cNvSpPr>
      </cdr:nvSpPr>
      <cdr:spPr bwMode="auto">
        <a:xfrm xmlns:a="http://schemas.openxmlformats.org/drawingml/2006/main">
          <a:off x="3367842" y="447351"/>
          <a:ext cx="175487" cy="2038683"/>
        </a:xfrm>
        <a:prstGeom xmlns:a="http://schemas.openxmlformats.org/drawingml/2006/main" prst="rect">
          <a:avLst/>
        </a:prstGeom>
        <a:solidFill xmlns:a="http://schemas.openxmlformats.org/drawingml/2006/main">
          <a:srgbClr val="7F7F7F">
            <a:alpha val="43137"/>
          </a:srgbClr>
        </a:solidFill>
        <a:ln xmlns:a="http://schemas.openxmlformats.org/drawingml/2006/main">
          <a:noFill/>
        </a:ln>
        <a:extLst xmlns:a="http://schemas.openxmlformats.org/drawingml/2006/main">
          <a:ext uri="{91240B29-F687-4F45-9708-019B960494DF}">
            <a14:hiddenLine xmlns:a14="http://schemas.microsoft.com/office/drawing/2010/main" w="9525" algn="ctr">
              <a:solidFill>
                <a:srgbClr val="000000"/>
              </a:solidFill>
              <a:round/>
              <a:headEnd/>
              <a:tailEnd/>
            </a14:hiddenLine>
          </a:ext>
        </a:extLst>
      </cdr:spPr>
      <cdr:txBody>
        <a:bodyPr xmlns:a="http://schemas.openxmlformats.org/drawingml/2006/main"/>
        <a:lstStyle xmlns:a="http://schemas.openxmlformats.org/drawingml/2006/main"/>
        <a:p xmlns:a="http://schemas.openxmlformats.org/drawingml/2006/main">
          <a:endParaRPr lang="en-GB"/>
        </a:p>
      </cdr:txBody>
    </cdr:sp>
  </cdr:absSizeAnchor>
</c:userShapes>
</file>

<file path=xl/drawings/drawing3.xml><?xml version="1.0" encoding="utf-8"?>
<xdr:wsDr xmlns:xdr="http://schemas.openxmlformats.org/drawingml/2006/spreadsheetDrawing" xmlns:a="http://schemas.openxmlformats.org/drawingml/2006/main">
  <xdr:twoCellAnchor>
    <xdr:from>
      <xdr:col>0</xdr:col>
      <xdr:colOff>47625</xdr:colOff>
      <xdr:row>8</xdr:row>
      <xdr:rowOff>38100</xdr:rowOff>
    </xdr:from>
    <xdr:to>
      <xdr:col>8</xdr:col>
      <xdr:colOff>76200</xdr:colOff>
      <xdr:row>35</xdr:row>
      <xdr:rowOff>38100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absSizeAnchor xmlns:cdr="http://schemas.openxmlformats.org/drawingml/2006/chartDrawing">
    <cdr:from>
      <cdr:x>0.14239</cdr:x>
      <cdr:y>0.13776</cdr:y>
    </cdr:from>
    <cdr:ext cx="4769889" cy="405501"/>
    <cdr:sp macro="" textlink="">
      <cdr:nvSpPr>
        <cdr:cNvPr id="2" name="TextBox 1"/>
        <cdr:cNvSpPr txBox="1"/>
      </cdr:nvSpPr>
      <cdr:spPr>
        <a:xfrm xmlns:a="http://schemas.openxmlformats.org/drawingml/2006/main">
          <a:off x="1063324" y="984147"/>
          <a:ext cx="5540138" cy="66258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0.02551</cdr:x>
      <cdr:y>0.87184</cdr:y>
    </cdr:from>
    <cdr:ext cx="3149108" cy="539545"/>
    <cdr:sp macro="" textlink="">
      <cdr:nvSpPr>
        <cdr:cNvPr id="3" name="TextBox 2"/>
        <cdr:cNvSpPr txBox="1"/>
      </cdr:nvSpPr>
      <cdr:spPr>
        <a:xfrm xmlns:a="http://schemas.openxmlformats.org/drawingml/2006/main">
          <a:off x="190500" y="5248275"/>
          <a:ext cx="3657600" cy="7429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cdr:x>
      <cdr:y>0.0846</cdr:y>
    </cdr:from>
    <cdr:ext cx="1001954" cy="295108"/>
    <cdr:sp macro="" textlink="">
      <cdr:nvSpPr>
        <cdr:cNvPr id="4" name="TextBox 1"/>
        <cdr:cNvSpPr txBox="1"/>
      </cdr:nvSpPr>
      <cdr:spPr>
        <a:xfrm xmlns:a="http://schemas.openxmlformats.org/drawingml/2006/main">
          <a:off x="0" y="476251"/>
          <a:ext cx="1230548" cy="37996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0.14239</cdr:x>
      <cdr:y>0.13776</cdr:y>
    </cdr:from>
    <cdr:ext cx="4769889" cy="405501"/>
    <cdr:sp macro="" textlink="">
      <cdr:nvSpPr>
        <cdr:cNvPr id="9" name="TextBox 1"/>
        <cdr:cNvSpPr txBox="1"/>
      </cdr:nvSpPr>
      <cdr:spPr>
        <a:xfrm xmlns:a="http://schemas.openxmlformats.org/drawingml/2006/main">
          <a:off x="1063324" y="984147"/>
          <a:ext cx="5540138" cy="66258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0.02551</cdr:x>
      <cdr:y>0.87184</cdr:y>
    </cdr:from>
    <cdr:ext cx="3149108" cy="539545"/>
    <cdr:sp macro="" textlink="">
      <cdr:nvSpPr>
        <cdr:cNvPr id="10" name="TextBox 2"/>
        <cdr:cNvSpPr txBox="1"/>
      </cdr:nvSpPr>
      <cdr:spPr>
        <a:xfrm xmlns:a="http://schemas.openxmlformats.org/drawingml/2006/main">
          <a:off x="190500" y="5248275"/>
          <a:ext cx="3657600" cy="7429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0.14239</cdr:x>
      <cdr:y>0.13776</cdr:y>
    </cdr:from>
    <cdr:ext cx="4769889" cy="405501"/>
    <cdr:sp macro="" textlink="">
      <cdr:nvSpPr>
        <cdr:cNvPr id="5" name="TextBox 1"/>
        <cdr:cNvSpPr txBox="1"/>
      </cdr:nvSpPr>
      <cdr:spPr>
        <a:xfrm xmlns:a="http://schemas.openxmlformats.org/drawingml/2006/main">
          <a:off x="1063324" y="984147"/>
          <a:ext cx="5540138" cy="66258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0.02551</cdr:x>
      <cdr:y>0.87184</cdr:y>
    </cdr:from>
    <cdr:ext cx="3149108" cy="539545"/>
    <cdr:sp macro="" textlink="">
      <cdr:nvSpPr>
        <cdr:cNvPr id="6" name="TextBox 2"/>
        <cdr:cNvSpPr txBox="1"/>
      </cdr:nvSpPr>
      <cdr:spPr>
        <a:xfrm xmlns:a="http://schemas.openxmlformats.org/drawingml/2006/main">
          <a:off x="190500" y="5248275"/>
          <a:ext cx="3657600" cy="7429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0.14239</cdr:x>
      <cdr:y>0.13776</cdr:y>
    </cdr:from>
    <cdr:ext cx="4769889" cy="405501"/>
    <cdr:sp macro="" textlink="">
      <cdr:nvSpPr>
        <cdr:cNvPr id="7" name="TextBox 1"/>
        <cdr:cNvSpPr txBox="1"/>
      </cdr:nvSpPr>
      <cdr:spPr>
        <a:xfrm xmlns:a="http://schemas.openxmlformats.org/drawingml/2006/main">
          <a:off x="1063324" y="984147"/>
          <a:ext cx="5540138" cy="66258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0.02551</cdr:x>
      <cdr:y>0.87184</cdr:y>
    </cdr:from>
    <cdr:ext cx="3149108" cy="539545"/>
    <cdr:sp macro="" textlink="">
      <cdr:nvSpPr>
        <cdr:cNvPr id="11" name="TextBox 2"/>
        <cdr:cNvSpPr txBox="1"/>
      </cdr:nvSpPr>
      <cdr:spPr>
        <a:xfrm xmlns:a="http://schemas.openxmlformats.org/drawingml/2006/main">
          <a:off x="190500" y="5248275"/>
          <a:ext cx="3657600" cy="7429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0.14239</cdr:x>
      <cdr:y>0.13776</cdr:y>
    </cdr:from>
    <cdr:ext cx="4769889" cy="405501"/>
    <cdr:sp macro="" textlink="">
      <cdr:nvSpPr>
        <cdr:cNvPr id="13" name="TextBox 1"/>
        <cdr:cNvSpPr txBox="1"/>
      </cdr:nvSpPr>
      <cdr:spPr>
        <a:xfrm xmlns:a="http://schemas.openxmlformats.org/drawingml/2006/main">
          <a:off x="1063324" y="984147"/>
          <a:ext cx="5540138" cy="66258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0.02551</cdr:x>
      <cdr:y>0.87184</cdr:y>
    </cdr:from>
    <cdr:ext cx="3149108" cy="539545"/>
    <cdr:sp macro="" textlink="">
      <cdr:nvSpPr>
        <cdr:cNvPr id="14" name="TextBox 2"/>
        <cdr:cNvSpPr txBox="1"/>
      </cdr:nvSpPr>
      <cdr:spPr>
        <a:xfrm xmlns:a="http://schemas.openxmlformats.org/drawingml/2006/main">
          <a:off x="190500" y="5248275"/>
          <a:ext cx="3657600" cy="7429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0.00893</cdr:x>
      <cdr:y>0.86933</cdr:y>
    </cdr:from>
    <cdr:ext cx="3969175" cy="384734"/>
    <cdr:sp macro="" textlink="">
      <cdr:nvSpPr>
        <cdr:cNvPr id="15" name="Footnote"/>
        <cdr:cNvSpPr txBox="1"/>
      </cdr:nvSpPr>
      <cdr:spPr>
        <a:xfrm xmlns:a="http://schemas.openxmlformats.org/drawingml/2006/main">
          <a:off x="66686" y="6210276"/>
          <a:ext cx="4610089" cy="628674"/>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0.41261</cdr:x>
      <cdr:y>0.14684</cdr:y>
    </cdr:from>
    <cdr:ext cx="142539" cy="2676523"/>
    <cdr:sp macro="" textlink="">
      <cdr:nvSpPr>
        <cdr:cNvPr id="16" name="Rectangle 15"/>
        <cdr:cNvSpPr>
          <a:spLocks xmlns:a="http://schemas.openxmlformats.org/drawingml/2006/main" noChangeArrowheads="1"/>
        </cdr:cNvSpPr>
      </cdr:nvSpPr>
      <cdr:spPr bwMode="auto">
        <a:xfrm xmlns:a="http://schemas.openxmlformats.org/drawingml/2006/main">
          <a:off x="2982989" y="641975"/>
          <a:ext cx="160277" cy="2676523"/>
        </a:xfrm>
        <a:prstGeom xmlns:a="http://schemas.openxmlformats.org/drawingml/2006/main" prst="rect">
          <a:avLst/>
        </a:prstGeom>
        <a:solidFill xmlns:a="http://schemas.openxmlformats.org/drawingml/2006/main">
          <a:srgbClr val="7F7F7F">
            <a:alpha val="43137"/>
          </a:srgbClr>
        </a:solidFill>
        <a:ln xmlns:a="http://schemas.openxmlformats.org/drawingml/2006/main">
          <a:noFill/>
        </a:ln>
        <a:extLst xmlns:a="http://schemas.openxmlformats.org/drawingml/2006/main">
          <a:ext uri="{91240B29-F687-4F45-9708-019B960494DF}">
            <a14:hiddenLine xmlns:a14="http://schemas.microsoft.com/office/drawing/2010/main" w="9525" algn="ctr">
              <a:solidFill>
                <a:srgbClr val="000000"/>
              </a:solidFill>
              <a:round/>
              <a:headEnd/>
              <a:tailEnd/>
            </a14:hiddenLine>
          </a:ext>
        </a:extLst>
      </cdr:spPr>
      <cdr:txBody>
        <a:bodyPr xmlns:a="http://schemas.openxmlformats.org/drawingml/2006/main"/>
        <a:lstStyle xmlns:a="http://schemas.openxmlformats.org/drawingml/2006/main"/>
        <a:p xmlns:a="http://schemas.openxmlformats.org/drawingml/2006/main">
          <a:endParaRPr lang="en-GB"/>
        </a:p>
      </cdr:txBody>
    </cdr:sp>
  </cdr:absSizeAnchor>
</c:userShapes>
</file>

<file path=xl/drawings/drawing5.xml><?xml version="1.0" encoding="utf-8"?>
<xdr:wsDr xmlns:xdr="http://schemas.openxmlformats.org/drawingml/2006/spreadsheetDrawing" xmlns:a="http://schemas.openxmlformats.org/drawingml/2006/main">
  <xdr:twoCellAnchor>
    <xdr:from>
      <xdr:col>0</xdr:col>
      <xdr:colOff>47625</xdr:colOff>
      <xdr:row>8</xdr:row>
      <xdr:rowOff>38100</xdr:rowOff>
    </xdr:from>
    <xdr:to>
      <xdr:col>10</xdr:col>
      <xdr:colOff>171450</xdr:colOff>
      <xdr:row>35</xdr:row>
      <xdr:rowOff>38100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absSizeAnchor xmlns:cdr="http://schemas.openxmlformats.org/drawingml/2006/chartDrawing">
    <cdr:from>
      <cdr:x>0.14239</cdr:x>
      <cdr:y>0.13776</cdr:y>
    </cdr:from>
    <cdr:ext cx="4868820" cy="405501"/>
    <cdr:sp macro="" textlink="">
      <cdr:nvSpPr>
        <cdr:cNvPr id="2" name="TextBox 1"/>
        <cdr:cNvSpPr txBox="1"/>
      </cdr:nvSpPr>
      <cdr:spPr>
        <a:xfrm xmlns:a="http://schemas.openxmlformats.org/drawingml/2006/main">
          <a:off x="1063324" y="984147"/>
          <a:ext cx="5540138" cy="66258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0.02551</cdr:x>
      <cdr:y>0.87184</cdr:y>
    </cdr:from>
    <cdr:ext cx="3214423" cy="539545"/>
    <cdr:sp macro="" textlink="">
      <cdr:nvSpPr>
        <cdr:cNvPr id="3" name="TextBox 2"/>
        <cdr:cNvSpPr txBox="1"/>
      </cdr:nvSpPr>
      <cdr:spPr>
        <a:xfrm xmlns:a="http://schemas.openxmlformats.org/drawingml/2006/main">
          <a:off x="190500" y="5248275"/>
          <a:ext cx="3657600" cy="7429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cdr:x>
      <cdr:y>0.0846</cdr:y>
    </cdr:from>
    <cdr:ext cx="1022735" cy="295108"/>
    <cdr:sp macro="" textlink="">
      <cdr:nvSpPr>
        <cdr:cNvPr id="4" name="TextBox 1"/>
        <cdr:cNvSpPr txBox="1"/>
      </cdr:nvSpPr>
      <cdr:spPr>
        <a:xfrm xmlns:a="http://schemas.openxmlformats.org/drawingml/2006/main">
          <a:off x="0" y="476251"/>
          <a:ext cx="1230548" cy="37996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0.14239</cdr:x>
      <cdr:y>0.13776</cdr:y>
    </cdr:from>
    <cdr:ext cx="4868820" cy="405501"/>
    <cdr:sp macro="" textlink="">
      <cdr:nvSpPr>
        <cdr:cNvPr id="9" name="TextBox 1"/>
        <cdr:cNvSpPr txBox="1"/>
      </cdr:nvSpPr>
      <cdr:spPr>
        <a:xfrm xmlns:a="http://schemas.openxmlformats.org/drawingml/2006/main">
          <a:off x="1063324" y="984147"/>
          <a:ext cx="5540138" cy="66258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0.02551</cdr:x>
      <cdr:y>0.87184</cdr:y>
    </cdr:from>
    <cdr:ext cx="3214423" cy="539545"/>
    <cdr:sp macro="" textlink="">
      <cdr:nvSpPr>
        <cdr:cNvPr id="10" name="TextBox 2"/>
        <cdr:cNvSpPr txBox="1"/>
      </cdr:nvSpPr>
      <cdr:spPr>
        <a:xfrm xmlns:a="http://schemas.openxmlformats.org/drawingml/2006/main">
          <a:off x="190500" y="5248275"/>
          <a:ext cx="3657600" cy="7429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0.14239</cdr:x>
      <cdr:y>0.13776</cdr:y>
    </cdr:from>
    <cdr:ext cx="4868820" cy="405501"/>
    <cdr:sp macro="" textlink="">
      <cdr:nvSpPr>
        <cdr:cNvPr id="5" name="TextBox 1"/>
        <cdr:cNvSpPr txBox="1"/>
      </cdr:nvSpPr>
      <cdr:spPr>
        <a:xfrm xmlns:a="http://schemas.openxmlformats.org/drawingml/2006/main">
          <a:off x="1063324" y="984147"/>
          <a:ext cx="5540138" cy="66258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0.02551</cdr:x>
      <cdr:y>0.87184</cdr:y>
    </cdr:from>
    <cdr:ext cx="3214423" cy="539545"/>
    <cdr:sp macro="" textlink="">
      <cdr:nvSpPr>
        <cdr:cNvPr id="6" name="TextBox 2"/>
        <cdr:cNvSpPr txBox="1"/>
      </cdr:nvSpPr>
      <cdr:spPr>
        <a:xfrm xmlns:a="http://schemas.openxmlformats.org/drawingml/2006/main">
          <a:off x="190500" y="5248275"/>
          <a:ext cx="3657600" cy="7429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0.14239</cdr:x>
      <cdr:y>0.13776</cdr:y>
    </cdr:from>
    <cdr:ext cx="4868820" cy="405501"/>
    <cdr:sp macro="" textlink="">
      <cdr:nvSpPr>
        <cdr:cNvPr id="7" name="TextBox 1"/>
        <cdr:cNvSpPr txBox="1"/>
      </cdr:nvSpPr>
      <cdr:spPr>
        <a:xfrm xmlns:a="http://schemas.openxmlformats.org/drawingml/2006/main">
          <a:off x="1063324" y="984147"/>
          <a:ext cx="5540138" cy="66258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0.02551</cdr:x>
      <cdr:y>0.87184</cdr:y>
    </cdr:from>
    <cdr:ext cx="3214423" cy="539545"/>
    <cdr:sp macro="" textlink="">
      <cdr:nvSpPr>
        <cdr:cNvPr id="11" name="TextBox 2"/>
        <cdr:cNvSpPr txBox="1"/>
      </cdr:nvSpPr>
      <cdr:spPr>
        <a:xfrm xmlns:a="http://schemas.openxmlformats.org/drawingml/2006/main">
          <a:off x="190500" y="5248275"/>
          <a:ext cx="3657600" cy="7429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0.14239</cdr:x>
      <cdr:y>0.13776</cdr:y>
    </cdr:from>
    <cdr:ext cx="4868820" cy="405501"/>
    <cdr:sp macro="" textlink="">
      <cdr:nvSpPr>
        <cdr:cNvPr id="13" name="TextBox 1"/>
        <cdr:cNvSpPr txBox="1"/>
      </cdr:nvSpPr>
      <cdr:spPr>
        <a:xfrm xmlns:a="http://schemas.openxmlformats.org/drawingml/2006/main">
          <a:off x="1063324" y="984147"/>
          <a:ext cx="5540138" cy="66258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0.02551</cdr:x>
      <cdr:y>0.87184</cdr:y>
    </cdr:from>
    <cdr:ext cx="3214423" cy="539545"/>
    <cdr:sp macro="" textlink="">
      <cdr:nvSpPr>
        <cdr:cNvPr id="14" name="TextBox 2"/>
        <cdr:cNvSpPr txBox="1"/>
      </cdr:nvSpPr>
      <cdr:spPr>
        <a:xfrm xmlns:a="http://schemas.openxmlformats.org/drawingml/2006/main">
          <a:off x="190500" y="5248275"/>
          <a:ext cx="3657600" cy="7429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0.00893</cdr:x>
      <cdr:y>0.86933</cdr:y>
    </cdr:from>
    <cdr:ext cx="4051498" cy="384734"/>
    <cdr:sp macro="" textlink="">
      <cdr:nvSpPr>
        <cdr:cNvPr id="15" name="Footnote"/>
        <cdr:cNvSpPr txBox="1"/>
      </cdr:nvSpPr>
      <cdr:spPr>
        <a:xfrm xmlns:a="http://schemas.openxmlformats.org/drawingml/2006/main">
          <a:off x="66686" y="6210276"/>
          <a:ext cx="4610089" cy="628674"/>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0.32488</cdr:x>
      <cdr:y>0.14466</cdr:y>
    </cdr:from>
    <cdr:ext cx="154815" cy="2809256"/>
    <cdr:sp macro="" textlink="">
      <cdr:nvSpPr>
        <cdr:cNvPr id="18" name="Rectangle 17"/>
        <cdr:cNvSpPr>
          <a:spLocks xmlns:a="http://schemas.openxmlformats.org/drawingml/2006/main" noChangeArrowheads="1"/>
        </cdr:cNvSpPr>
      </cdr:nvSpPr>
      <cdr:spPr bwMode="auto">
        <a:xfrm xmlns:a="http://schemas.openxmlformats.org/drawingml/2006/main">
          <a:off x="2317732" y="632450"/>
          <a:ext cx="168297" cy="2809256"/>
        </a:xfrm>
        <a:prstGeom xmlns:a="http://schemas.openxmlformats.org/drawingml/2006/main" prst="rect">
          <a:avLst/>
        </a:prstGeom>
        <a:solidFill xmlns:a="http://schemas.openxmlformats.org/drawingml/2006/main">
          <a:srgbClr val="7F7F7F">
            <a:alpha val="43137"/>
          </a:srgbClr>
        </a:solidFill>
        <a:ln xmlns:a="http://schemas.openxmlformats.org/drawingml/2006/main">
          <a:noFill/>
        </a:ln>
        <a:extLst xmlns:a="http://schemas.openxmlformats.org/drawingml/2006/main">
          <a:ext uri="{91240B29-F687-4F45-9708-019B960494DF}">
            <a14:hiddenLine xmlns:a14="http://schemas.microsoft.com/office/drawing/2010/main" w="9525" algn="ctr">
              <a:solidFill>
                <a:srgbClr val="000000"/>
              </a:solidFill>
              <a:round/>
              <a:headEnd/>
              <a:tailEnd/>
            </a14:hiddenLine>
          </a:ext>
        </a:extLst>
      </cdr:spPr>
      <cdr:txBody>
        <a:bodyPr xmlns:a="http://schemas.openxmlformats.org/drawingml/2006/main"/>
        <a:lstStyle xmlns:a="http://schemas.openxmlformats.org/drawingml/2006/main"/>
        <a:p xmlns:a="http://schemas.openxmlformats.org/drawingml/2006/main">
          <a:endParaRPr lang="en-GB"/>
        </a:p>
      </cdr:txBody>
    </cdr:sp>
  </cdr:absSizeAnchor>
</c:userShapes>
</file>

<file path=xl/drawings/drawing7.xml><?xml version="1.0" encoding="utf-8"?>
<xdr:wsDr xmlns:xdr="http://schemas.openxmlformats.org/drawingml/2006/spreadsheetDrawing" xmlns:a="http://schemas.openxmlformats.org/drawingml/2006/main">
  <xdr:twoCellAnchor>
    <xdr:from>
      <xdr:col>0</xdr:col>
      <xdr:colOff>104775</xdr:colOff>
      <xdr:row>8</xdr:row>
      <xdr:rowOff>142875</xdr:rowOff>
    </xdr:from>
    <xdr:to>
      <xdr:col>7</xdr:col>
      <xdr:colOff>647700</xdr:colOff>
      <xdr:row>31</xdr:row>
      <xdr:rowOff>133350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absSizeAnchor xmlns:cdr="http://schemas.openxmlformats.org/drawingml/2006/chartDrawing">
    <cdr:from>
      <cdr:x>0.01975</cdr:x>
      <cdr:y>0.00769</cdr:y>
    </cdr:from>
    <cdr:ext cx="3184794" cy="219096"/>
    <cdr:sp macro="" textlink="">
      <cdr:nvSpPr>
        <cdr:cNvPr id="2" name="TextBox 1"/>
        <cdr:cNvSpPr txBox="1"/>
      </cdr:nvSpPr>
      <cdr:spPr>
        <a:xfrm xmlns:a="http://schemas.openxmlformats.org/drawingml/2006/main">
          <a:off x="104776" y="28576"/>
          <a:ext cx="2771775" cy="2190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750" b="0" i="0">
              <a:solidFill>
                <a:srgbClr val="000000"/>
              </a:solidFill>
              <a:latin typeface="Arial Narrow"/>
              <a:cs typeface="Arial" panose="020B0604020202020204" pitchFamily="34" charset="0"/>
            </a:rPr>
            <a:t>Percentage of total statutory working time spent teaching</a:t>
          </a:r>
        </a:p>
      </cdr:txBody>
    </cdr:sp>
  </cdr:absSizeAnchor>
  <cdr:absSizeAnchor xmlns:cdr="http://schemas.openxmlformats.org/drawingml/2006/chartDrawing">
    <cdr:from>
      <cdr:x>0.73501</cdr:x>
      <cdr:y>0.94688</cdr:y>
    </cdr:from>
    <cdr:ext cx="1512113" cy="178457"/>
    <cdr:sp macro="" textlink="">
      <cdr:nvSpPr>
        <cdr:cNvPr id="3" name="TextBox 1"/>
        <cdr:cNvSpPr txBox="1"/>
      </cdr:nvSpPr>
      <cdr:spPr>
        <a:xfrm xmlns:a="http://schemas.openxmlformats.org/drawingml/2006/main">
          <a:off x="5019675" y="3553501"/>
          <a:ext cx="1694060" cy="180302"/>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750" b="0" i="0">
              <a:solidFill>
                <a:srgbClr val="000000"/>
              </a:solidFill>
              <a:latin typeface="Arial Narrow"/>
              <a:cs typeface="Arial" panose="020B0604020202020204" pitchFamily="34" charset="0"/>
            </a:rPr>
            <a:t>Number of teaching hours per year</a:t>
          </a:r>
        </a:p>
      </cdr:txBody>
    </cdr:sp>
  </cdr:absSizeAnchor>
  <cdr:absSizeAnchor xmlns:cdr="http://schemas.openxmlformats.org/drawingml/2006/chartDrawing">
    <cdr:from>
      <cdr:x>0.07667</cdr:x>
      <cdr:y>0.56154</cdr:y>
    </cdr:from>
    <cdr:ext cx="5957039" cy="13083"/>
    <cdr:cxnSp macro="">
      <cdr:nvCxnSpPr>
        <cdr:cNvPr id="10" name="Straight Connector 9"/>
        <cdr:cNvCxnSpPr/>
      </cdr:nvCxnSpPr>
      <cdr:spPr bwMode="auto">
        <a:xfrm xmlns:a="http://schemas.openxmlformats.org/drawingml/2006/main" flipV="1">
          <a:off x="519961" y="2085975"/>
          <a:ext cx="5957039" cy="13083"/>
        </a:xfrm>
        <a:prstGeom xmlns:a="http://schemas.openxmlformats.org/drawingml/2006/main" prst="line">
          <a:avLst/>
        </a:prstGeom>
        <a:solidFill xmlns:a="http://schemas.openxmlformats.org/drawingml/2006/main">
          <a:srgbClr val="FFFFFF"/>
        </a:solidFill>
        <a:ln xmlns:a="http://schemas.openxmlformats.org/drawingml/2006/main" w="25400" cap="flat" cmpd="sng" algn="ctr">
          <a:solidFill>
            <a:schemeClr val="tx2">
              <a:lumMod val="60000"/>
              <a:lumOff val="40000"/>
            </a:schemeClr>
          </a:solidFill>
          <a:prstDash val="solid"/>
          <a:round/>
          <a:headEnd type="none" w="med" len="med"/>
          <a:tailEnd type="none" w="med" len="med"/>
        </a:ln>
        <a:effectLst xmlns:a="http://schemas.openxmlformats.org/drawingml/2006/main"/>
      </cdr:spPr>
    </cdr:cxnSp>
  </cdr:absSizeAnchor>
  <cdr:absSizeAnchor xmlns:cdr="http://schemas.openxmlformats.org/drawingml/2006/chartDrawing">
    <cdr:from>
      <cdr:x>0.3965</cdr:x>
      <cdr:y>0.059</cdr:y>
    </cdr:from>
    <cdr:ext cx="0" cy="0"/>
    <cdr:cxnSp macro="">
      <cdr:nvCxnSpPr>
        <cdr:cNvPr id="11" name="Straight Connector 10"/>
        <cdr:cNvCxnSpPr/>
      </cdr:nvCxnSpPr>
      <cdr:spPr bwMode="auto">
        <a:xfrm xmlns:a="http://schemas.openxmlformats.org/drawingml/2006/main" flipH="1" flipV="1">
          <a:off x="2713383" y="266685"/>
          <a:ext cx="3688" cy="3098279"/>
        </a:xfrm>
        <a:prstGeom xmlns:a="http://schemas.openxmlformats.org/drawingml/2006/main" prst="line">
          <a:avLst/>
        </a:prstGeom>
        <a:solidFill xmlns:a="http://schemas.openxmlformats.org/drawingml/2006/main">
          <a:srgbClr val="FFFFFF"/>
        </a:solidFill>
        <a:ln xmlns:a="http://schemas.openxmlformats.org/drawingml/2006/main" w="25400" cap="flat" cmpd="sng" algn="ctr">
          <a:solidFill>
            <a:schemeClr val="tx2">
              <a:lumMod val="60000"/>
              <a:lumOff val="40000"/>
            </a:schemeClr>
          </a:solidFill>
          <a:prstDash val="solid"/>
          <a:round/>
          <a:headEnd type="none" w="med" len="med"/>
          <a:tailEnd type="none" w="med" len="med"/>
        </a:ln>
        <a:effectLst xmlns:a="http://schemas.openxmlformats.org/drawingml/2006/main"/>
      </cdr:spPr>
    </cdr:cxnSp>
  </cdr:absSizeAnchor>
  <cdr:absSizeAnchor xmlns:cdr="http://schemas.openxmlformats.org/drawingml/2006/chartDrawing">
    <cdr:from>
      <cdr:x>0.39796</cdr:x>
      <cdr:y>0.0736</cdr:y>
    </cdr:from>
    <cdr:ext cx="1105205" cy="153976"/>
    <cdr:sp macro="" textlink="">
      <cdr:nvSpPr>
        <cdr:cNvPr id="16" name="TextBox 1"/>
        <cdr:cNvSpPr txBox="1"/>
      </cdr:nvSpPr>
      <cdr:spPr>
        <a:xfrm xmlns:a="http://schemas.openxmlformats.org/drawingml/2006/main">
          <a:off x="2717830" y="276210"/>
          <a:ext cx="1238175" cy="155556"/>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GB" sz="750" b="0" i="0">
              <a:solidFill>
                <a:srgbClr val="000000"/>
              </a:solidFill>
              <a:latin typeface="Arial Narrow"/>
            </a:rPr>
            <a:t>Country average</a:t>
          </a:r>
        </a:p>
      </cdr:txBody>
    </cdr:sp>
  </cdr:absSizeAnchor>
  <cdr:absSizeAnchor xmlns:cdr="http://schemas.openxmlformats.org/drawingml/2006/chartDrawing">
    <cdr:from>
      <cdr:x>0.25244</cdr:x>
      <cdr:y>0.48731</cdr:y>
    </cdr:from>
    <cdr:ext cx="195560" cy="301712"/>
    <cdr:cxnSp macro="">
      <cdr:nvCxnSpPr>
        <cdr:cNvPr id="12" name="Straight Arrow Connector 11"/>
        <cdr:cNvCxnSpPr/>
      </cdr:nvCxnSpPr>
      <cdr:spPr bwMode="auto">
        <a:xfrm xmlns:a="http://schemas.openxmlformats.org/drawingml/2006/main">
          <a:off x="1724025" y="1828802"/>
          <a:ext cx="219067" cy="304791"/>
        </a:xfrm>
        <a:prstGeom xmlns:a="http://schemas.openxmlformats.org/drawingml/2006/main" prst="straightConnector1">
          <a:avLst/>
        </a:prstGeom>
        <a:solidFill xmlns:a="http://schemas.openxmlformats.org/drawingml/2006/main">
          <a:srgbClr val="FFFFFF"/>
        </a:solidFill>
        <a:ln xmlns:a="http://schemas.openxmlformats.org/drawingml/2006/main" w="9525" cap="flat" cmpd="sng" algn="ctr">
          <a:solidFill>
            <a:srgbClr val="000000"/>
          </a:solidFill>
          <a:prstDash val="solid"/>
          <a:round/>
          <a:headEnd type="none" w="med" len="med"/>
          <a:tailEnd type="arrow"/>
        </a:ln>
        <a:effectLst xmlns:a="http://schemas.openxmlformats.org/drawingml/2006/main"/>
      </cdr:spPr>
    </cdr:cxnSp>
  </cdr:absSizeAnchor>
  <cdr:absSizeAnchor xmlns:cdr="http://schemas.openxmlformats.org/drawingml/2006/chartDrawing">
    <cdr:from>
      <cdr:x>0.29426</cdr:x>
      <cdr:y>0.69693</cdr:y>
    </cdr:from>
    <cdr:ext cx="76627" cy="494136"/>
    <cdr:cxnSp macro="">
      <cdr:nvCxnSpPr>
        <cdr:cNvPr id="17" name="Straight Arrow Connector 16"/>
        <cdr:cNvCxnSpPr/>
      </cdr:nvCxnSpPr>
      <cdr:spPr bwMode="auto">
        <a:xfrm xmlns:a="http://schemas.openxmlformats.org/drawingml/2006/main" flipH="1" flipV="1">
          <a:off x="2009627" y="2615474"/>
          <a:ext cx="85873" cy="499203"/>
        </a:xfrm>
        <a:prstGeom xmlns:a="http://schemas.openxmlformats.org/drawingml/2006/main" prst="straightConnector1">
          <a:avLst/>
        </a:prstGeom>
        <a:solidFill xmlns:a="http://schemas.openxmlformats.org/drawingml/2006/main">
          <a:srgbClr val="FFFFFF"/>
        </a:solidFill>
        <a:ln xmlns:a="http://schemas.openxmlformats.org/drawingml/2006/main" w="9525" cap="flat" cmpd="sng" algn="ctr">
          <a:solidFill>
            <a:srgbClr val="000000"/>
          </a:solidFill>
          <a:prstDash val="solid"/>
          <a:round/>
          <a:headEnd type="none" w="med" len="med"/>
          <a:tailEnd type="arrow"/>
        </a:ln>
        <a:effectLst xmlns:a="http://schemas.openxmlformats.org/drawingml/2006/main"/>
      </cdr:spPr>
    </cdr:cxnSp>
  </cdr:absSizeAnchor>
  <cdr:absSizeAnchor xmlns:cdr="http://schemas.openxmlformats.org/drawingml/2006/chartDrawing">
    <cdr:from>
      <cdr:x>0.33535</cdr:x>
      <cdr:y>0.64467</cdr:y>
    </cdr:from>
    <cdr:ext cx="540349" cy="433697"/>
    <cdr:cxnSp macro="">
      <cdr:nvCxnSpPr>
        <cdr:cNvPr id="13" name="Straight Arrow Connector 12"/>
        <cdr:cNvCxnSpPr/>
      </cdr:nvCxnSpPr>
      <cdr:spPr bwMode="auto">
        <a:xfrm xmlns:a="http://schemas.openxmlformats.org/drawingml/2006/main" flipH="1" flipV="1">
          <a:off x="2290249" y="2419351"/>
          <a:ext cx="605351" cy="438151"/>
        </a:xfrm>
        <a:prstGeom xmlns:a="http://schemas.openxmlformats.org/drawingml/2006/main" prst="straightConnector1">
          <a:avLst/>
        </a:prstGeom>
        <a:solidFill xmlns:a="http://schemas.openxmlformats.org/drawingml/2006/main">
          <a:srgbClr val="FFFFFF"/>
        </a:solidFill>
        <a:ln xmlns:a="http://schemas.openxmlformats.org/drawingml/2006/main" w="9525" cap="flat" cmpd="sng" algn="ctr">
          <a:solidFill>
            <a:srgbClr val="000000"/>
          </a:solidFill>
          <a:prstDash val="solid"/>
          <a:round/>
          <a:headEnd type="none" w="med" len="med"/>
          <a:tailEnd type="arrow"/>
        </a:ln>
        <a:effectLst xmlns:a="http://schemas.openxmlformats.org/drawingml/2006/main"/>
      </cdr:spPr>
    </cdr:cxnSp>
  </cdr:absSizeAnchor>
  <cdr:absSizeAnchor xmlns:cdr="http://schemas.openxmlformats.org/drawingml/2006/chartDrawing">
    <cdr:from>
      <cdr:x>0.32163</cdr:x>
      <cdr:y>0.63959</cdr:y>
    </cdr:from>
    <cdr:ext cx="538947" cy="660000"/>
    <cdr:cxnSp macro="">
      <cdr:nvCxnSpPr>
        <cdr:cNvPr id="14" name="Straight Arrow Connector 13"/>
        <cdr:cNvCxnSpPr/>
      </cdr:nvCxnSpPr>
      <cdr:spPr bwMode="auto">
        <a:xfrm xmlns:a="http://schemas.openxmlformats.org/drawingml/2006/main" flipH="1" flipV="1">
          <a:off x="2196548" y="2400270"/>
          <a:ext cx="603802" cy="666782"/>
        </a:xfrm>
        <a:prstGeom xmlns:a="http://schemas.openxmlformats.org/drawingml/2006/main" prst="straightConnector1">
          <a:avLst/>
        </a:prstGeom>
        <a:solidFill xmlns:a="http://schemas.openxmlformats.org/drawingml/2006/main">
          <a:srgbClr val="FFFFFF"/>
        </a:solidFill>
        <a:ln xmlns:a="http://schemas.openxmlformats.org/drawingml/2006/main" w="9525" cap="flat" cmpd="sng" algn="ctr">
          <a:solidFill>
            <a:srgbClr val="000000"/>
          </a:solidFill>
          <a:prstDash val="solid"/>
          <a:round/>
          <a:headEnd type="none" w="med" len="med"/>
          <a:tailEnd type="arrow"/>
        </a:ln>
        <a:effectLst xmlns:a="http://schemas.openxmlformats.org/drawingml/2006/main"/>
      </cdr:spPr>
    </cdr:cxnSp>
  </cdr:absSizeAnchor>
  <cdr:absSizeAnchor xmlns:cdr="http://schemas.openxmlformats.org/drawingml/2006/chartDrawing">
    <cdr:from>
      <cdr:x>0.36125</cdr:x>
      <cdr:y>0.59644</cdr:y>
    </cdr:from>
    <cdr:ext cx="365455" cy="169727"/>
    <cdr:cxnSp macro="">
      <cdr:nvCxnSpPr>
        <cdr:cNvPr id="18" name="Straight Arrow Connector 17"/>
        <cdr:cNvCxnSpPr/>
      </cdr:nvCxnSpPr>
      <cdr:spPr bwMode="auto">
        <a:xfrm xmlns:a="http://schemas.openxmlformats.org/drawingml/2006/main" flipH="1" flipV="1">
          <a:off x="2467131" y="2238351"/>
          <a:ext cx="409419" cy="171476"/>
        </a:xfrm>
        <a:prstGeom xmlns:a="http://schemas.openxmlformats.org/drawingml/2006/main" prst="straightConnector1">
          <a:avLst/>
        </a:prstGeom>
        <a:solidFill xmlns:a="http://schemas.openxmlformats.org/drawingml/2006/main">
          <a:srgbClr val="FFFFFF"/>
        </a:solidFill>
        <a:ln xmlns:a="http://schemas.openxmlformats.org/drawingml/2006/main" w="9525" cap="flat" cmpd="sng" algn="ctr">
          <a:solidFill>
            <a:srgbClr val="000000"/>
          </a:solidFill>
          <a:prstDash val="solid"/>
          <a:round/>
          <a:headEnd type="none" w="med" len="med"/>
          <a:tailEnd type="arrow"/>
        </a:ln>
        <a:effectLst xmlns:a="http://schemas.openxmlformats.org/drawingml/2006/main"/>
      </cdr:spPr>
    </cdr:cxnSp>
  </cdr:absSizeAnchor>
  <cdr:absSizeAnchor xmlns:cdr="http://schemas.openxmlformats.org/drawingml/2006/chartDrawing">
    <cdr:from>
      <cdr:x>0.28591</cdr:x>
      <cdr:y>0.64467</cdr:y>
    </cdr:from>
    <cdr:ext cx="365638" cy="433697"/>
    <cdr:cxnSp macro="">
      <cdr:nvCxnSpPr>
        <cdr:cNvPr id="19" name="Straight Arrow Connector 18"/>
        <cdr:cNvCxnSpPr/>
      </cdr:nvCxnSpPr>
      <cdr:spPr bwMode="auto">
        <a:xfrm xmlns:a="http://schemas.openxmlformats.org/drawingml/2006/main" flipH="1" flipV="1">
          <a:off x="1952625" y="2419353"/>
          <a:ext cx="409575" cy="438149"/>
        </a:xfrm>
        <a:prstGeom xmlns:a="http://schemas.openxmlformats.org/drawingml/2006/main" prst="straightConnector1">
          <a:avLst/>
        </a:prstGeom>
        <a:solidFill xmlns:a="http://schemas.openxmlformats.org/drawingml/2006/main">
          <a:srgbClr val="FFFFFF"/>
        </a:solidFill>
        <a:ln xmlns:a="http://schemas.openxmlformats.org/drawingml/2006/main" w="9525" cap="flat" cmpd="sng" algn="ctr">
          <a:solidFill>
            <a:srgbClr val="000000"/>
          </a:solidFill>
          <a:prstDash val="solid"/>
          <a:round/>
          <a:headEnd type="none" w="med" len="med"/>
          <a:tailEnd type="arrow"/>
        </a:ln>
        <a:effectLst xmlns:a="http://schemas.openxmlformats.org/drawingml/2006/main"/>
      </cdr:spPr>
    </cdr:cxnSp>
  </cdr:absSizeAnchor>
  <cdr:absSizeAnchor xmlns:cdr="http://schemas.openxmlformats.org/drawingml/2006/chartDrawing">
    <cdr:from>
      <cdr:x>0.2901</cdr:x>
      <cdr:y>0.44162</cdr:y>
    </cdr:from>
    <cdr:ext cx="187025" cy="537450"/>
    <cdr:cxnSp macro="">
      <cdr:nvCxnSpPr>
        <cdr:cNvPr id="22" name="Straight Arrow Connector 21"/>
        <cdr:cNvCxnSpPr/>
      </cdr:nvCxnSpPr>
      <cdr:spPr bwMode="auto">
        <a:xfrm xmlns:a="http://schemas.openxmlformats.org/drawingml/2006/main">
          <a:off x="1981200" y="1657352"/>
          <a:ext cx="209543" cy="542945"/>
        </a:xfrm>
        <a:prstGeom xmlns:a="http://schemas.openxmlformats.org/drawingml/2006/main" prst="straightConnector1">
          <a:avLst/>
        </a:prstGeom>
        <a:solidFill xmlns:a="http://schemas.openxmlformats.org/drawingml/2006/main">
          <a:srgbClr val="FFFFFF"/>
        </a:solidFill>
        <a:ln xmlns:a="http://schemas.openxmlformats.org/drawingml/2006/main" w="9525" cap="flat" cmpd="sng" algn="ctr">
          <a:solidFill>
            <a:srgbClr val="000000"/>
          </a:solidFill>
          <a:prstDash val="solid"/>
          <a:round/>
          <a:headEnd type="none" w="med" len="med"/>
          <a:tailEnd type="arrow"/>
        </a:ln>
        <a:effectLst xmlns:a="http://schemas.openxmlformats.org/drawingml/2006/main"/>
      </cdr:spPr>
    </cdr:cxnSp>
  </cdr:absSizeAnchor>
  <cdr:absSizeAnchor xmlns:cdr="http://schemas.openxmlformats.org/drawingml/2006/chartDrawing">
    <cdr:from>
      <cdr:x>0.22315</cdr:x>
      <cdr:y>0.54315</cdr:y>
    </cdr:from>
    <cdr:ext cx="368442" cy="267091"/>
    <cdr:cxnSp macro="">
      <cdr:nvCxnSpPr>
        <cdr:cNvPr id="20" name="Straight Arrow Connector 19"/>
        <cdr:cNvCxnSpPr/>
      </cdr:nvCxnSpPr>
      <cdr:spPr bwMode="auto">
        <a:xfrm xmlns:a="http://schemas.openxmlformats.org/drawingml/2006/main">
          <a:off x="1524000" y="2038352"/>
          <a:ext cx="412757" cy="269839"/>
        </a:xfrm>
        <a:prstGeom xmlns:a="http://schemas.openxmlformats.org/drawingml/2006/main" prst="straightConnector1">
          <a:avLst/>
        </a:prstGeom>
        <a:solidFill xmlns:a="http://schemas.openxmlformats.org/drawingml/2006/main">
          <a:srgbClr val="FFFFFF"/>
        </a:solidFill>
        <a:ln xmlns:a="http://schemas.openxmlformats.org/drawingml/2006/main" w="9525" cap="flat" cmpd="sng" algn="ctr">
          <a:solidFill>
            <a:srgbClr val="000000"/>
          </a:solidFill>
          <a:prstDash val="solid"/>
          <a:round/>
          <a:headEnd type="none" w="med" len="med"/>
          <a:tailEnd type="arrow"/>
        </a:ln>
        <a:effectLst xmlns:a="http://schemas.openxmlformats.org/drawingml/2006/main"/>
      </cdr:spPr>
    </cdr:cxnSp>
  </cdr:absSizeAnchor>
  <cdr:absSizeAnchor xmlns:cdr="http://schemas.openxmlformats.org/drawingml/2006/chartDrawing">
    <cdr:from>
      <cdr:x>0.79823</cdr:x>
      <cdr:y>0.55668</cdr:y>
    </cdr:from>
    <cdr:ext cx="969264" cy="235738"/>
    <cdr:sp macro="" textlink="">
      <cdr:nvSpPr>
        <cdr:cNvPr id="21" name="TextBox 2"/>
        <cdr:cNvSpPr txBox="1"/>
      </cdr:nvSpPr>
      <cdr:spPr>
        <a:xfrm xmlns:a="http://schemas.openxmlformats.org/drawingml/2006/main">
          <a:off x="5451475" y="2089150"/>
          <a:ext cx="1085850" cy="23812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GB" sz="750" b="0" i="0">
              <a:solidFill>
                <a:srgbClr val="000000"/>
              </a:solidFill>
              <a:latin typeface="Arial Narrow"/>
            </a:rPr>
            <a:t>Country average</a:t>
          </a:r>
        </a:p>
      </cdr:txBody>
    </cdr:sp>
  </cdr:absSizeAnchor>
</c:userShapes>
</file>

<file path=xl/drawings/drawing9.xml><?xml version="1.0" encoding="utf-8"?>
<xdr:wsDr xmlns:xdr="http://schemas.openxmlformats.org/drawingml/2006/spreadsheetDrawing" xmlns:a="http://schemas.openxmlformats.org/drawingml/2006/main">
  <xdr:twoCellAnchor>
    <xdr:from>
      <xdr:col>0</xdr:col>
      <xdr:colOff>180975</xdr:colOff>
      <xdr:row>8</xdr:row>
      <xdr:rowOff>142875</xdr:rowOff>
    </xdr:from>
    <xdr:to>
      <xdr:col>8</xdr:col>
      <xdr:colOff>352425</xdr:colOff>
      <xdr:row>31</xdr:row>
      <xdr:rowOff>66675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c:userShapes xmlns:c="http://schemas.openxmlformats.org/drawingml/2006/chart">
  <cdr:absSizeAnchor xmlns:cdr="http://schemas.openxmlformats.org/drawingml/2006/chartDrawing">
    <cdr:from>
      <cdr:x>0.02222</cdr:x>
      <cdr:y>0.06125</cdr:y>
    </cdr:from>
    <cdr:ext cx="940831" cy="209066"/>
    <cdr:sp macro="" textlink="">
      <cdr:nvSpPr>
        <cdr:cNvPr id="2" name="TextBox 1"/>
        <cdr:cNvSpPr txBox="1"/>
      </cdr:nvSpPr>
      <cdr:spPr>
        <a:xfrm xmlns:a="http://schemas.openxmlformats.org/drawingml/2006/main">
          <a:off x="141379" y="210041"/>
          <a:ext cx="1047110" cy="20905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marR="0" indent="0" defTabSz="914400" rtl="0" eaLnBrk="1" fontAlgn="auto" latinLnBrk="0" hangingPunct="1">
            <a:lnSpc>
              <a:spcPct val="100000"/>
            </a:lnSpc>
            <a:spcBef>
              <a:spcPts val="0"/>
            </a:spcBef>
            <a:spcAft>
              <a:spcPts val="0"/>
            </a:spcAft>
            <a:buClrTx/>
            <a:buSzTx/>
            <a:buFontTx/>
            <a:buNone/>
            <a:tabLst/>
            <a:defRPr/>
          </a:pPr>
          <a:r>
            <a:rPr lang="fr-FR" sz="750" b="0" i="0" baseline="0">
              <a:solidFill>
                <a:srgbClr val="000000"/>
              </a:solidFill>
              <a:effectLst/>
              <a:latin typeface="Arial Narrow"/>
              <a:ea typeface="+mn-ea"/>
              <a:cs typeface="Arial" panose="020B0604020202020204" pitchFamily="34" charset="0"/>
            </a:rPr>
            <a:t>Hours per year</a:t>
          </a:r>
          <a:endParaRPr lang="fr-FR" sz="750" b="0" i="0">
            <a:solidFill>
              <a:srgbClr val="000000"/>
            </a:solidFill>
            <a:latin typeface="Arial Narrow"/>
          </a:endParaRPr>
        </a:p>
      </cdr:txBody>
    </cdr:sp>
  </cdr:absSizeAnchor>
  <cdr:relSizeAnchor xmlns:cdr="http://schemas.openxmlformats.org/drawingml/2006/chartDrawing">
    <cdr:from>
      <cdr:x>0.24692</cdr:x>
      <cdr:y>0.03317</cdr:y>
    </cdr:from>
    <cdr:to>
      <cdr:x>0.26211</cdr:x>
      <cdr:y>0.05474</cdr:y>
    </cdr:to>
    <cdr:sp macro="" textlink="">
      <cdr:nvSpPr>
        <cdr:cNvPr id="7" name="xlamShapesMarker"/>
        <cdr:cNvSpPr/>
      </cdr:nvSpPr>
      <cdr:spPr bwMode="auto">
        <a:xfrm xmlns:a="http://schemas.openxmlformats.org/drawingml/2006/main">
          <a:off x="1201820" y="113744"/>
          <a:ext cx="73949" cy="73949"/>
        </a:xfrm>
        <a:prstGeom xmlns:a="http://schemas.openxmlformats.org/drawingml/2006/main" prst="rect">
          <a:avLst/>
        </a:prstGeom>
        <a:solidFill xmlns:a="http://schemas.openxmlformats.org/drawingml/2006/main">
          <a:srgbClr val="EAEAEA"/>
        </a:solidFill>
        <a:ln xmlns:a="http://schemas.openxmlformats.org/drawingml/2006/main" w="6350" cap="flat" cmpd="sng" algn="ctr">
          <a:noFill/>
          <a:prstDash val="solid"/>
          <a:round/>
          <a:headEnd type="none" w="med" len="med"/>
          <a:tailEnd type="none" w="med" len="med"/>
        </a:ln>
        <a:effectLst xmlns:a="http://schemas.openxmlformats.org/drawingml/2006/main"/>
        <a:extLst xmlns:a="http://schemas.openxmlformats.org/drawingml/2006/main">
          <a:ext uri="{91240B29-F687-4F45-9708-019B960494DF}">
            <a14:hiddenLine xmlns:a14="http://schemas.microsoft.com/office/drawing/2010/main" w="6350" cap="flat" cmpd="sng" algn="ctr">
              <a:solidFill>
                <a:srgbClr val="EAEAEA"/>
              </a:solidFill>
              <a:prstDash val="solid"/>
              <a:round/>
              <a:headEnd type="none" w="med" len="med"/>
              <a:tailEnd type="none" w="med" len="med"/>
            </a14:hiddenLine>
          </a:ext>
        </a:extLst>
      </cdr:spPr>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11.xml><?xml version="1.0" encoding="utf-8"?>
<xdr:wsDr xmlns:xdr="http://schemas.openxmlformats.org/drawingml/2006/spreadsheetDrawing" xmlns:a="http://schemas.openxmlformats.org/drawingml/2006/main">
  <xdr:twoCellAnchor>
    <xdr:from>
      <xdr:col>0</xdr:col>
      <xdr:colOff>57150</xdr:colOff>
      <xdr:row>8</xdr:row>
      <xdr:rowOff>85725</xdr:rowOff>
    </xdr:from>
    <xdr:to>
      <xdr:col>6</xdr:col>
      <xdr:colOff>200025</xdr:colOff>
      <xdr:row>33</xdr:row>
      <xdr:rowOff>57150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c:userShapes xmlns:c="http://schemas.openxmlformats.org/drawingml/2006/chart">
  <cdr:absSizeAnchor xmlns:cdr="http://schemas.openxmlformats.org/drawingml/2006/chartDrawing">
    <cdr:from>
      <cdr:x>0.46007</cdr:x>
      <cdr:y>0.19818</cdr:y>
    </cdr:from>
    <cdr:ext cx="3605184" cy="209503"/>
    <cdr:sp macro="" textlink="">
      <cdr:nvSpPr>
        <cdr:cNvPr id="2" name="TextBox 1"/>
        <cdr:cNvSpPr txBox="1"/>
      </cdr:nvSpPr>
      <cdr:spPr>
        <a:xfrm xmlns:a="http://schemas.openxmlformats.org/drawingml/2006/main">
          <a:off x="4228745" y="804132"/>
          <a:ext cx="3577748" cy="199839"/>
        </a:xfrm>
        <a:prstGeom xmlns:a="http://schemas.openxmlformats.org/drawingml/2006/main" prst="rect">
          <a:avLst/>
        </a:prstGeom>
      </cdr:spPr>
      <cdr:txBody>
        <a:bodyPr xmlns:a="http://schemas.openxmlformats.org/drawingml/2006/main" vertOverflow="clip" wrap="square" rtlCol="0" anchor="t"/>
        <a:lstStyle xmlns:a="http://schemas.openxmlformats.org/drawingml/2006/main"/>
        <a:p xmlns:a="http://schemas.openxmlformats.org/drawingml/2006/main">
          <a:pPr algn="l"/>
          <a:r>
            <a:rPr lang="en-GB" sz="750" b="0" i="0">
              <a:solidFill>
                <a:srgbClr val="000000"/>
              </a:solidFill>
              <a:latin typeface="Arial Narrow"/>
            </a:rPr>
            <a:t>Tasks</a:t>
          </a:r>
        </a:p>
      </cdr:txBody>
    </cdr:sp>
  </cdr:absSizeAnchor>
  <cdr:absSizeAnchor xmlns:cdr="http://schemas.openxmlformats.org/drawingml/2006/chartDrawing">
    <cdr:from>
      <cdr:x>0.45866</cdr:x>
      <cdr:y>0.57368</cdr:y>
    </cdr:from>
    <cdr:ext cx="3687524" cy="158882"/>
    <cdr:sp macro="" textlink="">
      <cdr:nvSpPr>
        <cdr:cNvPr id="8" name="TextBox 1"/>
        <cdr:cNvSpPr txBox="1"/>
      </cdr:nvSpPr>
      <cdr:spPr>
        <a:xfrm xmlns:a="http://schemas.openxmlformats.org/drawingml/2006/main">
          <a:off x="4215807" y="2327780"/>
          <a:ext cx="3659461" cy="151553"/>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GB" sz="750" b="0" i="0">
              <a:solidFill>
                <a:srgbClr val="000000"/>
              </a:solidFill>
              <a:latin typeface="Arial Narrow"/>
            </a:rPr>
            <a:t>Other responsibilities</a:t>
          </a:r>
          <a:r>
            <a:rPr lang="en-GB" sz="750" b="0" i="0" baseline="0">
              <a:solidFill>
                <a:srgbClr val="000000"/>
              </a:solidFill>
              <a:latin typeface="Arial Narrow"/>
            </a:rPr>
            <a:t> </a:t>
          </a:r>
          <a:endParaRPr lang="en-GB" sz="750" b="0" i="0">
            <a:solidFill>
              <a:srgbClr val="000000"/>
            </a:solidFill>
            <a:latin typeface="Arial Narrow"/>
          </a:endParaRPr>
        </a:p>
      </cdr:txBody>
    </cdr:sp>
  </cdr:absSizeAnchor>
  <cdr:absSizeAnchor xmlns:cdr="http://schemas.openxmlformats.org/drawingml/2006/chartDrawing">
    <cdr:from>
      <cdr:x>0.02526</cdr:x>
      <cdr:y>0.85423</cdr:y>
    </cdr:from>
    <cdr:ext cx="4499811" cy="602985"/>
    <cdr:sp macro="" textlink="">
      <cdr:nvSpPr>
        <cdr:cNvPr id="4" name="TextBox 2"/>
        <cdr:cNvSpPr txBox="1"/>
      </cdr:nvSpPr>
      <cdr:spPr>
        <a:xfrm xmlns:a="http://schemas.openxmlformats.org/drawingml/2006/main">
          <a:off x="190500" y="5248275"/>
          <a:ext cx="3657600" cy="7429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cdr:x>
      <cdr:y>0.08436</cdr:y>
    </cdr:from>
    <cdr:ext cx="1429607" cy="286072"/>
    <cdr:sp macro="" textlink="">
      <cdr:nvSpPr>
        <cdr:cNvPr id="5" name="TextBox 1"/>
        <cdr:cNvSpPr txBox="1"/>
      </cdr:nvSpPr>
      <cdr:spPr>
        <a:xfrm xmlns:a="http://schemas.openxmlformats.org/drawingml/2006/main">
          <a:off x="0" y="476251"/>
          <a:ext cx="1230548" cy="37996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0.02526</cdr:x>
      <cdr:y>0.85423</cdr:y>
    </cdr:from>
    <cdr:ext cx="4499811" cy="602985"/>
    <cdr:sp macro="" textlink="">
      <cdr:nvSpPr>
        <cdr:cNvPr id="10" name="TextBox 2"/>
        <cdr:cNvSpPr txBox="1"/>
      </cdr:nvSpPr>
      <cdr:spPr>
        <a:xfrm xmlns:a="http://schemas.openxmlformats.org/drawingml/2006/main">
          <a:off x="190500" y="5248275"/>
          <a:ext cx="3657600" cy="7429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0.02526</cdr:x>
      <cdr:y>0.85423</cdr:y>
    </cdr:from>
    <cdr:ext cx="4499811" cy="602985"/>
    <cdr:sp macro="" textlink="">
      <cdr:nvSpPr>
        <cdr:cNvPr id="7" name="TextBox 2"/>
        <cdr:cNvSpPr txBox="1"/>
      </cdr:nvSpPr>
      <cdr:spPr>
        <a:xfrm xmlns:a="http://schemas.openxmlformats.org/drawingml/2006/main">
          <a:off x="190500" y="5248275"/>
          <a:ext cx="3657600" cy="7429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0.02526</cdr:x>
      <cdr:y>0.85423</cdr:y>
    </cdr:from>
    <cdr:ext cx="4499811" cy="602985"/>
    <cdr:sp macro="" textlink="">
      <cdr:nvSpPr>
        <cdr:cNvPr id="12" name="TextBox 2"/>
        <cdr:cNvSpPr txBox="1"/>
      </cdr:nvSpPr>
      <cdr:spPr>
        <a:xfrm xmlns:a="http://schemas.openxmlformats.org/drawingml/2006/main">
          <a:off x="190500" y="5248275"/>
          <a:ext cx="3657600" cy="7429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0.00893</cdr:x>
      <cdr:y>0.85172</cdr:y>
    </cdr:from>
    <cdr:ext cx="5681193" cy="427386"/>
    <cdr:sp macro="" textlink="">
      <cdr:nvSpPr>
        <cdr:cNvPr id="15" name="Footnote"/>
        <cdr:cNvSpPr txBox="1"/>
      </cdr:nvSpPr>
      <cdr:spPr>
        <a:xfrm xmlns:a="http://schemas.openxmlformats.org/drawingml/2006/main">
          <a:off x="66686" y="6210276"/>
          <a:ext cx="4610089" cy="628674"/>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0.81499</cdr:x>
      <cdr:y>0.95605</cdr:y>
    </cdr:from>
    <cdr:ext cx="1708396" cy="186957"/>
    <cdr:sp macro="" textlink="">
      <cdr:nvSpPr>
        <cdr:cNvPr id="16" name="TextBox 15"/>
        <cdr:cNvSpPr txBox="1"/>
      </cdr:nvSpPr>
      <cdr:spPr>
        <a:xfrm xmlns:a="http://schemas.openxmlformats.org/drawingml/2006/main">
          <a:off x="7491117" y="3879317"/>
          <a:ext cx="1695395" cy="17833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750" b="0" i="0">
              <a:solidFill>
                <a:srgbClr val="000000"/>
              </a:solidFill>
              <a:latin typeface="Arial Narrow"/>
            </a:rPr>
            <a:t>Number  of countries</a:t>
          </a:r>
        </a:p>
      </cdr:txBody>
    </cdr:sp>
  </cdr:absSizeAnchor>
  <cdr:relSizeAnchor xmlns:cdr="http://schemas.openxmlformats.org/drawingml/2006/chartDrawing">
    <cdr:from>
      <cdr:x>0.56755</cdr:x>
      <cdr:y>0.01553</cdr:y>
    </cdr:from>
    <cdr:to>
      <cdr:x>0.57752</cdr:x>
      <cdr:y>0.0329</cdr:y>
    </cdr:to>
    <cdr:sp macro="" textlink="">
      <cdr:nvSpPr>
        <cdr:cNvPr id="13" name="xlamShapesMarker"/>
        <cdr:cNvSpPr/>
      </cdr:nvSpPr>
      <cdr:spPr bwMode="auto">
        <a:xfrm xmlns:a="http://schemas.openxmlformats.org/drawingml/2006/main">
          <a:off x="4211226" y="66120"/>
          <a:ext cx="73949" cy="73949"/>
        </a:xfrm>
        <a:prstGeom xmlns:a="http://schemas.openxmlformats.org/drawingml/2006/main" prst="rect">
          <a:avLst/>
        </a:prstGeom>
        <a:solidFill xmlns:a="http://schemas.openxmlformats.org/drawingml/2006/main">
          <a:srgbClr val="EAEAEA"/>
        </a:solidFill>
        <a:ln xmlns:a="http://schemas.openxmlformats.org/drawingml/2006/main" w="6350" cap="flat" cmpd="sng" algn="ctr">
          <a:noFill/>
          <a:prstDash val="solid"/>
          <a:round/>
          <a:headEnd type="none" w="med" len="med"/>
          <a:tailEnd type="none" w="med" len="med"/>
        </a:ln>
        <a:effectLst xmlns:a="http://schemas.openxmlformats.org/drawingml/2006/main"/>
        <a:extLst xmlns:a="http://schemas.openxmlformats.org/drawingml/2006/main">
          <a:ext uri="{91240B29-F687-4F45-9708-019B960494DF}">
            <a14:hiddenLine xmlns:a14="http://schemas.microsoft.com/office/drawing/2010/main" w="6350" cap="flat" cmpd="sng" algn="ctr">
              <a:solidFill>
                <a:srgbClr val="EAEAEA"/>
              </a:solidFill>
              <a:prstDash val="solid"/>
              <a:round/>
              <a:headEnd type="none" w="med" len="med"/>
              <a:tailEnd type="none" w="med" len="med"/>
            </a14:hiddenLine>
          </a:ext>
        </a:extLst>
      </cdr:spPr>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oe.cd/disclaimer" TargetMode="External"/><Relationship Id="rId1" Type="http://schemas.openxmlformats.org/officeDocument/2006/relationships/hyperlink" Target="https://doi.org/10.1787/eag-2018-en"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oe.cd/disclaimer" TargetMode="External"/><Relationship Id="rId1" Type="http://schemas.openxmlformats.org/officeDocument/2006/relationships/hyperlink" Target="https://doi.org/10.1787/eag-2018-en"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oe.cd/disclaimer" TargetMode="External"/><Relationship Id="rId1" Type="http://schemas.openxmlformats.org/officeDocument/2006/relationships/hyperlink" Target="https://doi.org/10.1787/eag-2018-en"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oe.cd/disclaimer" TargetMode="External"/><Relationship Id="rId1" Type="http://schemas.openxmlformats.org/officeDocument/2006/relationships/hyperlink" Target="https://doi.org/10.1787/eag-2018-en" TargetMode="Externa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oe.cd/disclaimer" TargetMode="External"/><Relationship Id="rId1" Type="http://schemas.openxmlformats.org/officeDocument/2006/relationships/hyperlink" Target="https://doi.org/10.1787/eag-2018-en" TargetMode="External"/><Relationship Id="rId4"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oe.cd/disclaimer" TargetMode="External"/><Relationship Id="rId1" Type="http://schemas.openxmlformats.org/officeDocument/2006/relationships/hyperlink" Target="https://doi.org/10.1787/eag-2018-en" TargetMode="Externa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oe.cd/disclaimer" TargetMode="External"/><Relationship Id="rId1" Type="http://schemas.openxmlformats.org/officeDocument/2006/relationships/hyperlink" Target="https://doi.org/10.1787/eag-2018-en" TargetMode="External"/><Relationship Id="rId4"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8" Type="http://schemas.openxmlformats.org/officeDocument/2006/relationships/customProperty" Target="../customProperty5.bin"/><Relationship Id="rId13" Type="http://schemas.openxmlformats.org/officeDocument/2006/relationships/customProperty" Target="../customProperty10.bin"/><Relationship Id="rId3" Type="http://schemas.openxmlformats.org/officeDocument/2006/relationships/printerSettings" Target="../printerSettings/printerSettings8.bin"/><Relationship Id="rId7" Type="http://schemas.openxmlformats.org/officeDocument/2006/relationships/customProperty" Target="../customProperty4.bin"/><Relationship Id="rId12" Type="http://schemas.openxmlformats.org/officeDocument/2006/relationships/customProperty" Target="../customProperty9.bin"/><Relationship Id="rId17" Type="http://schemas.openxmlformats.org/officeDocument/2006/relationships/drawing" Target="../drawings/drawing7.xml"/><Relationship Id="rId2" Type="http://schemas.openxmlformats.org/officeDocument/2006/relationships/hyperlink" Target="http://oe.cd/disclaimer" TargetMode="External"/><Relationship Id="rId16" Type="http://schemas.openxmlformats.org/officeDocument/2006/relationships/customProperty" Target="../customProperty13.bin"/><Relationship Id="rId1" Type="http://schemas.openxmlformats.org/officeDocument/2006/relationships/hyperlink" Target="https://doi.org/10.1787/eag-2018-en" TargetMode="External"/><Relationship Id="rId6" Type="http://schemas.openxmlformats.org/officeDocument/2006/relationships/customProperty" Target="../customProperty3.bin"/><Relationship Id="rId11" Type="http://schemas.openxmlformats.org/officeDocument/2006/relationships/customProperty" Target="../customProperty8.bin"/><Relationship Id="rId5" Type="http://schemas.openxmlformats.org/officeDocument/2006/relationships/customProperty" Target="../customProperty2.bin"/><Relationship Id="rId15" Type="http://schemas.openxmlformats.org/officeDocument/2006/relationships/customProperty" Target="../customProperty12.bin"/><Relationship Id="rId10" Type="http://schemas.openxmlformats.org/officeDocument/2006/relationships/customProperty" Target="../customProperty7.bin"/><Relationship Id="rId4" Type="http://schemas.openxmlformats.org/officeDocument/2006/relationships/customProperty" Target="../customProperty1.bin"/><Relationship Id="rId9" Type="http://schemas.openxmlformats.org/officeDocument/2006/relationships/customProperty" Target="../customProperty6.bin"/><Relationship Id="rId14" Type="http://schemas.openxmlformats.org/officeDocument/2006/relationships/customProperty" Target="../customProperty11.bin"/></Relationships>
</file>

<file path=xl/worksheets/_rels/sheet10.xml.rels><?xml version="1.0" encoding="UTF-8" standalone="yes"?>
<Relationships xmlns="http://schemas.openxmlformats.org/package/2006/relationships"><Relationship Id="rId8" Type="http://schemas.openxmlformats.org/officeDocument/2006/relationships/customProperty" Target="../customProperty18.bin"/><Relationship Id="rId13" Type="http://schemas.openxmlformats.org/officeDocument/2006/relationships/customProperty" Target="../customProperty23.bin"/><Relationship Id="rId3" Type="http://schemas.openxmlformats.org/officeDocument/2006/relationships/printerSettings" Target="../printerSettings/printerSettings9.bin"/><Relationship Id="rId7" Type="http://schemas.openxmlformats.org/officeDocument/2006/relationships/customProperty" Target="../customProperty17.bin"/><Relationship Id="rId12" Type="http://schemas.openxmlformats.org/officeDocument/2006/relationships/customProperty" Target="../customProperty22.bin"/><Relationship Id="rId17" Type="http://schemas.openxmlformats.org/officeDocument/2006/relationships/drawing" Target="../drawings/drawing9.xml"/><Relationship Id="rId2" Type="http://schemas.openxmlformats.org/officeDocument/2006/relationships/hyperlink" Target="http://oe.cd/disclaimer" TargetMode="External"/><Relationship Id="rId16" Type="http://schemas.openxmlformats.org/officeDocument/2006/relationships/customProperty" Target="../customProperty26.bin"/><Relationship Id="rId1" Type="http://schemas.openxmlformats.org/officeDocument/2006/relationships/hyperlink" Target="https://doi.org/10.1787/eag-2018-en" TargetMode="External"/><Relationship Id="rId6" Type="http://schemas.openxmlformats.org/officeDocument/2006/relationships/customProperty" Target="../customProperty16.bin"/><Relationship Id="rId11" Type="http://schemas.openxmlformats.org/officeDocument/2006/relationships/customProperty" Target="../customProperty21.bin"/><Relationship Id="rId5" Type="http://schemas.openxmlformats.org/officeDocument/2006/relationships/customProperty" Target="../customProperty15.bin"/><Relationship Id="rId15" Type="http://schemas.openxmlformats.org/officeDocument/2006/relationships/customProperty" Target="../customProperty25.bin"/><Relationship Id="rId10" Type="http://schemas.openxmlformats.org/officeDocument/2006/relationships/customProperty" Target="../customProperty20.bin"/><Relationship Id="rId4" Type="http://schemas.openxmlformats.org/officeDocument/2006/relationships/customProperty" Target="../customProperty14.bin"/><Relationship Id="rId9" Type="http://schemas.openxmlformats.org/officeDocument/2006/relationships/customProperty" Target="../customProperty19.bin"/><Relationship Id="rId14" Type="http://schemas.openxmlformats.org/officeDocument/2006/relationships/customProperty" Target="../customProperty24.bin"/></Relationships>
</file>

<file path=xl/worksheets/_rels/sheet11.xml.rels><?xml version="1.0" encoding="UTF-8" standalone="yes"?>
<Relationships xmlns="http://schemas.openxmlformats.org/package/2006/relationships"><Relationship Id="rId8" Type="http://schemas.openxmlformats.org/officeDocument/2006/relationships/customProperty" Target="../customProperty31.bin"/><Relationship Id="rId13" Type="http://schemas.openxmlformats.org/officeDocument/2006/relationships/customProperty" Target="../customProperty36.bin"/><Relationship Id="rId3" Type="http://schemas.openxmlformats.org/officeDocument/2006/relationships/printerSettings" Target="../printerSettings/printerSettings10.bin"/><Relationship Id="rId7" Type="http://schemas.openxmlformats.org/officeDocument/2006/relationships/customProperty" Target="../customProperty30.bin"/><Relationship Id="rId12" Type="http://schemas.openxmlformats.org/officeDocument/2006/relationships/customProperty" Target="../customProperty35.bin"/><Relationship Id="rId17" Type="http://schemas.openxmlformats.org/officeDocument/2006/relationships/drawing" Target="../drawings/drawing11.xml"/><Relationship Id="rId2" Type="http://schemas.openxmlformats.org/officeDocument/2006/relationships/hyperlink" Target="http://oe.cd/disclaimer" TargetMode="External"/><Relationship Id="rId16" Type="http://schemas.openxmlformats.org/officeDocument/2006/relationships/customProperty" Target="../customProperty39.bin"/><Relationship Id="rId1" Type="http://schemas.openxmlformats.org/officeDocument/2006/relationships/hyperlink" Target="https://doi.org/10.1787/eag-2018-en" TargetMode="External"/><Relationship Id="rId6" Type="http://schemas.openxmlformats.org/officeDocument/2006/relationships/customProperty" Target="../customProperty29.bin"/><Relationship Id="rId11" Type="http://schemas.openxmlformats.org/officeDocument/2006/relationships/customProperty" Target="../customProperty34.bin"/><Relationship Id="rId5" Type="http://schemas.openxmlformats.org/officeDocument/2006/relationships/customProperty" Target="../customProperty28.bin"/><Relationship Id="rId15" Type="http://schemas.openxmlformats.org/officeDocument/2006/relationships/customProperty" Target="../customProperty38.bin"/><Relationship Id="rId10" Type="http://schemas.openxmlformats.org/officeDocument/2006/relationships/customProperty" Target="../customProperty33.bin"/><Relationship Id="rId4" Type="http://schemas.openxmlformats.org/officeDocument/2006/relationships/customProperty" Target="../customProperty27.bin"/><Relationship Id="rId9" Type="http://schemas.openxmlformats.org/officeDocument/2006/relationships/customProperty" Target="../customProperty32.bin"/><Relationship Id="rId14" Type="http://schemas.openxmlformats.org/officeDocument/2006/relationships/customProperty" Target="../customProperty3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tabColor rgb="FF7030A0"/>
  </sheetPr>
  <dimension ref="A1:AG273"/>
  <sheetViews>
    <sheetView workbookViewId="0"/>
  </sheetViews>
  <sheetFormatPr defaultColWidth="9" defaultRowHeight="13.2"/>
  <cols>
    <col min="1" max="1" width="15.875" style="208" customWidth="1"/>
    <col min="2" max="2" width="80.5" style="208" customWidth="1"/>
    <col min="3" max="3" width="2.75" style="207" customWidth="1"/>
    <col min="4" max="10" width="9" style="207" customWidth="1"/>
    <col min="11" max="11" width="11.25" style="207" customWidth="1"/>
    <col min="12" max="17" width="9" style="207" customWidth="1"/>
    <col min="18" max="33" width="9" style="207"/>
    <col min="34" max="16384" width="9" style="208"/>
  </cols>
  <sheetData>
    <row r="1" spans="1:2" s="483" customFormat="1">
      <c r="A1" s="484" t="s">
        <v>235</v>
      </c>
    </row>
    <row r="2" spans="1:2" s="483" customFormat="1">
      <c r="A2" s="483" t="s">
        <v>236</v>
      </c>
      <c r="B2" s="483" t="s">
        <v>237</v>
      </c>
    </row>
    <row r="3" spans="1:2" s="483" customFormat="1">
      <c r="A3" s="483" t="s">
        <v>238</v>
      </c>
    </row>
    <row r="4" spans="1:2" s="483" customFormat="1">
      <c r="A4" s="484" t="s">
        <v>239</v>
      </c>
    </row>
    <row r="5" spans="1:2" s="483" customFormat="1"/>
    <row r="6" spans="1:2" ht="12.9" customHeight="1">
      <c r="A6" s="375" t="s">
        <v>170</v>
      </c>
      <c r="B6" s="376"/>
    </row>
    <row r="7" spans="1:2" ht="12.9" customHeight="1">
      <c r="A7" s="377" t="s">
        <v>44</v>
      </c>
      <c r="B7" s="378"/>
    </row>
    <row r="8" spans="1:2">
      <c r="A8" s="200"/>
      <c r="B8" s="201"/>
    </row>
    <row r="9" spans="1:2" ht="12.9" customHeight="1">
      <c r="A9" s="202" t="s">
        <v>43</v>
      </c>
      <c r="B9" s="1"/>
    </row>
    <row r="10" spans="1:2" ht="12.9" customHeight="1">
      <c r="A10" s="370" t="s">
        <v>130</v>
      </c>
      <c r="B10" s="371" t="s">
        <v>151</v>
      </c>
    </row>
    <row r="11" spans="1:2" ht="12.9" customHeight="1">
      <c r="A11" s="370" t="s">
        <v>147</v>
      </c>
      <c r="B11" s="371" t="s">
        <v>200</v>
      </c>
    </row>
    <row r="12" spans="1:2" ht="12.9" customHeight="1">
      <c r="A12" s="370" t="s">
        <v>106</v>
      </c>
      <c r="B12" s="371" t="s">
        <v>161</v>
      </c>
    </row>
    <row r="13" spans="1:2" ht="12.9" customHeight="1">
      <c r="A13" s="2"/>
      <c r="B13" s="1"/>
    </row>
    <row r="14" spans="1:2" ht="12.9" customHeight="1">
      <c r="A14" s="379" t="s">
        <v>137</v>
      </c>
      <c r="B14" s="380"/>
    </row>
    <row r="15" spans="1:2" ht="12.9" customHeight="1">
      <c r="A15" s="370" t="s">
        <v>132</v>
      </c>
      <c r="B15" s="371" t="s">
        <v>164</v>
      </c>
    </row>
    <row r="16" spans="1:2" ht="12.9" customHeight="1">
      <c r="A16" s="370" t="s">
        <v>133</v>
      </c>
      <c r="B16" s="371" t="s">
        <v>165</v>
      </c>
    </row>
    <row r="17" spans="1:2" ht="12.9" customHeight="1">
      <c r="A17" s="370" t="s">
        <v>134</v>
      </c>
      <c r="B17" s="371" t="s">
        <v>167</v>
      </c>
    </row>
    <row r="18" spans="1:2" ht="12.9" customHeight="1">
      <c r="A18" s="370" t="s">
        <v>163</v>
      </c>
      <c r="B18" s="371" t="s">
        <v>166</v>
      </c>
    </row>
    <row r="19" spans="1:2" ht="12.9" customHeight="1">
      <c r="A19" s="370" t="s">
        <v>168</v>
      </c>
      <c r="B19" s="371" t="s">
        <v>177</v>
      </c>
    </row>
    <row r="20" spans="1:2" ht="12.9" customHeight="1">
      <c r="A20" s="339"/>
      <c r="B20" s="1"/>
    </row>
    <row r="21" spans="1:2" ht="12.9" customHeight="1">
      <c r="A21" s="340" t="s">
        <v>138</v>
      </c>
      <c r="B21" s="1"/>
    </row>
    <row r="22" spans="1:2" ht="12.9" customHeight="1">
      <c r="A22" s="370" t="s">
        <v>139</v>
      </c>
      <c r="B22" s="371" t="s">
        <v>173</v>
      </c>
    </row>
    <row r="23" spans="1:2" ht="12.9" customHeight="1">
      <c r="A23" s="209"/>
      <c r="B23" s="141"/>
    </row>
    <row r="24" spans="1:2" ht="12.9" customHeight="1">
      <c r="A24" s="209"/>
      <c r="B24" s="141"/>
    </row>
    <row r="25" spans="1:2" ht="12.9" customHeight="1">
      <c r="A25" s="373" t="s">
        <v>171</v>
      </c>
      <c r="B25" s="374"/>
    </row>
    <row r="26" spans="1:2" s="207" customFormat="1" ht="10.8" thickBot="1"/>
    <row r="27" spans="1:2" s="207" customFormat="1" ht="10.199999999999999">
      <c r="A27" s="381" t="s">
        <v>179</v>
      </c>
      <c r="B27" s="382"/>
    </row>
    <row r="28" spans="1:2" s="207" customFormat="1" ht="10.199999999999999">
      <c r="A28" s="210" t="s">
        <v>0</v>
      </c>
      <c r="B28" s="211" t="s">
        <v>180</v>
      </c>
    </row>
    <row r="29" spans="1:2" s="207" customFormat="1" ht="10.199999999999999">
      <c r="A29" s="210" t="s">
        <v>23</v>
      </c>
      <c r="B29" s="211" t="s">
        <v>181</v>
      </c>
    </row>
    <row r="30" spans="1:2" s="207" customFormat="1" ht="10.199999999999999">
      <c r="A30" s="210" t="s">
        <v>182</v>
      </c>
      <c r="B30" s="211" t="s">
        <v>183</v>
      </c>
    </row>
    <row r="31" spans="1:2" s="207" customFormat="1" ht="10.199999999999999">
      <c r="A31" s="210" t="s">
        <v>184</v>
      </c>
      <c r="B31" s="211" t="s">
        <v>185</v>
      </c>
    </row>
    <row r="32" spans="1:2" s="207" customFormat="1" ht="10.199999999999999">
      <c r="A32" s="212">
        <v>0</v>
      </c>
      <c r="B32" s="213" t="s">
        <v>224</v>
      </c>
    </row>
    <row r="33" spans="1:2" s="207" customFormat="1" ht="10.8" thickBot="1">
      <c r="A33" s="214" t="s">
        <v>186</v>
      </c>
      <c r="B33" s="215" t="s">
        <v>187</v>
      </c>
    </row>
    <row r="34" spans="1:2" s="207" customFormat="1" ht="10.199999999999999"/>
    <row r="35" spans="1:2" s="207" customFormat="1" ht="10.199999999999999"/>
    <row r="36" spans="1:2" s="207" customFormat="1" ht="10.199999999999999"/>
    <row r="37" spans="1:2" s="207" customFormat="1" ht="10.199999999999999"/>
    <row r="38" spans="1:2" s="207" customFormat="1" ht="10.199999999999999"/>
    <row r="39" spans="1:2" s="207" customFormat="1" ht="10.199999999999999"/>
    <row r="40" spans="1:2" s="207" customFormat="1" ht="10.199999999999999"/>
    <row r="41" spans="1:2" s="207" customFormat="1" ht="10.199999999999999"/>
    <row r="42" spans="1:2" s="207" customFormat="1" ht="10.199999999999999"/>
    <row r="43" spans="1:2" s="207" customFormat="1" ht="10.199999999999999"/>
    <row r="44" spans="1:2" s="207" customFormat="1" ht="10.199999999999999"/>
    <row r="45" spans="1:2" s="207" customFormat="1" ht="10.199999999999999"/>
    <row r="46" spans="1:2" s="207" customFormat="1" ht="10.199999999999999"/>
    <row r="47" spans="1:2" s="207" customFormat="1" ht="10.199999999999999"/>
    <row r="48" spans="1:2" s="207" customFormat="1" ht="10.199999999999999"/>
    <row r="49" s="207" customFormat="1" ht="10.199999999999999"/>
    <row r="50" s="207" customFormat="1" ht="10.199999999999999"/>
    <row r="51" s="207" customFormat="1" ht="10.199999999999999"/>
    <row r="52" s="207" customFormat="1" ht="10.199999999999999"/>
    <row r="53" s="207" customFormat="1" ht="10.199999999999999"/>
    <row r="54" s="207" customFormat="1" ht="10.199999999999999"/>
    <row r="55" s="207" customFormat="1" ht="10.199999999999999"/>
    <row r="56" s="207" customFormat="1" ht="10.199999999999999"/>
    <row r="57" s="207" customFormat="1" ht="10.199999999999999"/>
    <row r="58" s="207" customFormat="1" ht="10.199999999999999"/>
    <row r="59" s="207" customFormat="1" ht="10.199999999999999"/>
    <row r="60" s="207" customFormat="1" ht="10.199999999999999"/>
    <row r="61" s="207" customFormat="1" ht="10.199999999999999"/>
    <row r="62" s="207" customFormat="1" ht="10.199999999999999"/>
    <row r="63" s="207" customFormat="1" ht="10.199999999999999"/>
    <row r="64" s="207" customFormat="1" ht="10.199999999999999"/>
    <row r="65" s="207" customFormat="1" ht="10.199999999999999"/>
    <row r="66" s="207" customFormat="1" ht="10.199999999999999"/>
    <row r="67" s="207" customFormat="1" ht="10.199999999999999"/>
    <row r="68" s="207" customFormat="1" ht="10.199999999999999"/>
    <row r="69" s="207" customFormat="1" ht="10.199999999999999"/>
    <row r="70" s="207" customFormat="1" ht="10.199999999999999"/>
    <row r="71" s="207" customFormat="1" ht="10.199999999999999"/>
    <row r="72" s="207" customFormat="1" ht="10.199999999999999"/>
    <row r="73" s="207" customFormat="1" ht="10.199999999999999"/>
    <row r="74" s="207" customFormat="1" ht="10.199999999999999"/>
    <row r="75" s="207" customFormat="1" ht="10.199999999999999"/>
    <row r="76" s="207" customFormat="1" ht="10.199999999999999"/>
    <row r="77" s="207" customFormat="1" ht="10.199999999999999"/>
    <row r="78" s="207" customFormat="1" ht="10.199999999999999"/>
    <row r="79" s="207" customFormat="1" ht="10.199999999999999"/>
    <row r="80" s="207" customFormat="1" ht="10.199999999999999"/>
    <row r="81" s="207" customFormat="1" ht="10.199999999999999"/>
    <row r="82" s="207" customFormat="1" ht="10.199999999999999"/>
    <row r="83" s="207" customFormat="1" ht="10.199999999999999"/>
    <row r="84" s="207" customFormat="1" ht="10.199999999999999"/>
    <row r="85" s="207" customFormat="1" ht="10.199999999999999"/>
    <row r="86" s="207" customFormat="1" ht="10.199999999999999"/>
    <row r="87" s="207" customFormat="1" ht="10.199999999999999"/>
    <row r="88" s="207" customFormat="1" ht="10.199999999999999"/>
    <row r="89" s="207" customFormat="1" ht="10.199999999999999"/>
    <row r="90" s="207" customFormat="1" ht="10.199999999999999"/>
    <row r="91" s="207" customFormat="1" ht="10.199999999999999"/>
    <row r="92" s="207" customFormat="1" ht="10.199999999999999"/>
    <row r="93" s="207" customFormat="1" ht="10.199999999999999"/>
    <row r="94" s="207" customFormat="1" ht="10.199999999999999"/>
    <row r="95" s="207" customFormat="1" ht="10.199999999999999"/>
    <row r="96" s="207" customFormat="1" ht="10.199999999999999"/>
    <row r="97" s="207" customFormat="1" ht="10.199999999999999"/>
    <row r="98" s="207" customFormat="1" ht="10.199999999999999"/>
    <row r="99" s="207" customFormat="1" ht="10.199999999999999"/>
    <row r="100" s="207" customFormat="1" ht="10.199999999999999"/>
    <row r="101" s="207" customFormat="1" ht="10.199999999999999"/>
    <row r="102" s="207" customFormat="1" ht="10.199999999999999"/>
    <row r="103" s="207" customFormat="1" ht="10.199999999999999"/>
    <row r="104" s="207" customFormat="1" ht="10.199999999999999"/>
    <row r="105" s="207" customFormat="1" ht="10.199999999999999"/>
    <row r="106" s="207" customFormat="1" ht="10.199999999999999"/>
    <row r="107" s="207" customFormat="1" ht="10.199999999999999"/>
    <row r="108" s="207" customFormat="1" ht="10.199999999999999"/>
    <row r="109" s="207" customFormat="1" ht="10.199999999999999"/>
    <row r="110" s="207" customFormat="1" ht="10.199999999999999"/>
    <row r="111" s="207" customFormat="1" ht="10.199999999999999"/>
    <row r="112" s="207" customFormat="1" ht="10.199999999999999"/>
    <row r="113" s="207" customFormat="1" ht="10.199999999999999"/>
    <row r="114" s="207" customFormat="1" ht="10.199999999999999"/>
    <row r="115" s="207" customFormat="1" ht="10.199999999999999"/>
    <row r="116" s="207" customFormat="1" ht="10.199999999999999"/>
    <row r="117" s="207" customFormat="1" ht="10.199999999999999"/>
    <row r="118" s="207" customFormat="1" ht="10.199999999999999"/>
    <row r="119" s="207" customFormat="1" ht="10.199999999999999"/>
    <row r="120" s="207" customFormat="1" ht="10.199999999999999"/>
    <row r="121" s="207" customFormat="1" ht="10.199999999999999"/>
    <row r="122" s="207" customFormat="1" ht="10.199999999999999"/>
    <row r="123" s="207" customFormat="1" ht="10.199999999999999"/>
    <row r="124" s="207" customFormat="1" ht="10.199999999999999"/>
    <row r="125" s="207" customFormat="1" ht="10.199999999999999"/>
    <row r="126" s="207" customFormat="1" ht="10.199999999999999"/>
    <row r="127" s="207" customFormat="1" ht="10.199999999999999"/>
    <row r="128" s="207" customFormat="1" ht="10.199999999999999"/>
    <row r="129" s="207" customFormat="1" ht="10.199999999999999"/>
    <row r="130" s="207" customFormat="1" ht="10.199999999999999"/>
    <row r="131" s="207" customFormat="1" ht="10.199999999999999"/>
    <row r="132" s="207" customFormat="1" ht="10.199999999999999"/>
    <row r="133" s="207" customFormat="1" ht="10.199999999999999"/>
    <row r="134" s="207" customFormat="1" ht="10.199999999999999"/>
    <row r="135" s="207" customFormat="1" ht="10.199999999999999"/>
    <row r="136" s="207" customFormat="1" ht="10.199999999999999"/>
    <row r="137" s="207" customFormat="1" ht="10.199999999999999"/>
    <row r="138" s="207" customFormat="1" ht="10.199999999999999"/>
    <row r="139" s="207" customFormat="1" ht="10.199999999999999"/>
    <row r="140" s="207" customFormat="1" ht="10.199999999999999"/>
    <row r="141" s="207" customFormat="1" ht="10.199999999999999"/>
    <row r="142" s="207" customFormat="1" ht="10.199999999999999"/>
    <row r="143" s="207" customFormat="1" ht="10.199999999999999"/>
    <row r="144" s="207" customFormat="1" ht="10.199999999999999"/>
    <row r="145" s="207" customFormat="1" ht="10.199999999999999"/>
    <row r="146" s="207" customFormat="1" ht="10.199999999999999"/>
    <row r="147" s="207" customFormat="1" ht="10.199999999999999"/>
    <row r="148" s="207" customFormat="1" ht="10.199999999999999"/>
    <row r="149" s="207" customFormat="1" ht="10.199999999999999"/>
    <row r="150" s="207" customFormat="1" ht="10.199999999999999"/>
    <row r="151" s="207" customFormat="1" ht="10.199999999999999"/>
    <row r="152" s="207" customFormat="1" ht="10.199999999999999"/>
    <row r="153" s="207" customFormat="1" ht="10.199999999999999"/>
    <row r="154" s="207" customFormat="1" ht="10.199999999999999"/>
    <row r="155" s="207" customFormat="1" ht="10.199999999999999"/>
    <row r="156" s="207" customFormat="1" ht="10.199999999999999"/>
    <row r="157" s="207" customFormat="1" ht="10.199999999999999"/>
    <row r="158" s="207" customFormat="1" ht="10.199999999999999"/>
    <row r="159" s="207" customFormat="1" ht="10.199999999999999"/>
    <row r="160" s="207" customFormat="1" ht="10.199999999999999"/>
    <row r="161" s="207" customFormat="1" ht="10.199999999999999"/>
    <row r="162" s="207" customFormat="1" ht="10.199999999999999"/>
    <row r="163" s="207" customFormat="1" ht="10.199999999999999"/>
    <row r="164" s="207" customFormat="1" ht="10.199999999999999"/>
    <row r="165" s="207" customFormat="1" ht="10.199999999999999"/>
    <row r="166" s="207" customFormat="1" ht="10.199999999999999"/>
    <row r="167" s="207" customFormat="1" ht="10.199999999999999"/>
    <row r="168" s="207" customFormat="1" ht="10.199999999999999"/>
    <row r="169" s="207" customFormat="1" ht="10.199999999999999"/>
    <row r="170" s="207" customFormat="1" ht="10.199999999999999"/>
    <row r="171" s="207" customFormat="1" ht="10.199999999999999"/>
    <row r="172" s="207" customFormat="1" ht="10.199999999999999"/>
    <row r="173" s="207" customFormat="1" ht="10.199999999999999"/>
    <row r="174" s="207" customFormat="1" ht="10.199999999999999"/>
    <row r="175" s="207" customFormat="1" ht="10.199999999999999"/>
    <row r="176" s="207" customFormat="1" ht="10.199999999999999"/>
    <row r="177" s="207" customFormat="1" ht="10.199999999999999"/>
    <row r="178" s="207" customFormat="1" ht="10.199999999999999"/>
    <row r="179" s="207" customFormat="1" ht="10.199999999999999"/>
    <row r="180" s="207" customFormat="1" ht="10.199999999999999"/>
    <row r="181" s="207" customFormat="1" ht="10.199999999999999"/>
    <row r="182" s="207" customFormat="1" ht="10.199999999999999"/>
    <row r="183" s="207" customFormat="1" ht="10.199999999999999"/>
    <row r="184" s="207" customFormat="1" ht="10.199999999999999"/>
    <row r="185" s="207" customFormat="1" ht="10.199999999999999"/>
    <row r="186" s="207" customFormat="1" ht="10.199999999999999"/>
    <row r="187" s="207" customFormat="1" ht="10.199999999999999"/>
    <row r="188" s="207" customFormat="1" ht="10.199999999999999"/>
    <row r="189" s="207" customFormat="1" ht="10.199999999999999"/>
    <row r="190" s="207" customFormat="1" ht="10.199999999999999"/>
    <row r="191" s="207" customFormat="1" ht="10.199999999999999"/>
    <row r="192" s="207" customFormat="1" ht="10.199999999999999"/>
    <row r="193" s="207" customFormat="1" ht="10.199999999999999"/>
    <row r="194" s="207" customFormat="1" ht="10.199999999999999"/>
    <row r="195" s="207" customFormat="1" ht="10.199999999999999"/>
    <row r="196" s="207" customFormat="1" ht="10.199999999999999"/>
    <row r="197" s="207" customFormat="1" ht="10.199999999999999"/>
    <row r="198" s="207" customFormat="1" ht="10.199999999999999"/>
    <row r="199" s="207" customFormat="1" ht="10.199999999999999"/>
    <row r="200" s="207" customFormat="1" ht="10.199999999999999"/>
    <row r="201" s="207" customFormat="1" ht="10.199999999999999"/>
    <row r="202" s="207" customFormat="1" ht="10.199999999999999"/>
    <row r="203" s="207" customFormat="1" ht="10.199999999999999"/>
    <row r="204" s="207" customFormat="1" ht="10.199999999999999"/>
    <row r="205" s="207" customFormat="1" ht="10.199999999999999"/>
    <row r="206" s="207" customFormat="1" ht="10.199999999999999"/>
    <row r="207" s="207" customFormat="1" ht="10.199999999999999"/>
    <row r="208" s="207" customFormat="1" ht="10.199999999999999"/>
    <row r="209" s="207" customFormat="1" ht="10.199999999999999"/>
    <row r="210" s="207" customFormat="1" ht="10.199999999999999"/>
    <row r="211" s="207" customFormat="1" ht="10.199999999999999"/>
    <row r="212" s="207" customFormat="1" ht="10.199999999999999"/>
    <row r="213" s="207" customFormat="1" ht="10.199999999999999"/>
    <row r="214" s="207" customFormat="1" ht="10.199999999999999"/>
    <row r="215" s="207" customFormat="1" ht="10.199999999999999"/>
    <row r="216" s="207" customFormat="1" ht="10.199999999999999"/>
    <row r="217" s="207" customFormat="1" ht="10.199999999999999"/>
    <row r="218" s="207" customFormat="1" ht="10.199999999999999"/>
    <row r="219" s="207" customFormat="1" ht="10.199999999999999"/>
    <row r="220" s="207" customFormat="1" ht="10.199999999999999"/>
    <row r="221" s="207" customFormat="1" ht="10.199999999999999"/>
    <row r="222" s="207" customFormat="1" ht="10.199999999999999"/>
    <row r="223" s="207" customFormat="1" ht="10.199999999999999"/>
    <row r="224" s="207" customFormat="1" ht="10.199999999999999"/>
    <row r="225" s="207" customFormat="1" ht="10.199999999999999"/>
    <row r="226" s="207" customFormat="1" ht="10.199999999999999"/>
    <row r="227" s="207" customFormat="1" ht="10.199999999999999"/>
    <row r="228" s="207" customFormat="1" ht="10.199999999999999"/>
    <row r="229" s="207" customFormat="1" ht="10.199999999999999"/>
    <row r="230" s="207" customFormat="1" ht="10.199999999999999"/>
    <row r="231" s="207" customFormat="1" ht="10.199999999999999"/>
    <row r="232" s="207" customFormat="1" ht="10.199999999999999"/>
    <row r="233" s="207" customFormat="1" ht="10.199999999999999"/>
    <row r="234" s="207" customFormat="1" ht="10.199999999999999"/>
    <row r="235" s="207" customFormat="1" ht="10.199999999999999"/>
    <row r="236" s="207" customFormat="1" ht="10.199999999999999"/>
    <row r="237" s="207" customFormat="1" ht="10.199999999999999"/>
    <row r="238" s="207" customFormat="1" ht="10.199999999999999"/>
    <row r="239" s="207" customFormat="1" ht="10.199999999999999"/>
    <row r="240" s="207" customFormat="1" ht="10.199999999999999"/>
    <row r="241" s="207" customFormat="1" ht="10.199999999999999"/>
    <row r="242" s="207" customFormat="1" ht="10.199999999999999"/>
    <row r="243" s="207" customFormat="1" ht="10.199999999999999"/>
    <row r="244" s="207" customFormat="1" ht="10.199999999999999"/>
    <row r="245" s="207" customFormat="1" ht="10.199999999999999"/>
    <row r="246" s="207" customFormat="1" ht="10.199999999999999"/>
    <row r="247" s="207" customFormat="1" ht="10.199999999999999"/>
    <row r="248" s="207" customFormat="1" ht="10.199999999999999"/>
    <row r="249" s="207" customFormat="1" ht="10.199999999999999"/>
    <row r="250" s="207" customFormat="1" ht="10.199999999999999"/>
    <row r="251" s="207" customFormat="1" ht="10.199999999999999"/>
    <row r="252" s="207" customFormat="1" ht="10.199999999999999"/>
    <row r="253" s="207" customFormat="1" ht="10.199999999999999"/>
    <row r="254" s="207" customFormat="1" ht="10.199999999999999"/>
    <row r="255" s="207" customFormat="1" ht="10.199999999999999"/>
    <row r="256" s="207" customFormat="1" ht="10.199999999999999"/>
    <row r="257" s="207" customFormat="1" ht="10.199999999999999"/>
    <row r="258" s="207" customFormat="1" ht="10.199999999999999"/>
    <row r="259" s="207" customFormat="1" ht="10.199999999999999"/>
    <row r="260" s="207" customFormat="1" ht="10.199999999999999"/>
    <row r="261" s="207" customFormat="1" ht="10.199999999999999"/>
    <row r="262" s="207" customFormat="1" ht="10.199999999999999"/>
    <row r="263" s="207" customFormat="1" ht="10.199999999999999"/>
    <row r="264" s="207" customFormat="1" ht="10.199999999999999"/>
    <row r="265" s="207" customFormat="1" ht="10.199999999999999"/>
    <row r="266" s="207" customFormat="1" ht="10.199999999999999"/>
    <row r="267" s="207" customFormat="1" ht="10.199999999999999"/>
    <row r="268" s="207" customFormat="1" ht="10.199999999999999"/>
    <row r="269" s="207" customFormat="1" ht="10.199999999999999"/>
    <row r="270" s="207" customFormat="1" ht="10.199999999999999"/>
    <row r="271" s="207" customFormat="1" ht="10.199999999999999"/>
    <row r="272" s="207" customFormat="1" ht="10.199999999999999"/>
    <row r="273" s="207" customFormat="1" ht="10.199999999999999"/>
  </sheetData>
  <mergeCells count="5">
    <mergeCell ref="A25:B25"/>
    <mergeCell ref="A6:B6"/>
    <mergeCell ref="A7:B7"/>
    <mergeCell ref="A14:B14"/>
    <mergeCell ref="A27:B27"/>
  </mergeCells>
  <phoneticPr fontId="0" type="noConversion"/>
  <hyperlinks>
    <hyperlink ref="A10" location="'Table D4.1.'!A1" display="Table D4.1."/>
    <hyperlink ref="A11" location="'Table D4.2.'!A1" display="Table D4.2."/>
    <hyperlink ref="A15" location="'Figure D4.1.'!A1" display="Figure D4.1."/>
    <hyperlink ref="A16" location="'Figure D4.2.'!A1" display="Figure D4.2."/>
    <hyperlink ref="A19" location="'Figure D4.5 (Web only).'!A1" display="Figure D4.5 (Web only)."/>
    <hyperlink ref="A12" location="'Table D4.3.'!A1" display="Table D4.3."/>
    <hyperlink ref="A22" location="'Figure D4.a.'!A1" display="Figure D4.a"/>
    <hyperlink ref="B10" location="'Table D4.1.'!A1" display="Organisation of teachers' working time (2017)"/>
    <hyperlink ref="B11" location="'Table D4.2.'!A1" display="Number of teaching hours per year (2000, 2005 to 2017)"/>
    <hyperlink ref="B12" location="'Table D4.3.'!A1" display="Tasks and responsibilities of teachers, by level of education (2017)"/>
    <hyperlink ref="A17" location="'Figure D4.3.'!A1" display="Figure D4.3."/>
    <hyperlink ref="A18" location="'Figure D4.4.'!A1" display="Figure D4.4."/>
    <hyperlink ref="B15" location="'Figure D4.1.'!A1" display="Number of teaching hours per year in general lower secondary education (2000, 2005 and 2017)"/>
    <hyperlink ref="B16" location="'Figure D4.2.'!A1" display="Number of teaching hours per year, by level of education (2017)"/>
    <hyperlink ref="B17" location="'Figure D4.3.'!A1" display="Number of teaching hours per year in general and vocational programmes at upper secondary level (2017)"/>
    <hyperlink ref="B18" location="'Figure D4.4.'!A1" display="Percentage of lower secondary teachers' working time spent teaching (2017)"/>
    <hyperlink ref="B19" location="'Figure D4.5 (Web only).'!A1" display="Actual and statutory teaching time in general lower secondary education (2016)"/>
    <hyperlink ref="B22" location="'Figure D4.a.'!A1" display="Tasks and responsibilities lower secondary teachers are required to perform (2017)"/>
    <hyperlink ref="A1" r:id="rId1" display="https://doi.org/10.1787/eag-2018-en"/>
    <hyperlink ref="A4" r:id="rId2"/>
  </hyperlinks>
  <pageMargins left="0.7" right="0.7" top="0.75" bottom="0.75" header="0.3" footer="0.3"/>
  <pageSetup paperSize="9" scale="90" orientation="portrait"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1">
    <tabColor indexed="10"/>
    <pageSetUpPr fitToPage="1"/>
  </sheetPr>
  <dimension ref="A1:BJ84"/>
  <sheetViews>
    <sheetView zoomScaleNormal="100" workbookViewId="0">
      <pane xSplit="2" ySplit="12" topLeftCell="C13" activePane="bottomRight" state="frozen"/>
      <selection sqref="A1:XFD1048576"/>
      <selection pane="topRight" sqref="A1:XFD1048576"/>
      <selection pane="bottomLeft" sqref="A1:XFD1048576"/>
      <selection pane="bottomRight"/>
    </sheetView>
  </sheetViews>
  <sheetFormatPr defaultColWidth="9" defaultRowHeight="9.6"/>
  <cols>
    <col min="1" max="1" width="17.25" style="90" customWidth="1"/>
    <col min="2" max="2" width="3.125" style="90" bestFit="1" customWidth="1"/>
    <col min="3" max="3" width="3.75" style="90" customWidth="1"/>
    <col min="4" max="4" width="3" style="90" bestFit="1" customWidth="1"/>
    <col min="5" max="5" width="4.25" style="90" customWidth="1"/>
    <col min="6" max="6" width="2.875" style="90" bestFit="1" customWidth="1"/>
    <col min="7" max="7" width="5.625" style="90" customWidth="1"/>
    <col min="8" max="8" width="2.875" style="90" bestFit="1" customWidth="1"/>
    <col min="9" max="9" width="5.625" style="90" customWidth="1"/>
    <col min="10" max="10" width="2.625" style="90" customWidth="1"/>
    <col min="11" max="11" width="5.5" style="90" customWidth="1"/>
    <col min="12" max="12" width="2.875" style="90" bestFit="1" customWidth="1"/>
    <col min="13" max="13" width="5" style="90" customWidth="1"/>
    <col min="14" max="14" width="3.5" style="90" bestFit="1" customWidth="1"/>
    <col min="15" max="15" width="3.875" style="90" customWidth="1"/>
    <col min="16" max="16" width="2.875" style="90" bestFit="1" customWidth="1"/>
    <col min="17" max="17" width="4.125" style="90" bestFit="1" customWidth="1"/>
    <col min="18" max="18" width="2.875" style="90" bestFit="1" customWidth="1"/>
    <col min="19" max="19" width="5.5" style="90" customWidth="1"/>
    <col min="20" max="20" width="2.875" style="90" bestFit="1" customWidth="1"/>
    <col min="21" max="21" width="5.875" style="90" customWidth="1"/>
    <col min="22" max="22" width="2.625" style="90" customWidth="1"/>
    <col min="23" max="23" width="5.5" style="90" customWidth="1"/>
    <col min="24" max="24" width="2.875" style="90" bestFit="1" customWidth="1"/>
    <col min="25" max="25" width="5.875" style="90" customWidth="1"/>
    <col min="26" max="26" width="4.125" style="90" customWidth="1"/>
    <col min="27" max="27" width="4.75" style="90" customWidth="1"/>
    <col min="28" max="28" width="2.875" style="90" bestFit="1" customWidth="1"/>
    <col min="29" max="29" width="6.5" style="90" bestFit="1" customWidth="1"/>
    <col min="30" max="30" width="2.875" style="90" bestFit="1" customWidth="1"/>
    <col min="31" max="31" width="5.5" style="90" customWidth="1"/>
    <col min="32" max="32" width="2.875" style="90" bestFit="1" customWidth="1"/>
    <col min="33" max="33" width="5.875" style="90" customWidth="1"/>
    <col min="34" max="34" width="2.625" style="90" customWidth="1"/>
    <col min="35" max="35" width="5.5" style="90" customWidth="1"/>
    <col min="36" max="36" width="2.875" style="90" bestFit="1" customWidth="1"/>
    <col min="37" max="37" width="5.75" style="90" customWidth="1"/>
    <col min="38" max="38" width="2.5" style="90" customWidth="1"/>
    <col min="39" max="39" width="4.5" style="90" customWidth="1"/>
    <col min="40" max="40" width="2.875" style="90" bestFit="1" customWidth="1"/>
    <col min="41" max="41" width="5.5" style="90" customWidth="1"/>
    <col min="42" max="42" width="2.875" style="90" bestFit="1" customWidth="1"/>
    <col min="43" max="43" width="5.5" style="90" customWidth="1"/>
    <col min="44" max="44" width="2.875" style="90" bestFit="1" customWidth="1"/>
    <col min="45" max="45" width="5.875" style="90" customWidth="1"/>
    <col min="46" max="46" width="2.625" style="90" customWidth="1"/>
    <col min="47" max="47" width="5.5" style="90" customWidth="1"/>
    <col min="48" max="48" width="2.875" style="90" bestFit="1" customWidth="1"/>
    <col min="49" max="49" width="4.875" style="90" bestFit="1" customWidth="1"/>
    <col min="50" max="50" width="4.25" style="90" bestFit="1" customWidth="1"/>
    <col min="51" max="51" width="5.5" style="90" customWidth="1"/>
    <col min="52" max="52" width="2.875" style="90" bestFit="1" customWidth="1"/>
    <col min="53" max="53" width="5.5" style="90" customWidth="1"/>
    <col min="54" max="54" width="2.875" style="90" bestFit="1" customWidth="1"/>
    <col min="55" max="55" width="5.5" style="90" customWidth="1"/>
    <col min="56" max="56" width="2.875" style="90" bestFit="1" customWidth="1"/>
    <col min="57" max="57" width="5.875" style="90" customWidth="1"/>
    <col min="58" max="58" width="2.625" style="90" customWidth="1"/>
    <col min="59" max="59" width="5.5" style="90" customWidth="1"/>
    <col min="60" max="60" width="2.875" style="90" bestFit="1" customWidth="1"/>
    <col min="61" max="61" width="4.875" style="90" bestFit="1" customWidth="1"/>
    <col min="62" max="62" width="4.25" style="90" bestFit="1" customWidth="1"/>
    <col min="63" max="72" width="9" style="90" customWidth="1"/>
    <col min="73" max="16384" width="9" style="90"/>
  </cols>
  <sheetData>
    <row r="1" spans="1:62" s="485" customFormat="1" ht="13.2">
      <c r="A1" s="484" t="s">
        <v>235</v>
      </c>
    </row>
    <row r="2" spans="1:62" s="485" customFormat="1" ht="13.2">
      <c r="A2" s="485" t="s">
        <v>236</v>
      </c>
      <c r="B2" s="485" t="s">
        <v>237</v>
      </c>
    </row>
    <row r="3" spans="1:62" s="485" customFormat="1" ht="13.2">
      <c r="A3" s="485" t="s">
        <v>238</v>
      </c>
    </row>
    <row r="4" spans="1:62" s="485" customFormat="1" ht="13.2">
      <c r="A4" s="484" t="s">
        <v>239</v>
      </c>
    </row>
    <row r="5" spans="1:62" s="485" customFormat="1" ht="13.2"/>
    <row r="6" spans="1:62" ht="10.199999999999999">
      <c r="A6" s="229" t="s">
        <v>130</v>
      </c>
      <c r="B6" s="229"/>
      <c r="C6" s="229"/>
      <c r="D6" s="229"/>
      <c r="E6" s="229"/>
      <c r="F6" s="229"/>
      <c r="G6" s="229"/>
      <c r="H6" s="229"/>
      <c r="I6" s="229"/>
      <c r="J6" s="229"/>
      <c r="K6" s="229"/>
      <c r="L6" s="229"/>
      <c r="M6" s="229"/>
      <c r="N6" s="229"/>
      <c r="O6" s="229"/>
      <c r="P6" s="229"/>
      <c r="Q6" s="229"/>
      <c r="R6" s="229"/>
      <c r="S6" s="229"/>
      <c r="T6" s="229"/>
      <c r="U6" s="229"/>
      <c r="V6" s="229"/>
      <c r="W6" s="229"/>
      <c r="X6" s="229"/>
      <c r="Y6" s="229"/>
      <c r="Z6" s="229"/>
      <c r="AA6" s="229"/>
      <c r="AB6" s="229"/>
      <c r="AC6" s="229"/>
      <c r="AD6" s="229"/>
      <c r="AE6" s="229"/>
      <c r="AF6" s="229"/>
      <c r="AG6" s="229"/>
      <c r="AH6" s="229"/>
      <c r="AI6" s="229"/>
      <c r="AJ6" s="229"/>
      <c r="AK6" s="229"/>
      <c r="AL6" s="229"/>
      <c r="AM6" s="229"/>
      <c r="AN6" s="229"/>
      <c r="AO6" s="229"/>
      <c r="AP6" s="229"/>
      <c r="AQ6" s="229"/>
      <c r="AR6" s="229"/>
      <c r="AS6" s="229"/>
      <c r="AT6" s="229"/>
      <c r="AU6" s="229"/>
      <c r="AV6" s="229"/>
      <c r="AW6" s="229"/>
      <c r="AX6" s="229"/>
      <c r="AY6" s="229"/>
      <c r="AZ6" s="229"/>
      <c r="BA6" s="229"/>
      <c r="BB6" s="229"/>
      <c r="BC6" s="229"/>
      <c r="BD6" s="229"/>
      <c r="BE6" s="229"/>
      <c r="BF6" s="229"/>
      <c r="BG6" s="229"/>
      <c r="BH6" s="64"/>
      <c r="BI6" s="64"/>
      <c r="BJ6" s="64"/>
    </row>
    <row r="7" spans="1:62" ht="10.199999999999999">
      <c r="A7" s="394" t="s">
        <v>151</v>
      </c>
      <c r="B7" s="394"/>
      <c r="C7" s="394"/>
      <c r="D7" s="394"/>
      <c r="E7" s="394"/>
      <c r="F7" s="394"/>
      <c r="G7" s="394"/>
      <c r="H7" s="394"/>
      <c r="I7" s="394"/>
      <c r="J7" s="394"/>
      <c r="K7" s="394"/>
      <c r="L7" s="394"/>
      <c r="M7" s="394"/>
      <c r="N7" s="394"/>
      <c r="O7" s="394"/>
      <c r="P7" s="394"/>
      <c r="Q7" s="394"/>
      <c r="R7" s="394"/>
      <c r="S7" s="394"/>
      <c r="T7" s="394"/>
      <c r="U7" s="394"/>
      <c r="V7" s="394"/>
      <c r="W7" s="394"/>
      <c r="X7" s="394"/>
      <c r="Y7" s="394"/>
      <c r="Z7" s="394"/>
      <c r="AA7" s="394"/>
      <c r="AB7" s="64"/>
      <c r="AC7" s="206"/>
      <c r="AD7" s="206"/>
      <c r="AE7" s="206"/>
      <c r="AF7" s="206"/>
      <c r="AG7" s="206"/>
      <c r="AH7" s="206"/>
      <c r="AI7" s="206"/>
      <c r="AJ7" s="206"/>
      <c r="AK7" s="206"/>
      <c r="AL7" s="206"/>
      <c r="AM7" s="206"/>
      <c r="AN7" s="206"/>
      <c r="AO7" s="206"/>
      <c r="AP7" s="206"/>
      <c r="AQ7" s="206"/>
      <c r="AR7" s="206"/>
      <c r="AS7" s="206"/>
      <c r="AT7" s="206"/>
      <c r="AU7" s="206"/>
      <c r="AV7" s="206"/>
      <c r="AW7" s="206"/>
      <c r="AX7" s="206"/>
      <c r="AY7" s="206"/>
      <c r="AZ7" s="206"/>
      <c r="BA7" s="206"/>
      <c r="BB7" s="206"/>
      <c r="BC7" s="206"/>
      <c r="BD7" s="206"/>
      <c r="BE7" s="206"/>
      <c r="BF7" s="206"/>
      <c r="BG7" s="206"/>
      <c r="BH7" s="206"/>
      <c r="BI7" s="206"/>
      <c r="BJ7" s="206"/>
    </row>
    <row r="8" spans="1:62" ht="10.199999999999999">
      <c r="A8" s="393" t="s">
        <v>84</v>
      </c>
      <c r="B8" s="393"/>
      <c r="C8" s="393"/>
      <c r="D8" s="393"/>
      <c r="E8" s="393"/>
      <c r="F8" s="393"/>
      <c r="G8" s="393"/>
      <c r="H8" s="393"/>
      <c r="I8" s="393"/>
      <c r="J8" s="393"/>
      <c r="K8" s="393"/>
      <c r="L8" s="393"/>
      <c r="M8" s="393"/>
      <c r="N8" s="393"/>
      <c r="O8" s="393"/>
      <c r="P8" s="393"/>
      <c r="Q8" s="393"/>
      <c r="R8" s="393"/>
      <c r="S8" s="393"/>
      <c r="T8" s="393"/>
      <c r="U8" s="393"/>
      <c r="V8" s="393"/>
      <c r="W8" s="393"/>
      <c r="X8" s="393"/>
      <c r="Y8" s="393"/>
      <c r="Z8" s="393"/>
      <c r="AA8" s="393"/>
      <c r="AB8" s="393"/>
      <c r="AC8" s="393"/>
      <c r="AD8" s="393"/>
      <c r="AE8" s="393"/>
      <c r="AF8" s="393"/>
      <c r="AG8" s="393"/>
      <c r="AH8" s="393"/>
      <c r="AI8" s="393"/>
      <c r="AJ8" s="393"/>
      <c r="AK8" s="393"/>
      <c r="AL8" s="393"/>
      <c r="AM8" s="393"/>
      <c r="AN8" s="393"/>
      <c r="AO8" s="393"/>
      <c r="AP8" s="393"/>
      <c r="AQ8" s="393"/>
      <c r="AR8" s="393"/>
      <c r="AS8" s="393"/>
      <c r="AT8" s="393"/>
      <c r="AU8" s="393"/>
      <c r="AV8" s="393"/>
      <c r="AW8" s="393"/>
      <c r="AX8" s="393"/>
      <c r="AY8" s="393"/>
      <c r="AZ8" s="393"/>
      <c r="BA8" s="393"/>
      <c r="BB8" s="393"/>
      <c r="BC8" s="393"/>
      <c r="BD8" s="393"/>
      <c r="BE8" s="393"/>
      <c r="BF8" s="393"/>
      <c r="BG8" s="393"/>
      <c r="BH8" s="203"/>
      <c r="BI8" s="203"/>
      <c r="BJ8" s="203"/>
    </row>
    <row r="9" spans="1:62" ht="10.199999999999999">
      <c r="A9" s="26"/>
      <c r="B9" s="220"/>
      <c r="C9" s="224"/>
      <c r="D9" s="230"/>
      <c r="E9" s="224"/>
      <c r="F9" s="230"/>
      <c r="G9" s="224"/>
      <c r="H9" s="230"/>
      <c r="I9" s="224"/>
      <c r="J9" s="230"/>
      <c r="K9" s="224"/>
      <c r="L9" s="230"/>
      <c r="M9" s="224"/>
      <c r="N9" s="230"/>
      <c r="O9" s="224"/>
      <c r="P9" s="230"/>
      <c r="Q9" s="224"/>
      <c r="R9" s="230"/>
      <c r="S9" s="224"/>
      <c r="T9" s="230"/>
      <c r="U9" s="224"/>
      <c r="V9" s="230"/>
      <c r="W9" s="224"/>
      <c r="X9" s="230"/>
      <c r="Y9" s="224"/>
      <c r="Z9" s="230"/>
      <c r="AA9" s="224"/>
      <c r="AB9" s="230"/>
      <c r="AC9" s="224"/>
      <c r="AD9" s="230"/>
      <c r="AE9" s="224"/>
      <c r="AF9" s="230"/>
      <c r="AG9" s="224"/>
      <c r="AH9" s="230"/>
      <c r="AI9" s="224"/>
      <c r="AJ9" s="230"/>
      <c r="AK9" s="224"/>
      <c r="AL9" s="230"/>
      <c r="AM9" s="224"/>
      <c r="AN9" s="230"/>
      <c r="AO9" s="224"/>
      <c r="AP9" s="230"/>
      <c r="AQ9" s="224"/>
      <c r="AR9" s="230"/>
      <c r="AS9" s="224"/>
      <c r="AT9" s="230"/>
      <c r="AU9" s="224"/>
      <c r="AV9" s="230"/>
      <c r="AW9" s="224"/>
      <c r="AX9" s="230"/>
      <c r="AY9" s="224"/>
      <c r="AZ9" s="230"/>
      <c r="BA9" s="224"/>
      <c r="BB9" s="230"/>
      <c r="BC9" s="224"/>
      <c r="BD9" s="230"/>
      <c r="BE9" s="224"/>
      <c r="BF9" s="230"/>
      <c r="BG9" s="224"/>
      <c r="BH9" s="230"/>
      <c r="BI9" s="224"/>
      <c r="BJ9" s="230"/>
    </row>
    <row r="10" spans="1:62" s="231" customFormat="1" ht="12" customHeight="1">
      <c r="A10" s="395"/>
      <c r="B10" s="398" t="s">
        <v>45</v>
      </c>
      <c r="C10" s="385" t="s">
        <v>61</v>
      </c>
      <c r="D10" s="390"/>
      <c r="E10" s="390"/>
      <c r="F10" s="390"/>
      <c r="G10" s="390"/>
      <c r="H10" s="390"/>
      <c r="I10" s="390"/>
      <c r="J10" s="390"/>
      <c r="K10" s="390"/>
      <c r="L10" s="390"/>
      <c r="M10" s="391"/>
      <c r="N10" s="392"/>
      <c r="O10" s="385" t="s">
        <v>62</v>
      </c>
      <c r="P10" s="390"/>
      <c r="Q10" s="390"/>
      <c r="R10" s="390"/>
      <c r="S10" s="390"/>
      <c r="T10" s="390"/>
      <c r="U10" s="390"/>
      <c r="V10" s="390"/>
      <c r="W10" s="390"/>
      <c r="X10" s="390"/>
      <c r="Y10" s="391"/>
      <c r="Z10" s="392"/>
      <c r="AA10" s="385" t="s">
        <v>63</v>
      </c>
      <c r="AB10" s="390"/>
      <c r="AC10" s="390"/>
      <c r="AD10" s="390"/>
      <c r="AE10" s="390"/>
      <c r="AF10" s="390"/>
      <c r="AG10" s="390"/>
      <c r="AH10" s="390"/>
      <c r="AI10" s="390"/>
      <c r="AJ10" s="390"/>
      <c r="AK10" s="391"/>
      <c r="AL10" s="392"/>
      <c r="AM10" s="385" t="s">
        <v>64</v>
      </c>
      <c r="AN10" s="390"/>
      <c r="AO10" s="390"/>
      <c r="AP10" s="390"/>
      <c r="AQ10" s="390"/>
      <c r="AR10" s="390"/>
      <c r="AS10" s="390"/>
      <c r="AT10" s="390"/>
      <c r="AU10" s="390"/>
      <c r="AV10" s="390"/>
      <c r="AW10" s="391"/>
      <c r="AX10" s="392"/>
      <c r="AY10" s="385" t="s">
        <v>65</v>
      </c>
      <c r="AZ10" s="390"/>
      <c r="BA10" s="390"/>
      <c r="BB10" s="390"/>
      <c r="BC10" s="390"/>
      <c r="BD10" s="390"/>
      <c r="BE10" s="390"/>
      <c r="BF10" s="390"/>
      <c r="BG10" s="390"/>
      <c r="BH10" s="390"/>
      <c r="BI10" s="391"/>
      <c r="BJ10" s="392"/>
    </row>
    <row r="11" spans="1:62" s="231" customFormat="1" ht="51" customHeight="1">
      <c r="A11" s="396"/>
      <c r="B11" s="399"/>
      <c r="C11" s="385" t="s">
        <v>79</v>
      </c>
      <c r="D11" s="386"/>
      <c r="E11" s="385" t="s">
        <v>56</v>
      </c>
      <c r="F11" s="386"/>
      <c r="G11" s="385" t="s">
        <v>80</v>
      </c>
      <c r="H11" s="386"/>
      <c r="I11" s="383" t="s">
        <v>152</v>
      </c>
      <c r="J11" s="384"/>
      <c r="K11" s="385" t="s">
        <v>81</v>
      </c>
      <c r="L11" s="386"/>
      <c r="M11" s="385" t="s">
        <v>153</v>
      </c>
      <c r="N11" s="386"/>
      <c r="O11" s="385" t="s">
        <v>79</v>
      </c>
      <c r="P11" s="386"/>
      <c r="Q11" s="385" t="s">
        <v>56</v>
      </c>
      <c r="R11" s="386"/>
      <c r="S11" s="385" t="s">
        <v>80</v>
      </c>
      <c r="T11" s="386"/>
      <c r="U11" s="383" t="s">
        <v>152</v>
      </c>
      <c r="V11" s="384"/>
      <c r="W11" s="385" t="s">
        <v>81</v>
      </c>
      <c r="X11" s="386"/>
      <c r="Y11" s="385" t="s">
        <v>153</v>
      </c>
      <c r="Z11" s="386"/>
      <c r="AA11" s="385" t="s">
        <v>79</v>
      </c>
      <c r="AB11" s="386"/>
      <c r="AC11" s="385" t="s">
        <v>56</v>
      </c>
      <c r="AD11" s="386"/>
      <c r="AE11" s="385" t="s">
        <v>80</v>
      </c>
      <c r="AF11" s="386"/>
      <c r="AG11" s="383" t="s">
        <v>152</v>
      </c>
      <c r="AH11" s="384"/>
      <c r="AI11" s="385" t="s">
        <v>81</v>
      </c>
      <c r="AJ11" s="386"/>
      <c r="AK11" s="385" t="s">
        <v>153</v>
      </c>
      <c r="AL11" s="386"/>
      <c r="AM11" s="385" t="s">
        <v>79</v>
      </c>
      <c r="AN11" s="386"/>
      <c r="AO11" s="385" t="s">
        <v>56</v>
      </c>
      <c r="AP11" s="386"/>
      <c r="AQ11" s="385" t="s">
        <v>80</v>
      </c>
      <c r="AR11" s="386"/>
      <c r="AS11" s="383" t="s">
        <v>152</v>
      </c>
      <c r="AT11" s="384"/>
      <c r="AU11" s="385" t="s">
        <v>81</v>
      </c>
      <c r="AV11" s="386"/>
      <c r="AW11" s="385" t="s">
        <v>153</v>
      </c>
      <c r="AX11" s="386"/>
      <c r="AY11" s="385" t="s">
        <v>79</v>
      </c>
      <c r="AZ11" s="386"/>
      <c r="BA11" s="385" t="s">
        <v>56</v>
      </c>
      <c r="BB11" s="386"/>
      <c r="BC11" s="385" t="s">
        <v>80</v>
      </c>
      <c r="BD11" s="386"/>
      <c r="BE11" s="383" t="s">
        <v>152</v>
      </c>
      <c r="BF11" s="384"/>
      <c r="BG11" s="385" t="s">
        <v>81</v>
      </c>
      <c r="BH11" s="386"/>
      <c r="BI11" s="385" t="s">
        <v>153</v>
      </c>
      <c r="BJ11" s="386"/>
    </row>
    <row r="12" spans="1:62" s="231" customFormat="1" ht="12.75" customHeight="1">
      <c r="A12" s="397"/>
      <c r="B12" s="400"/>
      <c r="C12" s="401">
        <v>1</v>
      </c>
      <c r="D12" s="402"/>
      <c r="E12" s="387">
        <v>2</v>
      </c>
      <c r="F12" s="388"/>
      <c r="G12" s="387">
        <v>3</v>
      </c>
      <c r="H12" s="388"/>
      <c r="I12" s="387">
        <v>4</v>
      </c>
      <c r="J12" s="388"/>
      <c r="K12" s="387">
        <v>5</v>
      </c>
      <c r="L12" s="388"/>
      <c r="M12" s="387">
        <v>6</v>
      </c>
      <c r="N12" s="388"/>
      <c r="O12" s="387">
        <v>7</v>
      </c>
      <c r="P12" s="388"/>
      <c r="Q12" s="387">
        <v>8</v>
      </c>
      <c r="R12" s="388"/>
      <c r="S12" s="387">
        <v>9</v>
      </c>
      <c r="T12" s="388"/>
      <c r="U12" s="387">
        <v>10</v>
      </c>
      <c r="V12" s="388"/>
      <c r="W12" s="387">
        <v>11</v>
      </c>
      <c r="X12" s="388"/>
      <c r="Y12" s="387">
        <v>12</v>
      </c>
      <c r="Z12" s="388"/>
      <c r="AA12" s="387">
        <v>13</v>
      </c>
      <c r="AB12" s="388"/>
      <c r="AC12" s="387">
        <v>14</v>
      </c>
      <c r="AD12" s="388"/>
      <c r="AE12" s="387">
        <v>15</v>
      </c>
      <c r="AF12" s="388"/>
      <c r="AG12" s="387">
        <v>16</v>
      </c>
      <c r="AH12" s="388"/>
      <c r="AI12" s="387">
        <v>17</v>
      </c>
      <c r="AJ12" s="388"/>
      <c r="AK12" s="387">
        <v>18</v>
      </c>
      <c r="AL12" s="388"/>
      <c r="AM12" s="387">
        <v>19</v>
      </c>
      <c r="AN12" s="388"/>
      <c r="AO12" s="387">
        <v>20</v>
      </c>
      <c r="AP12" s="388"/>
      <c r="AQ12" s="387">
        <v>21</v>
      </c>
      <c r="AR12" s="388"/>
      <c r="AS12" s="387">
        <v>22</v>
      </c>
      <c r="AT12" s="388"/>
      <c r="AU12" s="387">
        <v>23</v>
      </c>
      <c r="AV12" s="388"/>
      <c r="AW12" s="387">
        <v>24</v>
      </c>
      <c r="AX12" s="388"/>
      <c r="AY12" s="387">
        <v>25</v>
      </c>
      <c r="AZ12" s="388"/>
      <c r="BA12" s="387">
        <v>26</v>
      </c>
      <c r="BB12" s="388"/>
      <c r="BC12" s="387">
        <v>27</v>
      </c>
      <c r="BD12" s="388"/>
      <c r="BE12" s="387">
        <v>28</v>
      </c>
      <c r="BF12" s="388"/>
      <c r="BG12" s="387">
        <v>29</v>
      </c>
      <c r="BH12" s="388"/>
      <c r="BI12" s="387">
        <v>30</v>
      </c>
      <c r="BJ12" s="388"/>
    </row>
    <row r="13" spans="1:62" ht="13.5" customHeight="1">
      <c r="A13" s="19" t="s">
        <v>52</v>
      </c>
      <c r="B13" s="71"/>
      <c r="C13" s="192"/>
      <c r="D13" s="193"/>
      <c r="E13" s="192"/>
      <c r="F13" s="193"/>
      <c r="G13" s="192"/>
      <c r="H13" s="193"/>
      <c r="I13" s="192"/>
      <c r="J13" s="193"/>
      <c r="K13" s="192"/>
      <c r="L13" s="193"/>
      <c r="M13" s="192"/>
      <c r="N13" s="193"/>
      <c r="O13" s="192"/>
      <c r="P13" s="193"/>
      <c r="Q13" s="192"/>
      <c r="R13" s="193"/>
      <c r="S13" s="192"/>
      <c r="T13" s="193"/>
      <c r="U13" s="192"/>
      <c r="V13" s="193"/>
      <c r="W13" s="192"/>
      <c r="X13" s="193"/>
      <c r="Y13" s="192"/>
      <c r="Z13" s="193"/>
      <c r="AA13" s="192"/>
      <c r="AB13" s="193"/>
      <c r="AC13" s="192"/>
      <c r="AD13" s="193"/>
      <c r="AE13" s="192"/>
      <c r="AF13" s="193"/>
      <c r="AG13" s="192"/>
      <c r="AH13" s="193"/>
      <c r="AI13" s="192"/>
      <c r="AJ13" s="193"/>
      <c r="AK13" s="192"/>
      <c r="AL13" s="193"/>
      <c r="AM13" s="192"/>
      <c r="AN13" s="193"/>
      <c r="AO13" s="192"/>
      <c r="AP13" s="193"/>
      <c r="AQ13" s="192"/>
      <c r="AR13" s="193"/>
      <c r="AS13" s="192"/>
      <c r="AT13" s="193"/>
      <c r="AU13" s="192"/>
      <c r="AV13" s="193"/>
      <c r="AW13" s="192"/>
      <c r="AX13" s="193"/>
      <c r="AY13" s="192"/>
      <c r="AZ13" s="193"/>
      <c r="BA13" s="192"/>
      <c r="BB13" s="193"/>
      <c r="BC13" s="192"/>
      <c r="BD13" s="193"/>
      <c r="BE13" s="192"/>
      <c r="BF13" s="193"/>
      <c r="BG13" s="192"/>
      <c r="BH13" s="193"/>
      <c r="BI13" s="192"/>
      <c r="BJ13" s="193"/>
    </row>
    <row r="14" spans="1:62" ht="13.5" customHeight="1">
      <c r="A14" s="217" t="s">
        <v>148</v>
      </c>
      <c r="B14" s="125"/>
      <c r="C14" s="126"/>
      <c r="D14" s="127"/>
      <c r="E14" s="126"/>
      <c r="F14" s="127"/>
      <c r="G14" s="126"/>
      <c r="H14" s="127"/>
      <c r="I14" s="126"/>
      <c r="J14" s="127"/>
      <c r="K14" s="126"/>
      <c r="L14" s="127"/>
      <c r="M14" s="126"/>
      <c r="N14" s="127"/>
      <c r="O14" s="126"/>
      <c r="P14" s="127"/>
      <c r="Q14" s="126"/>
      <c r="R14" s="127"/>
      <c r="S14" s="126"/>
      <c r="T14" s="127"/>
      <c r="U14" s="126"/>
      <c r="V14" s="127"/>
      <c r="W14" s="126"/>
      <c r="X14" s="127"/>
      <c r="Y14" s="126"/>
      <c r="Z14" s="127"/>
      <c r="AA14" s="126"/>
      <c r="AB14" s="127"/>
      <c r="AC14" s="126"/>
      <c r="AD14" s="127"/>
      <c r="AE14" s="126"/>
      <c r="AF14" s="127"/>
      <c r="AG14" s="126"/>
      <c r="AH14" s="127"/>
      <c r="AI14" s="126"/>
      <c r="AJ14" s="127"/>
      <c r="AK14" s="126"/>
      <c r="AL14" s="127"/>
      <c r="AM14" s="126"/>
      <c r="AN14" s="127"/>
      <c r="AO14" s="126"/>
      <c r="AP14" s="127"/>
      <c r="AQ14" s="126"/>
      <c r="AR14" s="127"/>
      <c r="AS14" s="126"/>
      <c r="AT14" s="127"/>
      <c r="AU14" s="126"/>
      <c r="AV14" s="127"/>
      <c r="AW14" s="126"/>
      <c r="AX14" s="127"/>
      <c r="AY14" s="126"/>
      <c r="AZ14" s="127"/>
      <c r="BA14" s="126"/>
      <c r="BB14" s="127"/>
      <c r="BC14" s="126"/>
      <c r="BD14" s="127"/>
      <c r="BE14" s="126"/>
      <c r="BF14" s="127"/>
      <c r="BG14" s="126"/>
      <c r="BH14" s="127"/>
      <c r="BI14" s="126"/>
      <c r="BJ14" s="127"/>
    </row>
    <row r="15" spans="1:62" ht="13.5" customHeight="1">
      <c r="A15" s="156" t="s">
        <v>18</v>
      </c>
      <c r="B15" s="149">
        <v>1</v>
      </c>
      <c r="C15" s="150">
        <v>40.000003814697266</v>
      </c>
      <c r="D15" s="151" t="s">
        <v>188</v>
      </c>
      <c r="E15" s="150">
        <v>40.367950439453125</v>
      </c>
      <c r="F15" s="151" t="s">
        <v>188</v>
      </c>
      <c r="G15" s="150">
        <v>40.368896484375</v>
      </c>
      <c r="H15" s="151" t="s">
        <v>188</v>
      </c>
      <c r="I15" s="150" t="s">
        <v>188</v>
      </c>
      <c r="J15" s="151" t="s">
        <v>0</v>
      </c>
      <c r="K15" s="150">
        <v>40.368896484375</v>
      </c>
      <c r="L15" s="151" t="s">
        <v>188</v>
      </c>
      <c r="M15" s="150" t="s">
        <v>188</v>
      </c>
      <c r="N15" s="151" t="s">
        <v>0</v>
      </c>
      <c r="O15" s="150">
        <v>197.55507302284423</v>
      </c>
      <c r="P15" s="151" t="s">
        <v>188</v>
      </c>
      <c r="Q15" s="150">
        <v>195.07355737686157</v>
      </c>
      <c r="R15" s="151" t="s">
        <v>188</v>
      </c>
      <c r="S15" s="150">
        <v>195.09893989562988</v>
      </c>
      <c r="T15" s="151" t="s">
        <v>188</v>
      </c>
      <c r="U15" s="150" t="s">
        <v>188</v>
      </c>
      <c r="V15" s="151" t="s">
        <v>0</v>
      </c>
      <c r="W15" s="150">
        <v>195.09893989562988</v>
      </c>
      <c r="X15" s="151" t="s">
        <v>188</v>
      </c>
      <c r="Y15" s="150" t="s">
        <v>188</v>
      </c>
      <c r="Z15" s="151" t="s">
        <v>0</v>
      </c>
      <c r="AA15" s="150">
        <v>903.24666835803009</v>
      </c>
      <c r="AB15" s="151" t="s">
        <v>188</v>
      </c>
      <c r="AC15" s="150">
        <v>865.26860492495666</v>
      </c>
      <c r="AD15" s="151" t="s">
        <v>188</v>
      </c>
      <c r="AE15" s="150">
        <v>797.28161882472796</v>
      </c>
      <c r="AF15" s="151" t="s">
        <v>188</v>
      </c>
      <c r="AG15" s="150" t="s">
        <v>188</v>
      </c>
      <c r="AH15" s="151" t="s">
        <v>0</v>
      </c>
      <c r="AI15" s="150">
        <v>797.28161882472796</v>
      </c>
      <c r="AJ15" s="151" t="s">
        <v>188</v>
      </c>
      <c r="AK15" s="150" t="s">
        <v>188</v>
      </c>
      <c r="AL15" s="151" t="s">
        <v>0</v>
      </c>
      <c r="AM15" s="150">
        <v>1243.447265625</v>
      </c>
      <c r="AN15" s="151" t="s">
        <v>188</v>
      </c>
      <c r="AO15" s="150">
        <v>1241.8277587890625</v>
      </c>
      <c r="AP15" s="151" t="s">
        <v>188</v>
      </c>
      <c r="AQ15" s="150">
        <v>1239.1868896484375</v>
      </c>
      <c r="AR15" s="151" t="s">
        <v>188</v>
      </c>
      <c r="AS15" s="150" t="s">
        <v>188</v>
      </c>
      <c r="AT15" s="151" t="s">
        <v>0</v>
      </c>
      <c r="AU15" s="150">
        <v>1239.1868896484375</v>
      </c>
      <c r="AV15" s="151" t="s">
        <v>188</v>
      </c>
      <c r="AW15" s="150" t="s">
        <v>188</v>
      </c>
      <c r="AX15" s="151" t="s">
        <v>0</v>
      </c>
      <c r="AY15" s="150" t="s">
        <v>188</v>
      </c>
      <c r="AZ15" s="151" t="s">
        <v>23</v>
      </c>
      <c r="BA15" s="150" t="s">
        <v>188</v>
      </c>
      <c r="BB15" s="151" t="s">
        <v>23</v>
      </c>
      <c r="BC15" s="150" t="s">
        <v>188</v>
      </c>
      <c r="BD15" s="151" t="s">
        <v>23</v>
      </c>
      <c r="BE15" s="150" t="s">
        <v>188</v>
      </c>
      <c r="BF15" s="151" t="s">
        <v>23</v>
      </c>
      <c r="BG15" s="150" t="s">
        <v>188</v>
      </c>
      <c r="BH15" s="151" t="s">
        <v>23</v>
      </c>
      <c r="BI15" s="150" t="s">
        <v>188</v>
      </c>
      <c r="BJ15" s="151" t="s">
        <v>23</v>
      </c>
    </row>
    <row r="16" spans="1:62" ht="13.5" customHeight="1">
      <c r="A16" s="156" t="s">
        <v>1</v>
      </c>
      <c r="B16" s="149">
        <v>1</v>
      </c>
      <c r="C16" s="150" t="s">
        <v>188</v>
      </c>
      <c r="D16" s="151" t="s">
        <v>0</v>
      </c>
      <c r="E16" s="150">
        <v>38</v>
      </c>
      <c r="F16" s="151" t="s">
        <v>188</v>
      </c>
      <c r="G16" s="150">
        <v>38</v>
      </c>
      <c r="H16" s="151" t="s">
        <v>188</v>
      </c>
      <c r="I16" s="150" t="s">
        <v>188</v>
      </c>
      <c r="J16" s="151" t="s">
        <v>23</v>
      </c>
      <c r="K16" s="150">
        <v>38</v>
      </c>
      <c r="L16" s="151" t="s">
        <v>188</v>
      </c>
      <c r="M16" s="150" t="s">
        <v>188</v>
      </c>
      <c r="N16" s="151" t="s">
        <v>0</v>
      </c>
      <c r="O16" s="150" t="s">
        <v>188</v>
      </c>
      <c r="P16" s="151" t="s">
        <v>0</v>
      </c>
      <c r="Q16" s="150">
        <v>180</v>
      </c>
      <c r="R16" s="151" t="s">
        <v>188</v>
      </c>
      <c r="S16" s="150">
        <v>180</v>
      </c>
      <c r="T16" s="151" t="s">
        <v>188</v>
      </c>
      <c r="U16" s="150" t="s">
        <v>188</v>
      </c>
      <c r="V16" s="151" t="s">
        <v>23</v>
      </c>
      <c r="W16" s="150">
        <v>180</v>
      </c>
      <c r="X16" s="151" t="s">
        <v>188</v>
      </c>
      <c r="Y16" s="150" t="s">
        <v>188</v>
      </c>
      <c r="Z16" s="151" t="s">
        <v>0</v>
      </c>
      <c r="AA16" s="150" t="s">
        <v>188</v>
      </c>
      <c r="AB16" s="151" t="s">
        <v>0</v>
      </c>
      <c r="AC16" s="150">
        <v>779.4</v>
      </c>
      <c r="AD16" s="151" t="s">
        <v>188</v>
      </c>
      <c r="AE16" s="150">
        <v>606.6</v>
      </c>
      <c r="AF16" s="151" t="s">
        <v>188</v>
      </c>
      <c r="AG16" s="150" t="s">
        <v>188</v>
      </c>
      <c r="AH16" s="151" t="s">
        <v>23</v>
      </c>
      <c r="AI16" s="150">
        <v>588.6</v>
      </c>
      <c r="AJ16" s="151" t="s">
        <v>188</v>
      </c>
      <c r="AK16" s="150" t="s">
        <v>188</v>
      </c>
      <c r="AL16" s="151" t="s">
        <v>0</v>
      </c>
      <c r="AM16" s="150" t="s">
        <v>188</v>
      </c>
      <c r="AN16" s="151" t="s">
        <v>0</v>
      </c>
      <c r="AO16" s="150" t="s">
        <v>188</v>
      </c>
      <c r="AP16" s="151" t="s">
        <v>23</v>
      </c>
      <c r="AQ16" s="150" t="s">
        <v>188</v>
      </c>
      <c r="AR16" s="151" t="s">
        <v>23</v>
      </c>
      <c r="AS16" s="150" t="s">
        <v>188</v>
      </c>
      <c r="AT16" s="151" t="s">
        <v>23</v>
      </c>
      <c r="AU16" s="150" t="s">
        <v>188</v>
      </c>
      <c r="AV16" s="151" t="s">
        <v>23</v>
      </c>
      <c r="AW16" s="150" t="s">
        <v>188</v>
      </c>
      <c r="AX16" s="151" t="s">
        <v>23</v>
      </c>
      <c r="AY16" s="150" t="s">
        <v>188</v>
      </c>
      <c r="AZ16" s="151" t="s">
        <v>23</v>
      </c>
      <c r="BA16" s="150">
        <v>1776</v>
      </c>
      <c r="BB16" s="151" t="s">
        <v>188</v>
      </c>
      <c r="BC16" s="150">
        <v>1776</v>
      </c>
      <c r="BD16" s="151" t="s">
        <v>188</v>
      </c>
      <c r="BE16" s="150" t="s">
        <v>188</v>
      </c>
      <c r="BF16" s="151" t="s">
        <v>23</v>
      </c>
      <c r="BG16" s="150" t="s">
        <v>188</v>
      </c>
      <c r="BH16" s="151" t="s">
        <v>23</v>
      </c>
      <c r="BI16" s="150" t="s">
        <v>188</v>
      </c>
      <c r="BJ16" s="151" t="s">
        <v>23</v>
      </c>
    </row>
    <row r="17" spans="1:62" ht="10.199999999999999">
      <c r="A17" s="49" t="s">
        <v>46</v>
      </c>
      <c r="B17" s="153">
        <v>1</v>
      </c>
      <c r="C17" s="157" t="s">
        <v>188</v>
      </c>
      <c r="D17" s="152" t="s">
        <v>0</v>
      </c>
      <c r="E17" s="157">
        <v>36.563326194410891</v>
      </c>
      <c r="F17" s="152" t="s">
        <v>188</v>
      </c>
      <c r="G17" s="157">
        <v>36.563326194410891</v>
      </c>
      <c r="H17" s="152" t="s">
        <v>188</v>
      </c>
      <c r="I17" s="157">
        <v>40</v>
      </c>
      <c r="J17" s="152" t="s">
        <v>188</v>
      </c>
      <c r="K17" s="157">
        <v>36.563326194410891</v>
      </c>
      <c r="L17" s="152" t="s">
        <v>188</v>
      </c>
      <c r="M17" s="157">
        <v>40</v>
      </c>
      <c r="N17" s="152" t="s">
        <v>188</v>
      </c>
      <c r="O17" s="157" t="s">
        <v>188</v>
      </c>
      <c r="P17" s="152" t="s">
        <v>0</v>
      </c>
      <c r="Q17" s="157">
        <v>182.81663097205444</v>
      </c>
      <c r="R17" s="152" t="s">
        <v>188</v>
      </c>
      <c r="S17" s="157">
        <v>182.81663097205444</v>
      </c>
      <c r="T17" s="152" t="s">
        <v>188</v>
      </c>
      <c r="U17" s="157">
        <v>200</v>
      </c>
      <c r="V17" s="152" t="s">
        <v>188</v>
      </c>
      <c r="W17" s="157">
        <v>182.81663097205444</v>
      </c>
      <c r="X17" s="152" t="s">
        <v>188</v>
      </c>
      <c r="Y17" s="157">
        <v>200</v>
      </c>
      <c r="Z17" s="152" t="s">
        <v>188</v>
      </c>
      <c r="AA17" s="157" t="s">
        <v>188</v>
      </c>
      <c r="AB17" s="152" t="s">
        <v>0</v>
      </c>
      <c r="AC17" s="157">
        <v>797.7713045847172</v>
      </c>
      <c r="AD17" s="152" t="s">
        <v>188</v>
      </c>
      <c r="AE17" s="157">
        <v>744.53291935095456</v>
      </c>
      <c r="AF17" s="152" t="s">
        <v>188</v>
      </c>
      <c r="AG17" s="157">
        <v>635</v>
      </c>
      <c r="AH17" s="152" t="s">
        <v>188</v>
      </c>
      <c r="AI17" s="157">
        <v>745.7403076282186</v>
      </c>
      <c r="AJ17" s="152" t="s">
        <v>188</v>
      </c>
      <c r="AK17" s="157">
        <v>635</v>
      </c>
      <c r="AL17" s="152" t="s">
        <v>188</v>
      </c>
      <c r="AM17" s="157" t="s">
        <v>188</v>
      </c>
      <c r="AN17" s="152" t="s">
        <v>0</v>
      </c>
      <c r="AO17" s="157">
        <v>1228.2119326965119</v>
      </c>
      <c r="AP17" s="152" t="s">
        <v>188</v>
      </c>
      <c r="AQ17" s="157">
        <v>1233.3686308090203</v>
      </c>
      <c r="AR17" s="152" t="s">
        <v>188</v>
      </c>
      <c r="AS17" s="157">
        <v>1280</v>
      </c>
      <c r="AT17" s="152" t="s">
        <v>188</v>
      </c>
      <c r="AU17" s="157">
        <v>1236.3153853165459</v>
      </c>
      <c r="AV17" s="152" t="s">
        <v>188</v>
      </c>
      <c r="AW17" s="157">
        <v>1280</v>
      </c>
      <c r="AX17" s="152" t="s">
        <v>188</v>
      </c>
      <c r="AY17" s="157" t="s">
        <v>188</v>
      </c>
      <c r="AZ17" s="152" t="s">
        <v>0</v>
      </c>
      <c r="BA17" s="157" t="s">
        <v>188</v>
      </c>
      <c r="BB17" s="152" t="s">
        <v>23</v>
      </c>
      <c r="BC17" s="157" t="s">
        <v>188</v>
      </c>
      <c r="BD17" s="152" t="s">
        <v>23</v>
      </c>
      <c r="BE17" s="157">
        <v>1280</v>
      </c>
      <c r="BF17" s="152" t="s">
        <v>188</v>
      </c>
      <c r="BG17" s="157" t="s">
        <v>188</v>
      </c>
      <c r="BH17" s="152" t="s">
        <v>23</v>
      </c>
      <c r="BI17" s="157">
        <v>1280</v>
      </c>
      <c r="BJ17" s="152" t="s">
        <v>188</v>
      </c>
    </row>
    <row r="18" spans="1:62" ht="13.5" customHeight="1">
      <c r="A18" s="49" t="s">
        <v>37</v>
      </c>
      <c r="B18" s="153">
        <v>2</v>
      </c>
      <c r="C18" s="157">
        <v>38</v>
      </c>
      <c r="D18" s="152" t="s">
        <v>188</v>
      </c>
      <c r="E18" s="157">
        <v>38</v>
      </c>
      <c r="F18" s="152" t="s">
        <v>188</v>
      </c>
      <c r="G18" s="157">
        <v>38</v>
      </c>
      <c r="H18" s="152" t="s">
        <v>188</v>
      </c>
      <c r="I18" s="157" t="s">
        <v>188</v>
      </c>
      <c r="J18" s="152" t="s">
        <v>23</v>
      </c>
      <c r="K18" s="157">
        <v>38</v>
      </c>
      <c r="L18" s="152" t="s">
        <v>188</v>
      </c>
      <c r="M18" s="157">
        <v>38</v>
      </c>
      <c r="N18" s="152" t="s">
        <v>188</v>
      </c>
      <c r="O18" s="157">
        <v>178</v>
      </c>
      <c r="P18" s="152" t="s">
        <v>188</v>
      </c>
      <c r="Q18" s="157">
        <v>178</v>
      </c>
      <c r="R18" s="152" t="s">
        <v>188</v>
      </c>
      <c r="S18" s="157">
        <v>178</v>
      </c>
      <c r="T18" s="152" t="s">
        <v>188</v>
      </c>
      <c r="U18" s="157" t="s">
        <v>188</v>
      </c>
      <c r="V18" s="152" t="s">
        <v>23</v>
      </c>
      <c r="W18" s="157">
        <v>178</v>
      </c>
      <c r="X18" s="152" t="s">
        <v>188</v>
      </c>
      <c r="Y18" s="157">
        <v>178</v>
      </c>
      <c r="Z18" s="152" t="s">
        <v>188</v>
      </c>
      <c r="AA18" s="157">
        <v>1063.5552077238151</v>
      </c>
      <c r="AB18" s="152" t="s">
        <v>188</v>
      </c>
      <c r="AC18" s="157">
        <v>1063.5552077238151</v>
      </c>
      <c r="AD18" s="152" t="s">
        <v>188</v>
      </c>
      <c r="AE18" s="157">
        <v>1063.5552077238151</v>
      </c>
      <c r="AF18" s="152" t="s">
        <v>188</v>
      </c>
      <c r="AG18" s="157" t="s">
        <v>188</v>
      </c>
      <c r="AH18" s="152" t="s">
        <v>23</v>
      </c>
      <c r="AI18" s="157">
        <v>1063.5552077238151</v>
      </c>
      <c r="AJ18" s="152" t="s">
        <v>188</v>
      </c>
      <c r="AK18" s="157">
        <v>1063.5552077238151</v>
      </c>
      <c r="AL18" s="152" t="s">
        <v>188</v>
      </c>
      <c r="AM18" s="157">
        <v>1830.4</v>
      </c>
      <c r="AN18" s="152" t="s">
        <v>188</v>
      </c>
      <c r="AO18" s="157">
        <v>1830.4</v>
      </c>
      <c r="AP18" s="152" t="s">
        <v>188</v>
      </c>
      <c r="AQ18" s="157">
        <v>1830.4</v>
      </c>
      <c r="AR18" s="152" t="s">
        <v>188</v>
      </c>
      <c r="AS18" s="157" t="s">
        <v>188</v>
      </c>
      <c r="AT18" s="152" t="s">
        <v>23</v>
      </c>
      <c r="AU18" s="157">
        <v>1830.4</v>
      </c>
      <c r="AV18" s="152" t="s">
        <v>188</v>
      </c>
      <c r="AW18" s="157">
        <v>1830.4</v>
      </c>
      <c r="AX18" s="152" t="s">
        <v>188</v>
      </c>
      <c r="AY18" s="157">
        <v>1962.4</v>
      </c>
      <c r="AZ18" s="152" t="s">
        <v>188</v>
      </c>
      <c r="BA18" s="157">
        <v>1962.4</v>
      </c>
      <c r="BB18" s="152" t="s">
        <v>188</v>
      </c>
      <c r="BC18" s="157">
        <v>1962.4</v>
      </c>
      <c r="BD18" s="152" t="s">
        <v>188</v>
      </c>
      <c r="BE18" s="157" t="s">
        <v>188</v>
      </c>
      <c r="BF18" s="152" t="s">
        <v>23</v>
      </c>
      <c r="BG18" s="157">
        <v>1962.4</v>
      </c>
      <c r="BH18" s="152" t="s">
        <v>188</v>
      </c>
      <c r="BI18" s="157">
        <v>1962.4</v>
      </c>
      <c r="BJ18" s="152" t="s">
        <v>188</v>
      </c>
    </row>
    <row r="19" spans="1:62" ht="13.5" customHeight="1">
      <c r="A19" s="156" t="s">
        <v>28</v>
      </c>
      <c r="B19" s="149">
        <v>1</v>
      </c>
      <c r="C19" s="150">
        <v>45</v>
      </c>
      <c r="D19" s="151" t="s">
        <v>188</v>
      </c>
      <c r="E19" s="150">
        <v>39</v>
      </c>
      <c r="F19" s="151" t="s">
        <v>188</v>
      </c>
      <c r="G19" s="150">
        <v>39</v>
      </c>
      <c r="H19" s="151" t="s">
        <v>188</v>
      </c>
      <c r="I19" s="150">
        <v>39</v>
      </c>
      <c r="J19" s="151" t="s">
        <v>188</v>
      </c>
      <c r="K19" s="150">
        <v>39</v>
      </c>
      <c r="L19" s="151" t="s">
        <v>188</v>
      </c>
      <c r="M19" s="150">
        <v>39</v>
      </c>
      <c r="N19" s="151" t="s">
        <v>188</v>
      </c>
      <c r="O19" s="150">
        <v>215</v>
      </c>
      <c r="P19" s="151" t="s">
        <v>188</v>
      </c>
      <c r="Q19" s="150">
        <v>187</v>
      </c>
      <c r="R19" s="151" t="s">
        <v>188</v>
      </c>
      <c r="S19" s="150">
        <v>187</v>
      </c>
      <c r="T19" s="151" t="s">
        <v>188</v>
      </c>
      <c r="U19" s="150">
        <v>187</v>
      </c>
      <c r="V19" s="151" t="s">
        <v>188</v>
      </c>
      <c r="W19" s="150">
        <v>187</v>
      </c>
      <c r="X19" s="151" t="s">
        <v>188</v>
      </c>
      <c r="Y19" s="150">
        <v>187</v>
      </c>
      <c r="Z19" s="151" t="s">
        <v>188</v>
      </c>
      <c r="AA19" s="150">
        <v>1333</v>
      </c>
      <c r="AB19" s="151" t="s">
        <v>188</v>
      </c>
      <c r="AC19" s="150">
        <v>617.1</v>
      </c>
      <c r="AD19" s="151" t="s">
        <v>188</v>
      </c>
      <c r="AE19" s="150">
        <v>617.1</v>
      </c>
      <c r="AF19" s="151" t="s">
        <v>188</v>
      </c>
      <c r="AG19" s="150">
        <v>617.1</v>
      </c>
      <c r="AH19" s="151" t="s">
        <v>188</v>
      </c>
      <c r="AI19" s="150">
        <v>589.04999999999995</v>
      </c>
      <c r="AJ19" s="151" t="s">
        <v>188</v>
      </c>
      <c r="AK19" s="150">
        <v>589.04999999999995</v>
      </c>
      <c r="AL19" s="151" t="s">
        <v>188</v>
      </c>
      <c r="AM19" s="150" t="s">
        <v>188</v>
      </c>
      <c r="AN19" s="151" t="s">
        <v>23</v>
      </c>
      <c r="AO19" s="150" t="s">
        <v>188</v>
      </c>
      <c r="AP19" s="151" t="s">
        <v>23</v>
      </c>
      <c r="AQ19" s="150" t="s">
        <v>188</v>
      </c>
      <c r="AR19" s="151" t="s">
        <v>23</v>
      </c>
      <c r="AS19" s="150" t="s">
        <v>188</v>
      </c>
      <c r="AT19" s="151" t="s">
        <v>23</v>
      </c>
      <c r="AU19" s="150" t="s">
        <v>188</v>
      </c>
      <c r="AV19" s="151" t="s">
        <v>23</v>
      </c>
      <c r="AW19" s="150" t="s">
        <v>188</v>
      </c>
      <c r="AX19" s="151" t="s">
        <v>23</v>
      </c>
      <c r="AY19" s="150">
        <v>1800</v>
      </c>
      <c r="AZ19" s="151" t="s">
        <v>188</v>
      </c>
      <c r="BA19" s="150">
        <v>1560</v>
      </c>
      <c r="BB19" s="151" t="s">
        <v>188</v>
      </c>
      <c r="BC19" s="150">
        <v>1560</v>
      </c>
      <c r="BD19" s="151" t="s">
        <v>188</v>
      </c>
      <c r="BE19" s="150">
        <v>1560</v>
      </c>
      <c r="BF19" s="151" t="s">
        <v>188</v>
      </c>
      <c r="BG19" s="150">
        <v>1560</v>
      </c>
      <c r="BH19" s="151" t="s">
        <v>188</v>
      </c>
      <c r="BI19" s="150">
        <v>1560</v>
      </c>
      <c r="BJ19" s="151" t="s">
        <v>188</v>
      </c>
    </row>
    <row r="20" spans="1:62" ht="13.5" customHeight="1">
      <c r="A20" s="156" t="s">
        <v>2</v>
      </c>
      <c r="B20" s="149" t="s">
        <v>188</v>
      </c>
      <c r="C20" s="150" t="s">
        <v>188</v>
      </c>
      <c r="D20" s="151" t="s">
        <v>23</v>
      </c>
      <c r="E20" s="150" t="s">
        <v>188</v>
      </c>
      <c r="F20" s="151" t="s">
        <v>23</v>
      </c>
      <c r="G20" s="150" t="s">
        <v>188</v>
      </c>
      <c r="H20" s="151" t="s">
        <v>23</v>
      </c>
      <c r="I20" s="150" t="s">
        <v>188</v>
      </c>
      <c r="J20" s="151" t="s">
        <v>23</v>
      </c>
      <c r="K20" s="150" t="s">
        <v>188</v>
      </c>
      <c r="L20" s="151" t="s">
        <v>23</v>
      </c>
      <c r="M20" s="150" t="s">
        <v>188</v>
      </c>
      <c r="N20" s="151" t="s">
        <v>23</v>
      </c>
      <c r="O20" s="150" t="s">
        <v>188</v>
      </c>
      <c r="P20" s="151" t="s">
        <v>23</v>
      </c>
      <c r="Q20" s="150" t="s">
        <v>188</v>
      </c>
      <c r="R20" s="151" t="s">
        <v>23</v>
      </c>
      <c r="S20" s="150" t="s">
        <v>188</v>
      </c>
      <c r="T20" s="151" t="s">
        <v>23</v>
      </c>
      <c r="U20" s="150" t="s">
        <v>188</v>
      </c>
      <c r="V20" s="151" t="s">
        <v>23</v>
      </c>
      <c r="W20" s="150" t="s">
        <v>188</v>
      </c>
      <c r="X20" s="151" t="s">
        <v>23</v>
      </c>
      <c r="Y20" s="150" t="s">
        <v>188</v>
      </c>
      <c r="Z20" s="151" t="s">
        <v>23</v>
      </c>
      <c r="AA20" s="150" t="s">
        <v>188</v>
      </c>
      <c r="AB20" s="151" t="s">
        <v>23</v>
      </c>
      <c r="AC20" s="150" t="s">
        <v>188</v>
      </c>
      <c r="AD20" s="151" t="s">
        <v>23</v>
      </c>
      <c r="AE20" s="150" t="s">
        <v>188</v>
      </c>
      <c r="AF20" s="151" t="s">
        <v>23</v>
      </c>
      <c r="AG20" s="150" t="s">
        <v>188</v>
      </c>
      <c r="AH20" s="151" t="s">
        <v>23</v>
      </c>
      <c r="AI20" s="150">
        <v>405</v>
      </c>
      <c r="AJ20" s="151" t="s">
        <v>188</v>
      </c>
      <c r="AK20" s="150">
        <v>615</v>
      </c>
      <c r="AL20" s="151" t="s">
        <v>188</v>
      </c>
      <c r="AM20" s="150" t="s">
        <v>188</v>
      </c>
      <c r="AN20" s="151" t="s">
        <v>23</v>
      </c>
      <c r="AO20" s="150" t="s">
        <v>188</v>
      </c>
      <c r="AP20" s="151" t="s">
        <v>23</v>
      </c>
      <c r="AQ20" s="150" t="s">
        <v>188</v>
      </c>
      <c r="AR20" s="151" t="s">
        <v>23</v>
      </c>
      <c r="AS20" s="150" t="s">
        <v>188</v>
      </c>
      <c r="AT20" s="151" t="s">
        <v>23</v>
      </c>
      <c r="AU20" s="150" t="s">
        <v>188</v>
      </c>
      <c r="AV20" s="151" t="s">
        <v>23</v>
      </c>
      <c r="AW20" s="150" t="s">
        <v>188</v>
      </c>
      <c r="AX20" s="151" t="s">
        <v>23</v>
      </c>
      <c r="AY20" s="150">
        <v>1680</v>
      </c>
      <c r="AZ20" s="151" t="s">
        <v>188</v>
      </c>
      <c r="BA20" s="150">
        <v>1680</v>
      </c>
      <c r="BB20" s="151" t="s">
        <v>188</v>
      </c>
      <c r="BC20" s="150">
        <v>1680</v>
      </c>
      <c r="BD20" s="151" t="s">
        <v>188</v>
      </c>
      <c r="BE20" s="150">
        <v>1680</v>
      </c>
      <c r="BF20" s="151" t="s">
        <v>188</v>
      </c>
      <c r="BG20" s="150">
        <v>1680</v>
      </c>
      <c r="BH20" s="151" t="s">
        <v>188</v>
      </c>
      <c r="BI20" s="150">
        <v>1680</v>
      </c>
      <c r="BJ20" s="151" t="s">
        <v>188</v>
      </c>
    </row>
    <row r="21" spans="1:62" ht="13.5" customHeight="1">
      <c r="A21" s="49" t="s">
        <v>41</v>
      </c>
      <c r="B21" s="153">
        <v>1</v>
      </c>
      <c r="C21" s="157">
        <v>46</v>
      </c>
      <c r="D21" s="152" t="s">
        <v>188</v>
      </c>
      <c r="E21" s="157">
        <v>35</v>
      </c>
      <c r="F21" s="152" t="s">
        <v>188</v>
      </c>
      <c r="G21" s="157">
        <v>35</v>
      </c>
      <c r="H21" s="152" t="s">
        <v>188</v>
      </c>
      <c r="I21" s="157">
        <v>40</v>
      </c>
      <c r="J21" s="152" t="s">
        <v>188</v>
      </c>
      <c r="K21" s="157">
        <v>35</v>
      </c>
      <c r="L21" s="152" t="s">
        <v>188</v>
      </c>
      <c r="M21" s="157">
        <v>40</v>
      </c>
      <c r="N21" s="152" t="s">
        <v>188</v>
      </c>
      <c r="O21" s="157">
        <v>220</v>
      </c>
      <c r="P21" s="152" t="s">
        <v>188</v>
      </c>
      <c r="Q21" s="157">
        <v>172</v>
      </c>
      <c r="R21" s="152" t="s">
        <v>188</v>
      </c>
      <c r="S21" s="157">
        <v>172</v>
      </c>
      <c r="T21" s="152" t="s">
        <v>188</v>
      </c>
      <c r="U21" s="157">
        <v>195</v>
      </c>
      <c r="V21" s="152" t="s">
        <v>188</v>
      </c>
      <c r="W21" s="157">
        <v>172</v>
      </c>
      <c r="X21" s="152" t="s">
        <v>188</v>
      </c>
      <c r="Y21" s="157">
        <v>195</v>
      </c>
      <c r="Z21" s="152" t="s">
        <v>188</v>
      </c>
      <c r="AA21" s="157">
        <v>1320</v>
      </c>
      <c r="AB21" s="152" t="s">
        <v>188</v>
      </c>
      <c r="AC21" s="157">
        <v>584.79999999999995</v>
      </c>
      <c r="AD21" s="152" t="s">
        <v>188</v>
      </c>
      <c r="AE21" s="157">
        <v>602</v>
      </c>
      <c r="AF21" s="152" t="s">
        <v>188</v>
      </c>
      <c r="AG21" s="157" t="s">
        <v>188</v>
      </c>
      <c r="AH21" s="152" t="s">
        <v>23</v>
      </c>
      <c r="AI21" s="157">
        <v>567.6</v>
      </c>
      <c r="AJ21" s="152" t="s">
        <v>188</v>
      </c>
      <c r="AK21" s="157" t="s">
        <v>188</v>
      </c>
      <c r="AL21" s="152" t="s">
        <v>23</v>
      </c>
      <c r="AM21" s="157">
        <v>1610</v>
      </c>
      <c r="AN21" s="152" t="s">
        <v>188</v>
      </c>
      <c r="AO21" s="157" t="s">
        <v>188</v>
      </c>
      <c r="AP21" s="152" t="s">
        <v>23</v>
      </c>
      <c r="AQ21" s="157" t="s">
        <v>188</v>
      </c>
      <c r="AR21" s="152" t="s">
        <v>23</v>
      </c>
      <c r="AS21" s="157" t="s">
        <v>188</v>
      </c>
      <c r="AT21" s="152" t="s">
        <v>23</v>
      </c>
      <c r="AU21" s="157" t="s">
        <v>188</v>
      </c>
      <c r="AV21" s="152" t="s">
        <v>23</v>
      </c>
      <c r="AW21" s="157" t="s">
        <v>188</v>
      </c>
      <c r="AX21" s="152" t="s">
        <v>23</v>
      </c>
      <c r="AY21" s="157">
        <v>1610</v>
      </c>
      <c r="AZ21" s="152" t="s">
        <v>188</v>
      </c>
      <c r="BA21" s="157">
        <v>1540</v>
      </c>
      <c r="BB21" s="152" t="s">
        <v>188</v>
      </c>
      <c r="BC21" s="157">
        <v>1540</v>
      </c>
      <c r="BD21" s="152" t="s">
        <v>188</v>
      </c>
      <c r="BE21" s="157">
        <v>1540</v>
      </c>
      <c r="BF21" s="152" t="s">
        <v>188</v>
      </c>
      <c r="BG21" s="157">
        <v>1540</v>
      </c>
      <c r="BH21" s="152" t="s">
        <v>188</v>
      </c>
      <c r="BI21" s="157">
        <v>1540</v>
      </c>
      <c r="BJ21" s="152" t="s">
        <v>188</v>
      </c>
    </row>
    <row r="22" spans="1:62" ht="13.5" customHeight="1">
      <c r="A22" s="49" t="s">
        <v>3</v>
      </c>
      <c r="B22" s="153">
        <v>3</v>
      </c>
      <c r="C22" s="157" t="s">
        <v>188</v>
      </c>
      <c r="D22" s="152" t="s">
        <v>0</v>
      </c>
      <c r="E22" s="157">
        <v>38</v>
      </c>
      <c r="F22" s="152" t="s">
        <v>188</v>
      </c>
      <c r="G22" s="157">
        <v>38</v>
      </c>
      <c r="H22" s="152" t="s">
        <v>188</v>
      </c>
      <c r="I22" s="157" t="s">
        <v>188</v>
      </c>
      <c r="J22" s="152" t="s">
        <v>23</v>
      </c>
      <c r="K22" s="157">
        <v>38</v>
      </c>
      <c r="L22" s="152" t="s">
        <v>188</v>
      </c>
      <c r="M22" s="157">
        <v>38</v>
      </c>
      <c r="N22" s="152" t="s">
        <v>188</v>
      </c>
      <c r="O22" s="157" t="s">
        <v>188</v>
      </c>
      <c r="P22" s="152" t="s">
        <v>0</v>
      </c>
      <c r="Q22" s="157">
        <v>187</v>
      </c>
      <c r="R22" s="152" t="s">
        <v>188</v>
      </c>
      <c r="S22" s="157">
        <v>187</v>
      </c>
      <c r="T22" s="152" t="s">
        <v>188</v>
      </c>
      <c r="U22" s="157" t="s">
        <v>188</v>
      </c>
      <c r="V22" s="152" t="s">
        <v>23</v>
      </c>
      <c r="W22" s="157">
        <v>187</v>
      </c>
      <c r="X22" s="152" t="s">
        <v>188</v>
      </c>
      <c r="Y22" s="157">
        <v>187</v>
      </c>
      <c r="Z22" s="152" t="s">
        <v>188</v>
      </c>
      <c r="AA22" s="157" t="s">
        <v>188</v>
      </c>
      <c r="AB22" s="152" t="s">
        <v>0</v>
      </c>
      <c r="AC22" s="157">
        <v>673.2</v>
      </c>
      <c r="AD22" s="152" t="s">
        <v>188</v>
      </c>
      <c r="AE22" s="157">
        <v>589.04999999999995</v>
      </c>
      <c r="AF22" s="152" t="s">
        <v>188</v>
      </c>
      <c r="AG22" s="157" t="s">
        <v>188</v>
      </c>
      <c r="AH22" s="152" t="s">
        <v>23</v>
      </c>
      <c r="AI22" s="157">
        <v>547.16200000000003</v>
      </c>
      <c r="AJ22" s="152" t="s">
        <v>188</v>
      </c>
      <c r="AK22" s="157">
        <v>688.16000000000008</v>
      </c>
      <c r="AL22" s="152" t="s">
        <v>188</v>
      </c>
      <c r="AM22" s="157" t="s">
        <v>188</v>
      </c>
      <c r="AN22" s="152" t="s">
        <v>0</v>
      </c>
      <c r="AO22" s="157">
        <v>787.2</v>
      </c>
      <c r="AP22" s="152" t="s">
        <v>188</v>
      </c>
      <c r="AQ22" s="157">
        <v>703</v>
      </c>
      <c r="AR22" s="152" t="s">
        <v>188</v>
      </c>
      <c r="AS22" s="157" t="s">
        <v>188</v>
      </c>
      <c r="AT22" s="152" t="s">
        <v>23</v>
      </c>
      <c r="AU22" s="157">
        <v>642.20000000000005</v>
      </c>
      <c r="AV22" s="152" t="s">
        <v>188</v>
      </c>
      <c r="AW22" s="157">
        <v>769.2</v>
      </c>
      <c r="AX22" s="152" t="s">
        <v>188</v>
      </c>
      <c r="AY22" s="157" t="s">
        <v>188</v>
      </c>
      <c r="AZ22" s="152" t="s">
        <v>23</v>
      </c>
      <c r="BA22" s="157" t="s">
        <v>188</v>
      </c>
      <c r="BB22" s="152" t="s">
        <v>23</v>
      </c>
      <c r="BC22" s="157" t="s">
        <v>188</v>
      </c>
      <c r="BD22" s="152" t="s">
        <v>23</v>
      </c>
      <c r="BE22" s="157" t="s">
        <v>188</v>
      </c>
      <c r="BF22" s="152" t="s">
        <v>23</v>
      </c>
      <c r="BG22" s="157" t="s">
        <v>188</v>
      </c>
      <c r="BH22" s="152" t="s">
        <v>23</v>
      </c>
      <c r="BI22" s="157" t="s">
        <v>188</v>
      </c>
      <c r="BJ22" s="152" t="s">
        <v>23</v>
      </c>
    </row>
    <row r="23" spans="1:62" ht="13.5" customHeight="1">
      <c r="A23" s="156" t="s">
        <v>4</v>
      </c>
      <c r="B23" s="149">
        <v>1</v>
      </c>
      <c r="C23" s="150">
        <v>36</v>
      </c>
      <c r="D23" s="151" t="s">
        <v>188</v>
      </c>
      <c r="E23" s="150">
        <v>36</v>
      </c>
      <c r="F23" s="151" t="s">
        <v>188</v>
      </c>
      <c r="G23" s="150">
        <v>36</v>
      </c>
      <c r="H23" s="151" t="s">
        <v>188</v>
      </c>
      <c r="I23" s="150">
        <v>36</v>
      </c>
      <c r="J23" s="151" t="s">
        <v>188</v>
      </c>
      <c r="K23" s="150">
        <v>36</v>
      </c>
      <c r="L23" s="151" t="s">
        <v>188</v>
      </c>
      <c r="M23" s="150">
        <v>36</v>
      </c>
      <c r="N23" s="151" t="s">
        <v>188</v>
      </c>
      <c r="O23" s="150">
        <v>162</v>
      </c>
      <c r="P23" s="151" t="s">
        <v>188</v>
      </c>
      <c r="Q23" s="150">
        <v>162</v>
      </c>
      <c r="R23" s="151" t="s">
        <v>188</v>
      </c>
      <c r="S23" s="150" t="s">
        <v>188</v>
      </c>
      <c r="T23" s="151" t="s">
        <v>23</v>
      </c>
      <c r="U23" s="150" t="s">
        <v>188</v>
      </c>
      <c r="V23" s="151" t="s">
        <v>23</v>
      </c>
      <c r="W23" s="150" t="s">
        <v>188</v>
      </c>
      <c r="X23" s="151" t="s">
        <v>23</v>
      </c>
      <c r="Y23" s="150" t="s">
        <v>188</v>
      </c>
      <c r="Z23" s="151" t="s">
        <v>23</v>
      </c>
      <c r="AA23" s="150">
        <v>900</v>
      </c>
      <c r="AB23" s="151" t="s">
        <v>188</v>
      </c>
      <c r="AC23" s="150">
        <v>900</v>
      </c>
      <c r="AD23" s="151" t="s">
        <v>188</v>
      </c>
      <c r="AE23" s="150">
        <v>684</v>
      </c>
      <c r="AF23" s="151" t="s">
        <v>188</v>
      </c>
      <c r="AG23" s="150">
        <v>684</v>
      </c>
      <c r="AH23" s="151" t="s">
        <v>188</v>
      </c>
      <c r="AI23" s="150">
        <v>684</v>
      </c>
      <c r="AJ23" s="151" t="s">
        <v>188</v>
      </c>
      <c r="AK23" s="150">
        <v>684</v>
      </c>
      <c r="AL23" s="151" t="s">
        <v>188</v>
      </c>
      <c r="AM23" s="150">
        <v>954</v>
      </c>
      <c r="AN23" s="151" t="s">
        <v>188</v>
      </c>
      <c r="AO23" s="150">
        <v>954</v>
      </c>
      <c r="AP23" s="151" t="s">
        <v>188</v>
      </c>
      <c r="AQ23" s="150" t="s">
        <v>188</v>
      </c>
      <c r="AR23" s="151" t="s">
        <v>23</v>
      </c>
      <c r="AS23" s="150" t="s">
        <v>188</v>
      </c>
      <c r="AT23" s="151" t="s">
        <v>23</v>
      </c>
      <c r="AU23" s="150" t="s">
        <v>188</v>
      </c>
      <c r="AV23" s="151" t="s">
        <v>23</v>
      </c>
      <c r="AW23" s="150" t="s">
        <v>188</v>
      </c>
      <c r="AX23" s="151" t="s">
        <v>23</v>
      </c>
      <c r="AY23" s="150">
        <v>1607</v>
      </c>
      <c r="AZ23" s="151" t="s">
        <v>188</v>
      </c>
      <c r="BA23" s="150">
        <v>1607</v>
      </c>
      <c r="BB23" s="151" t="s">
        <v>188</v>
      </c>
      <c r="BC23" s="150">
        <v>1607</v>
      </c>
      <c r="BD23" s="151" t="s">
        <v>188</v>
      </c>
      <c r="BE23" s="150">
        <v>1607</v>
      </c>
      <c r="BF23" s="151" t="s">
        <v>188</v>
      </c>
      <c r="BG23" s="150">
        <v>1607</v>
      </c>
      <c r="BH23" s="151" t="s">
        <v>188</v>
      </c>
      <c r="BI23" s="150">
        <v>1607</v>
      </c>
      <c r="BJ23" s="151" t="s">
        <v>188</v>
      </c>
    </row>
    <row r="24" spans="1:62" ht="13.5" customHeight="1">
      <c r="A24" s="156" t="s">
        <v>5</v>
      </c>
      <c r="B24" s="149">
        <v>1</v>
      </c>
      <c r="C24" s="150">
        <v>46</v>
      </c>
      <c r="D24" s="151" t="s">
        <v>188</v>
      </c>
      <c r="E24" s="150">
        <v>39.5</v>
      </c>
      <c r="F24" s="151" t="s">
        <v>188</v>
      </c>
      <c r="G24" s="150">
        <v>39.5</v>
      </c>
      <c r="H24" s="151" t="s">
        <v>188</v>
      </c>
      <c r="I24" s="150" t="s">
        <v>188</v>
      </c>
      <c r="J24" s="151" t="s">
        <v>23</v>
      </c>
      <c r="K24" s="150">
        <v>39.5</v>
      </c>
      <c r="L24" s="151" t="s">
        <v>188</v>
      </c>
      <c r="M24" s="150">
        <v>39.5</v>
      </c>
      <c r="N24" s="151" t="s">
        <v>188</v>
      </c>
      <c r="O24" s="150">
        <v>225</v>
      </c>
      <c r="P24" s="151" t="s">
        <v>188</v>
      </c>
      <c r="Q24" s="150">
        <v>192.5</v>
      </c>
      <c r="R24" s="151" t="s">
        <v>188</v>
      </c>
      <c r="S24" s="150">
        <v>192.5</v>
      </c>
      <c r="T24" s="151" t="s">
        <v>188</v>
      </c>
      <c r="U24" s="150" t="s">
        <v>188</v>
      </c>
      <c r="V24" s="151" t="s">
        <v>23</v>
      </c>
      <c r="W24" s="150">
        <v>192.5</v>
      </c>
      <c r="X24" s="151" t="s">
        <v>188</v>
      </c>
      <c r="Y24" s="150">
        <v>192.5</v>
      </c>
      <c r="Z24" s="151" t="s">
        <v>188</v>
      </c>
      <c r="AA24" s="150">
        <v>1755</v>
      </c>
      <c r="AB24" s="151" t="s">
        <v>188</v>
      </c>
      <c r="AC24" s="150">
        <v>800.53658579721048</v>
      </c>
      <c r="AD24" s="151" t="s">
        <v>188</v>
      </c>
      <c r="AE24" s="150">
        <v>747.40942004589363</v>
      </c>
      <c r="AF24" s="151" t="s">
        <v>188</v>
      </c>
      <c r="AG24" s="150" t="s">
        <v>188</v>
      </c>
      <c r="AH24" s="151" t="s">
        <v>23</v>
      </c>
      <c r="AI24" s="150">
        <v>719.32343858851857</v>
      </c>
      <c r="AJ24" s="151" t="s">
        <v>188</v>
      </c>
      <c r="AK24" s="150">
        <v>726.19090025883133</v>
      </c>
      <c r="AL24" s="151" t="s">
        <v>188</v>
      </c>
      <c r="AM24" s="150" t="s">
        <v>188</v>
      </c>
      <c r="AN24" s="151" t="s">
        <v>23</v>
      </c>
      <c r="AO24" s="150" t="s">
        <v>188</v>
      </c>
      <c r="AP24" s="151" t="s">
        <v>23</v>
      </c>
      <c r="AQ24" s="150" t="s">
        <v>188</v>
      </c>
      <c r="AR24" s="151" t="s">
        <v>23</v>
      </c>
      <c r="AS24" s="150" t="s">
        <v>188</v>
      </c>
      <c r="AT24" s="151" t="s">
        <v>23</v>
      </c>
      <c r="AU24" s="150" t="s">
        <v>188</v>
      </c>
      <c r="AV24" s="151" t="s">
        <v>23</v>
      </c>
      <c r="AW24" s="150" t="s">
        <v>188</v>
      </c>
      <c r="AX24" s="151" t="s">
        <v>23</v>
      </c>
      <c r="AY24" s="150">
        <v>1781.5</v>
      </c>
      <c r="AZ24" s="151" t="s">
        <v>188</v>
      </c>
      <c r="BA24" s="150">
        <v>1781.5</v>
      </c>
      <c r="BB24" s="151" t="s">
        <v>188</v>
      </c>
      <c r="BC24" s="150">
        <v>1781.5</v>
      </c>
      <c r="BD24" s="151" t="s">
        <v>188</v>
      </c>
      <c r="BE24" s="150" t="s">
        <v>188</v>
      </c>
      <c r="BF24" s="151" t="s">
        <v>23</v>
      </c>
      <c r="BG24" s="150">
        <v>1781.5</v>
      </c>
      <c r="BH24" s="151" t="s">
        <v>188</v>
      </c>
      <c r="BI24" s="150">
        <v>1781.5</v>
      </c>
      <c r="BJ24" s="151" t="s">
        <v>188</v>
      </c>
    </row>
    <row r="25" spans="1:62" ht="13.5" customHeight="1">
      <c r="A25" s="49" t="s">
        <v>6</v>
      </c>
      <c r="B25" s="153">
        <v>2</v>
      </c>
      <c r="C25" s="157">
        <v>35.799999999999997</v>
      </c>
      <c r="D25" s="152" t="s">
        <v>188</v>
      </c>
      <c r="E25" s="157">
        <v>35.799999999999997</v>
      </c>
      <c r="F25" s="152" t="s">
        <v>188</v>
      </c>
      <c r="G25" s="157">
        <v>35.9</v>
      </c>
      <c r="H25" s="152" t="s">
        <v>188</v>
      </c>
      <c r="I25" s="157" t="s">
        <v>188</v>
      </c>
      <c r="J25" s="152" t="s">
        <v>23</v>
      </c>
      <c r="K25" s="157">
        <v>35.03</v>
      </c>
      <c r="L25" s="152" t="s">
        <v>188</v>
      </c>
      <c r="M25" s="157">
        <v>35.03</v>
      </c>
      <c r="N25" s="152" t="s">
        <v>188</v>
      </c>
      <c r="O25" s="157">
        <v>176</v>
      </c>
      <c r="P25" s="152" t="s">
        <v>188</v>
      </c>
      <c r="Q25" s="157">
        <v>176</v>
      </c>
      <c r="R25" s="152" t="s">
        <v>188</v>
      </c>
      <c r="S25" s="157">
        <v>176.5</v>
      </c>
      <c r="T25" s="152" t="s">
        <v>188</v>
      </c>
      <c r="U25" s="157" t="s">
        <v>188</v>
      </c>
      <c r="V25" s="152" t="s">
        <v>23</v>
      </c>
      <c r="W25" s="157">
        <v>172.15</v>
      </c>
      <c r="X25" s="152" t="s">
        <v>188</v>
      </c>
      <c r="Y25" s="157">
        <v>172.15</v>
      </c>
      <c r="Z25" s="152" t="s">
        <v>188</v>
      </c>
      <c r="AA25" s="157">
        <v>821.92</v>
      </c>
      <c r="AB25" s="152" t="s">
        <v>188</v>
      </c>
      <c r="AC25" s="157">
        <v>660</v>
      </c>
      <c r="AD25" s="152" t="s">
        <v>188</v>
      </c>
      <c r="AE25" s="157">
        <v>608.92500000000007</v>
      </c>
      <c r="AF25" s="152" t="s">
        <v>188</v>
      </c>
      <c r="AG25" s="157" t="s">
        <v>188</v>
      </c>
      <c r="AH25" s="152" t="s">
        <v>23</v>
      </c>
      <c r="AI25" s="157">
        <v>593.91750000000002</v>
      </c>
      <c r="AJ25" s="152" t="s">
        <v>188</v>
      </c>
      <c r="AK25" s="157">
        <v>593.91750000000002</v>
      </c>
      <c r="AL25" s="152" t="s">
        <v>188</v>
      </c>
      <c r="AM25" s="157">
        <v>1134</v>
      </c>
      <c r="AN25" s="152" t="s">
        <v>188</v>
      </c>
      <c r="AO25" s="157">
        <v>1134</v>
      </c>
      <c r="AP25" s="152" t="s">
        <v>188</v>
      </c>
      <c r="AQ25" s="157">
        <v>1176</v>
      </c>
      <c r="AR25" s="152" t="s">
        <v>188</v>
      </c>
      <c r="AS25" s="157" t="s">
        <v>188</v>
      </c>
      <c r="AT25" s="152" t="s">
        <v>23</v>
      </c>
      <c r="AU25" s="157">
        <v>1176</v>
      </c>
      <c r="AV25" s="152" t="s">
        <v>188</v>
      </c>
      <c r="AW25" s="157">
        <v>1176</v>
      </c>
      <c r="AX25" s="152" t="s">
        <v>188</v>
      </c>
      <c r="AY25" s="157" t="s">
        <v>188</v>
      </c>
      <c r="AZ25" s="152" t="s">
        <v>23</v>
      </c>
      <c r="BA25" s="157" t="s">
        <v>188</v>
      </c>
      <c r="BB25" s="152" t="s">
        <v>23</v>
      </c>
      <c r="BC25" s="157" t="s">
        <v>188</v>
      </c>
      <c r="BD25" s="152" t="s">
        <v>23</v>
      </c>
      <c r="BE25" s="157" t="s">
        <v>188</v>
      </c>
      <c r="BF25" s="152" t="s">
        <v>23</v>
      </c>
      <c r="BG25" s="157" t="s">
        <v>188</v>
      </c>
      <c r="BH25" s="152" t="s">
        <v>23</v>
      </c>
      <c r="BI25" s="157" t="s">
        <v>188</v>
      </c>
      <c r="BJ25" s="152" t="s">
        <v>23</v>
      </c>
    </row>
    <row r="26" spans="1:62" ht="13.5" customHeight="1">
      <c r="A26" s="49" t="s">
        <v>17</v>
      </c>
      <c r="B26" s="153">
        <v>3</v>
      </c>
      <c r="C26" s="157">
        <v>43.4</v>
      </c>
      <c r="D26" s="152" t="s">
        <v>188</v>
      </c>
      <c r="E26" s="157">
        <v>38</v>
      </c>
      <c r="F26" s="152" t="s">
        <v>188</v>
      </c>
      <c r="G26" s="157">
        <v>38</v>
      </c>
      <c r="H26" s="152" t="s">
        <v>188</v>
      </c>
      <c r="I26" s="157">
        <v>38</v>
      </c>
      <c r="J26" s="152" t="s">
        <v>188</v>
      </c>
      <c r="K26" s="157">
        <v>38</v>
      </c>
      <c r="L26" s="152" t="s">
        <v>188</v>
      </c>
      <c r="M26" s="157">
        <v>38</v>
      </c>
      <c r="N26" s="152" t="s">
        <v>188</v>
      </c>
      <c r="O26" s="157">
        <v>210</v>
      </c>
      <c r="P26" s="152" t="s">
        <v>188</v>
      </c>
      <c r="Q26" s="157">
        <v>182</v>
      </c>
      <c r="R26" s="152" t="s">
        <v>188</v>
      </c>
      <c r="S26" s="157">
        <v>182</v>
      </c>
      <c r="T26" s="152" t="s">
        <v>188</v>
      </c>
      <c r="U26" s="157">
        <v>181</v>
      </c>
      <c r="V26" s="152" t="s">
        <v>188</v>
      </c>
      <c r="W26" s="157">
        <v>181</v>
      </c>
      <c r="X26" s="152" t="s">
        <v>188</v>
      </c>
      <c r="Y26" s="157">
        <v>181</v>
      </c>
      <c r="Z26" s="152" t="s">
        <v>188</v>
      </c>
      <c r="AA26" s="157">
        <v>1344</v>
      </c>
      <c r="AB26" s="152" t="s">
        <v>188</v>
      </c>
      <c r="AC26" s="157">
        <v>655.20000000000005</v>
      </c>
      <c r="AD26" s="152" t="s">
        <v>188</v>
      </c>
      <c r="AE26" s="157">
        <v>655.20000000000005</v>
      </c>
      <c r="AF26" s="152" t="s">
        <v>188</v>
      </c>
      <c r="AG26" s="157">
        <v>651.6</v>
      </c>
      <c r="AH26" s="152" t="s">
        <v>188</v>
      </c>
      <c r="AI26" s="157">
        <v>651.6</v>
      </c>
      <c r="AJ26" s="152" t="s">
        <v>188</v>
      </c>
      <c r="AK26" s="157">
        <v>651.6</v>
      </c>
      <c r="AL26" s="152" t="s">
        <v>188</v>
      </c>
      <c r="AM26" s="157">
        <v>1512</v>
      </c>
      <c r="AN26" s="152" t="s">
        <v>188</v>
      </c>
      <c r="AO26" s="157">
        <v>1164.8</v>
      </c>
      <c r="AP26" s="152" t="s">
        <v>188</v>
      </c>
      <c r="AQ26" s="157">
        <v>1164.8</v>
      </c>
      <c r="AR26" s="152" t="s">
        <v>188</v>
      </c>
      <c r="AS26" s="157">
        <v>1158.4000000000001</v>
      </c>
      <c r="AT26" s="152" t="s">
        <v>188</v>
      </c>
      <c r="AU26" s="157">
        <v>1158.4000000000001</v>
      </c>
      <c r="AV26" s="152" t="s">
        <v>188</v>
      </c>
      <c r="AW26" s="157">
        <v>1158.4000000000001</v>
      </c>
      <c r="AX26" s="152" t="s">
        <v>188</v>
      </c>
      <c r="AY26" s="157">
        <v>1664</v>
      </c>
      <c r="AZ26" s="152" t="s">
        <v>188</v>
      </c>
      <c r="BA26" s="157">
        <v>1664</v>
      </c>
      <c r="BB26" s="152" t="s">
        <v>188</v>
      </c>
      <c r="BC26" s="157">
        <v>1664</v>
      </c>
      <c r="BD26" s="152" t="s">
        <v>188</v>
      </c>
      <c r="BE26" s="157">
        <v>1664</v>
      </c>
      <c r="BF26" s="152" t="s">
        <v>188</v>
      </c>
      <c r="BG26" s="157">
        <v>1664</v>
      </c>
      <c r="BH26" s="152" t="s">
        <v>188</v>
      </c>
      <c r="BI26" s="157">
        <v>1664</v>
      </c>
      <c r="BJ26" s="152" t="s">
        <v>188</v>
      </c>
    </row>
    <row r="27" spans="1:62" ht="13.5" customHeight="1">
      <c r="A27" s="156" t="s">
        <v>20</v>
      </c>
      <c r="B27" s="149" t="s">
        <v>188</v>
      </c>
      <c r="C27" s="150">
        <v>46</v>
      </c>
      <c r="D27" s="151" t="s">
        <v>188</v>
      </c>
      <c r="E27" s="150">
        <v>37</v>
      </c>
      <c r="F27" s="151" t="s">
        <v>188</v>
      </c>
      <c r="G27" s="150">
        <v>37</v>
      </c>
      <c r="H27" s="151" t="s">
        <v>188</v>
      </c>
      <c r="I27" s="150" t="s">
        <v>188</v>
      </c>
      <c r="J27" s="151" t="s">
        <v>23</v>
      </c>
      <c r="K27" s="150">
        <v>36</v>
      </c>
      <c r="L27" s="151" t="s">
        <v>188</v>
      </c>
      <c r="M27" s="150">
        <v>36</v>
      </c>
      <c r="N27" s="151" t="s">
        <v>188</v>
      </c>
      <c r="O27" s="150">
        <v>225</v>
      </c>
      <c r="P27" s="151" t="s">
        <v>188</v>
      </c>
      <c r="Q27" s="150">
        <v>180</v>
      </c>
      <c r="R27" s="151" t="s">
        <v>188</v>
      </c>
      <c r="S27" s="150">
        <v>180</v>
      </c>
      <c r="T27" s="151" t="s">
        <v>188</v>
      </c>
      <c r="U27" s="150" t="s">
        <v>188</v>
      </c>
      <c r="V27" s="151" t="s">
        <v>23</v>
      </c>
      <c r="W27" s="150">
        <v>175</v>
      </c>
      <c r="X27" s="151" t="s">
        <v>188</v>
      </c>
      <c r="Y27" s="150">
        <v>175</v>
      </c>
      <c r="Z27" s="151" t="s">
        <v>188</v>
      </c>
      <c r="AA27" s="150">
        <v>1620</v>
      </c>
      <c r="AB27" s="151" t="s">
        <v>188</v>
      </c>
      <c r="AC27" s="150">
        <v>623.88</v>
      </c>
      <c r="AD27" s="151" t="s">
        <v>188</v>
      </c>
      <c r="AE27" s="150">
        <v>623.88</v>
      </c>
      <c r="AF27" s="151" t="s">
        <v>188</v>
      </c>
      <c r="AG27" s="150" t="s">
        <v>188</v>
      </c>
      <c r="AH27" s="151" t="s">
        <v>23</v>
      </c>
      <c r="AI27" s="150">
        <v>485.39325842696627</v>
      </c>
      <c r="AJ27" s="151" t="s">
        <v>188</v>
      </c>
      <c r="AK27" s="150">
        <v>508.23529411764707</v>
      </c>
      <c r="AL27" s="151" t="s">
        <v>188</v>
      </c>
      <c r="AM27" s="150">
        <v>1760</v>
      </c>
      <c r="AN27" s="151" t="s">
        <v>188</v>
      </c>
      <c r="AO27" s="150">
        <v>1610</v>
      </c>
      <c r="AP27" s="151" t="s">
        <v>188</v>
      </c>
      <c r="AQ27" s="150">
        <v>1610</v>
      </c>
      <c r="AR27" s="151" t="s">
        <v>188</v>
      </c>
      <c r="AS27" s="150" t="s">
        <v>188</v>
      </c>
      <c r="AT27" s="151" t="s">
        <v>23</v>
      </c>
      <c r="AU27" s="150">
        <v>1440</v>
      </c>
      <c r="AV27" s="151" t="s">
        <v>188</v>
      </c>
      <c r="AW27" s="150">
        <v>1440</v>
      </c>
      <c r="AX27" s="151" t="s">
        <v>188</v>
      </c>
      <c r="AY27" s="150">
        <v>1760</v>
      </c>
      <c r="AZ27" s="151" t="s">
        <v>188</v>
      </c>
      <c r="BA27" s="150">
        <v>1760</v>
      </c>
      <c r="BB27" s="151" t="s">
        <v>188</v>
      </c>
      <c r="BC27" s="150">
        <v>1760</v>
      </c>
      <c r="BD27" s="151" t="s">
        <v>188</v>
      </c>
      <c r="BE27" s="150" t="s">
        <v>188</v>
      </c>
      <c r="BF27" s="151" t="s">
        <v>0</v>
      </c>
      <c r="BG27" s="150">
        <v>1800</v>
      </c>
      <c r="BH27" s="151" t="s">
        <v>188</v>
      </c>
      <c r="BI27" s="150">
        <v>1800</v>
      </c>
      <c r="BJ27" s="151" t="s">
        <v>188</v>
      </c>
    </row>
    <row r="28" spans="1:62" ht="13.5" customHeight="1">
      <c r="A28" s="156" t="s">
        <v>7</v>
      </c>
      <c r="B28" s="149">
        <v>1</v>
      </c>
      <c r="C28" s="150" t="s">
        <v>188</v>
      </c>
      <c r="D28" s="151" t="s">
        <v>0</v>
      </c>
      <c r="E28" s="150">
        <v>36.6</v>
      </c>
      <c r="F28" s="151" t="s">
        <v>188</v>
      </c>
      <c r="G28" s="150">
        <v>32.799999999999997</v>
      </c>
      <c r="H28" s="151" t="s">
        <v>188</v>
      </c>
      <c r="I28" s="150" t="s">
        <v>188</v>
      </c>
      <c r="J28" s="151" t="s">
        <v>23</v>
      </c>
      <c r="K28" s="150">
        <v>32.799999999999997</v>
      </c>
      <c r="L28" s="151" t="s">
        <v>188</v>
      </c>
      <c r="M28" s="150" t="s">
        <v>188</v>
      </c>
      <c r="N28" s="151" t="s">
        <v>0</v>
      </c>
      <c r="O28" s="150" t="s">
        <v>188</v>
      </c>
      <c r="P28" s="151" t="s">
        <v>0</v>
      </c>
      <c r="Q28" s="150">
        <v>182</v>
      </c>
      <c r="R28" s="151" t="s">
        <v>188</v>
      </c>
      <c r="S28" s="150">
        <v>164</v>
      </c>
      <c r="T28" s="151" t="s">
        <v>188</v>
      </c>
      <c r="U28" s="150" t="s">
        <v>188</v>
      </c>
      <c r="V28" s="151" t="s">
        <v>23</v>
      </c>
      <c r="W28" s="150">
        <v>164</v>
      </c>
      <c r="X28" s="151" t="s">
        <v>188</v>
      </c>
      <c r="Y28" s="150" t="s">
        <v>188</v>
      </c>
      <c r="Z28" s="151" t="s">
        <v>0</v>
      </c>
      <c r="AA28" s="150" t="s">
        <v>188</v>
      </c>
      <c r="AB28" s="151" t="s">
        <v>0</v>
      </c>
      <c r="AC28" s="150">
        <v>910</v>
      </c>
      <c r="AD28" s="151" t="s">
        <v>188</v>
      </c>
      <c r="AE28" s="150">
        <v>721.6</v>
      </c>
      <c r="AF28" s="151" t="s">
        <v>188</v>
      </c>
      <c r="AG28" s="150" t="s">
        <v>188</v>
      </c>
      <c r="AH28" s="151" t="s">
        <v>23</v>
      </c>
      <c r="AI28" s="150">
        <v>721.6</v>
      </c>
      <c r="AJ28" s="151" t="s">
        <v>188</v>
      </c>
      <c r="AK28" s="150" t="s">
        <v>188</v>
      </c>
      <c r="AL28" s="151" t="s">
        <v>0</v>
      </c>
      <c r="AM28" s="150" t="s">
        <v>188</v>
      </c>
      <c r="AN28" s="151" t="s">
        <v>0</v>
      </c>
      <c r="AO28" s="150">
        <v>1073</v>
      </c>
      <c r="AP28" s="151" t="s">
        <v>188</v>
      </c>
      <c r="AQ28" s="150">
        <v>810.8</v>
      </c>
      <c r="AR28" s="151" t="s">
        <v>188</v>
      </c>
      <c r="AS28" s="150" t="s">
        <v>188</v>
      </c>
      <c r="AT28" s="151" t="s">
        <v>23</v>
      </c>
      <c r="AU28" s="150">
        <v>810.8</v>
      </c>
      <c r="AV28" s="151" t="s">
        <v>188</v>
      </c>
      <c r="AW28" s="150" t="s">
        <v>188</v>
      </c>
      <c r="AX28" s="151" t="s">
        <v>0</v>
      </c>
      <c r="AY28" s="150" t="s">
        <v>188</v>
      </c>
      <c r="AZ28" s="151" t="s">
        <v>23</v>
      </c>
      <c r="BA28" s="150" t="s">
        <v>188</v>
      </c>
      <c r="BB28" s="151" t="s">
        <v>23</v>
      </c>
      <c r="BC28" s="150" t="s">
        <v>188</v>
      </c>
      <c r="BD28" s="151" t="s">
        <v>23</v>
      </c>
      <c r="BE28" s="150" t="s">
        <v>188</v>
      </c>
      <c r="BF28" s="151" t="s">
        <v>23</v>
      </c>
      <c r="BG28" s="150" t="s">
        <v>188</v>
      </c>
      <c r="BH28" s="151" t="s">
        <v>23</v>
      </c>
      <c r="BI28" s="150" t="s">
        <v>188</v>
      </c>
      <c r="BJ28" s="151" t="s">
        <v>23</v>
      </c>
    </row>
    <row r="29" spans="1:62" ht="13.5" customHeight="1">
      <c r="A29" s="49" t="s">
        <v>32</v>
      </c>
      <c r="B29" s="153">
        <v>1</v>
      </c>
      <c r="C29" s="157">
        <v>37.45150297909219</v>
      </c>
      <c r="D29" s="152" t="s">
        <v>188</v>
      </c>
      <c r="E29" s="157">
        <v>37.45150297909219</v>
      </c>
      <c r="F29" s="152" t="s">
        <v>188</v>
      </c>
      <c r="G29" s="157">
        <v>36.088253269066669</v>
      </c>
      <c r="H29" s="152" t="s">
        <v>188</v>
      </c>
      <c r="I29" s="157">
        <v>36.088253269066669</v>
      </c>
      <c r="J29" s="152" t="s">
        <v>188</v>
      </c>
      <c r="K29" s="157">
        <v>36.088253269066669</v>
      </c>
      <c r="L29" s="152" t="s">
        <v>188</v>
      </c>
      <c r="M29" s="157">
        <v>36.088253269066669</v>
      </c>
      <c r="N29" s="152" t="s">
        <v>188</v>
      </c>
      <c r="O29" s="157">
        <v>182.25751489546096</v>
      </c>
      <c r="P29" s="152" t="s">
        <v>188</v>
      </c>
      <c r="Q29" s="157">
        <v>182.25751489546096</v>
      </c>
      <c r="R29" s="152" t="s">
        <v>188</v>
      </c>
      <c r="S29" s="157">
        <v>175.44126634533336</v>
      </c>
      <c r="T29" s="152" t="s">
        <v>188</v>
      </c>
      <c r="U29" s="157">
        <v>175.44126634533336</v>
      </c>
      <c r="V29" s="152" t="s">
        <v>188</v>
      </c>
      <c r="W29" s="157">
        <v>173.44126634533336</v>
      </c>
      <c r="X29" s="152" t="s">
        <v>188</v>
      </c>
      <c r="Y29" s="157">
        <v>173.44126634533336</v>
      </c>
      <c r="Z29" s="152" t="s">
        <v>188</v>
      </c>
      <c r="AA29" s="157">
        <v>1030.7532603345974</v>
      </c>
      <c r="AB29" s="152" t="s">
        <v>188</v>
      </c>
      <c r="AC29" s="157">
        <v>843.34742197468893</v>
      </c>
      <c r="AD29" s="152" t="s">
        <v>188</v>
      </c>
      <c r="AE29" s="157">
        <v>698.87170663429129</v>
      </c>
      <c r="AF29" s="152" t="s">
        <v>188</v>
      </c>
      <c r="AG29" s="157">
        <v>698.87170663429129</v>
      </c>
      <c r="AH29" s="152" t="s">
        <v>188</v>
      </c>
      <c r="AI29" s="157">
        <v>609.74471713184903</v>
      </c>
      <c r="AJ29" s="152" t="s">
        <v>188</v>
      </c>
      <c r="AK29" s="157">
        <v>609.74471713184903</v>
      </c>
      <c r="AL29" s="152" t="s">
        <v>188</v>
      </c>
      <c r="AM29" s="157">
        <v>1067.2047633136895</v>
      </c>
      <c r="AN29" s="152" t="s">
        <v>188</v>
      </c>
      <c r="AO29" s="157">
        <v>1236.2150500149719</v>
      </c>
      <c r="AP29" s="152" t="s">
        <v>188</v>
      </c>
      <c r="AQ29" s="157">
        <v>1181.2124280918288</v>
      </c>
      <c r="AR29" s="152" t="s">
        <v>188</v>
      </c>
      <c r="AS29" s="157">
        <v>1181.2124280918288</v>
      </c>
      <c r="AT29" s="152" t="s">
        <v>188</v>
      </c>
      <c r="AU29" s="157">
        <v>1166.2524652286575</v>
      </c>
      <c r="AV29" s="152" t="s">
        <v>188</v>
      </c>
      <c r="AW29" s="157">
        <v>1166.2524652286575</v>
      </c>
      <c r="AX29" s="152" t="s">
        <v>188</v>
      </c>
      <c r="AY29" s="157">
        <v>1067.2047633136895</v>
      </c>
      <c r="AZ29" s="152" t="s">
        <v>188</v>
      </c>
      <c r="BA29" s="157">
        <v>1236.2150500149719</v>
      </c>
      <c r="BB29" s="152" t="s">
        <v>188</v>
      </c>
      <c r="BC29" s="157">
        <v>1181.2124280918288</v>
      </c>
      <c r="BD29" s="152" t="s">
        <v>188</v>
      </c>
      <c r="BE29" s="157">
        <v>1181.2124280918288</v>
      </c>
      <c r="BF29" s="152" t="s">
        <v>188</v>
      </c>
      <c r="BG29" s="157">
        <v>1166.2524652286575</v>
      </c>
      <c r="BH29" s="152" t="s">
        <v>188</v>
      </c>
      <c r="BI29" s="157">
        <v>1166.2524652286575</v>
      </c>
      <c r="BJ29" s="152" t="s">
        <v>188</v>
      </c>
    </row>
    <row r="30" spans="1:62" ht="13.5" customHeight="1">
      <c r="A30" s="49" t="s">
        <v>8</v>
      </c>
      <c r="B30" s="153">
        <v>1</v>
      </c>
      <c r="C30" s="157">
        <v>42</v>
      </c>
      <c r="D30" s="152" t="s">
        <v>188</v>
      </c>
      <c r="E30" s="157">
        <v>39</v>
      </c>
      <c r="F30" s="152" t="s">
        <v>188</v>
      </c>
      <c r="G30" s="157">
        <v>39</v>
      </c>
      <c r="H30" s="152" t="s">
        <v>188</v>
      </c>
      <c r="I30" s="157" t="s">
        <v>188</v>
      </c>
      <c r="J30" s="152" t="s">
        <v>23</v>
      </c>
      <c r="K30" s="157">
        <v>39</v>
      </c>
      <c r="L30" s="152" t="s">
        <v>188</v>
      </c>
      <c r="M30" s="157">
        <v>39</v>
      </c>
      <c r="N30" s="152" t="s">
        <v>188</v>
      </c>
      <c r="O30" s="157">
        <v>189</v>
      </c>
      <c r="P30" s="152" t="s">
        <v>188</v>
      </c>
      <c r="Q30" s="157">
        <v>174</v>
      </c>
      <c r="R30" s="152" t="s">
        <v>188</v>
      </c>
      <c r="S30" s="157">
        <v>174</v>
      </c>
      <c r="T30" s="152" t="s">
        <v>188</v>
      </c>
      <c r="U30" s="157" t="s">
        <v>188</v>
      </c>
      <c r="V30" s="152" t="s">
        <v>23</v>
      </c>
      <c r="W30" s="157">
        <v>174</v>
      </c>
      <c r="X30" s="152" t="s">
        <v>188</v>
      </c>
      <c r="Y30" s="157">
        <v>174</v>
      </c>
      <c r="Z30" s="152" t="s">
        <v>188</v>
      </c>
      <c r="AA30" s="157">
        <v>945</v>
      </c>
      <c r="AB30" s="152" t="s">
        <v>188</v>
      </c>
      <c r="AC30" s="157">
        <v>765.6</v>
      </c>
      <c r="AD30" s="152" t="s">
        <v>188</v>
      </c>
      <c r="AE30" s="157">
        <v>626.4</v>
      </c>
      <c r="AF30" s="152" t="s">
        <v>188</v>
      </c>
      <c r="AG30" s="157" t="s">
        <v>188</v>
      </c>
      <c r="AH30" s="152" t="s">
        <v>23</v>
      </c>
      <c r="AI30" s="157">
        <v>626.4</v>
      </c>
      <c r="AJ30" s="152" t="s">
        <v>188</v>
      </c>
      <c r="AK30" s="157">
        <v>626.4</v>
      </c>
      <c r="AL30" s="152" t="s">
        <v>188</v>
      </c>
      <c r="AM30" s="157" t="s">
        <v>188</v>
      </c>
      <c r="AN30" s="152" t="s">
        <v>23</v>
      </c>
      <c r="AO30" s="157" t="s">
        <v>188</v>
      </c>
      <c r="AP30" s="152" t="s">
        <v>23</v>
      </c>
      <c r="AQ30" s="157" t="s">
        <v>188</v>
      </c>
      <c r="AR30" s="152" t="s">
        <v>23</v>
      </c>
      <c r="AS30" s="157" t="s">
        <v>188</v>
      </c>
      <c r="AT30" s="152" t="s">
        <v>23</v>
      </c>
      <c r="AU30" s="157" t="s">
        <v>188</v>
      </c>
      <c r="AV30" s="152" t="s">
        <v>23</v>
      </c>
      <c r="AW30" s="157" t="s">
        <v>188</v>
      </c>
      <c r="AX30" s="152" t="s">
        <v>23</v>
      </c>
      <c r="AY30" s="157" t="s">
        <v>188</v>
      </c>
      <c r="AZ30" s="152" t="s">
        <v>23</v>
      </c>
      <c r="BA30" s="157" t="s">
        <v>188</v>
      </c>
      <c r="BB30" s="152" t="s">
        <v>23</v>
      </c>
      <c r="BC30" s="157" t="s">
        <v>188</v>
      </c>
      <c r="BD30" s="152" t="s">
        <v>23</v>
      </c>
      <c r="BE30" s="157" t="s">
        <v>188</v>
      </c>
      <c r="BF30" s="152" t="s">
        <v>23</v>
      </c>
      <c r="BG30" s="157" t="s">
        <v>188</v>
      </c>
      <c r="BH30" s="152" t="s">
        <v>23</v>
      </c>
      <c r="BI30" s="157" t="s">
        <v>188</v>
      </c>
      <c r="BJ30" s="152" t="s">
        <v>23</v>
      </c>
    </row>
    <row r="31" spans="1:62" ht="13.5" customHeight="1">
      <c r="A31" s="156" t="s">
        <v>21</v>
      </c>
      <c r="B31" s="149">
        <v>4</v>
      </c>
      <c r="C31" s="150" t="s">
        <v>188</v>
      </c>
      <c r="D31" s="151" t="s">
        <v>0</v>
      </c>
      <c r="E31" s="150">
        <v>40.222000000000001</v>
      </c>
      <c r="F31" s="151" t="s">
        <v>188</v>
      </c>
      <c r="G31" s="150">
        <v>40.213000000000001</v>
      </c>
      <c r="H31" s="151" t="s">
        <v>188</v>
      </c>
      <c r="I31" s="150" t="s">
        <v>188</v>
      </c>
      <c r="J31" s="151" t="s">
        <v>23</v>
      </c>
      <c r="K31" s="150">
        <v>39.289000000000001</v>
      </c>
      <c r="L31" s="151" t="s">
        <v>188</v>
      </c>
      <c r="M31" s="150">
        <v>39.289000000000001</v>
      </c>
      <c r="N31" s="151" t="s">
        <v>188</v>
      </c>
      <c r="O31" s="150" t="s">
        <v>188</v>
      </c>
      <c r="P31" s="151" t="s">
        <v>0</v>
      </c>
      <c r="Q31" s="150">
        <v>201.11</v>
      </c>
      <c r="R31" s="151" t="s">
        <v>188</v>
      </c>
      <c r="S31" s="150">
        <v>201.065</v>
      </c>
      <c r="T31" s="151" t="s">
        <v>188</v>
      </c>
      <c r="U31" s="150" t="s">
        <v>188</v>
      </c>
      <c r="V31" s="151" t="s">
        <v>23</v>
      </c>
      <c r="W31" s="150">
        <v>196.44499999999999</v>
      </c>
      <c r="X31" s="151" t="s">
        <v>188</v>
      </c>
      <c r="Y31" s="150">
        <v>196.44499999999999</v>
      </c>
      <c r="Z31" s="151" t="s">
        <v>188</v>
      </c>
      <c r="AA31" s="150" t="s">
        <v>188</v>
      </c>
      <c r="AB31" s="151" t="s">
        <v>0</v>
      </c>
      <c r="AC31" s="150">
        <v>742.09590000000003</v>
      </c>
      <c r="AD31" s="151" t="s">
        <v>188</v>
      </c>
      <c r="AE31" s="150">
        <v>609.910571</v>
      </c>
      <c r="AF31" s="151" t="s">
        <v>188</v>
      </c>
      <c r="AG31" s="150" t="s">
        <v>188</v>
      </c>
      <c r="AH31" s="151" t="s">
        <v>23</v>
      </c>
      <c r="AI31" s="150">
        <v>510.75700000000001</v>
      </c>
      <c r="AJ31" s="151" t="s">
        <v>188</v>
      </c>
      <c r="AK31" s="150">
        <v>510.75700000000001</v>
      </c>
      <c r="AL31" s="151" t="s">
        <v>188</v>
      </c>
      <c r="AM31" s="150" t="s">
        <v>188</v>
      </c>
      <c r="AN31" s="151" t="s">
        <v>23</v>
      </c>
      <c r="AO31" s="150" t="s">
        <v>188</v>
      </c>
      <c r="AP31" s="151" t="s">
        <v>23</v>
      </c>
      <c r="AQ31" s="150" t="s">
        <v>188</v>
      </c>
      <c r="AR31" s="151" t="s">
        <v>23</v>
      </c>
      <c r="AS31" s="150" t="s">
        <v>188</v>
      </c>
      <c r="AT31" s="151" t="s">
        <v>23</v>
      </c>
      <c r="AU31" s="150" t="s">
        <v>188</v>
      </c>
      <c r="AV31" s="151" t="s">
        <v>23</v>
      </c>
      <c r="AW31" s="150" t="s">
        <v>188</v>
      </c>
      <c r="AX31" s="151" t="s">
        <v>23</v>
      </c>
      <c r="AY31" s="150">
        <v>1883</v>
      </c>
      <c r="AZ31" s="151" t="s">
        <v>188</v>
      </c>
      <c r="BA31" s="150">
        <v>1883</v>
      </c>
      <c r="BB31" s="151" t="s">
        <v>188</v>
      </c>
      <c r="BC31" s="150">
        <v>1883</v>
      </c>
      <c r="BD31" s="151" t="s">
        <v>188</v>
      </c>
      <c r="BE31" s="150">
        <v>1883</v>
      </c>
      <c r="BF31" s="151" t="s">
        <v>188</v>
      </c>
      <c r="BG31" s="150">
        <v>1883</v>
      </c>
      <c r="BH31" s="151" t="s">
        <v>188</v>
      </c>
      <c r="BI31" s="150">
        <v>1883</v>
      </c>
      <c r="BJ31" s="151" t="s">
        <v>188</v>
      </c>
    </row>
    <row r="32" spans="1:62" ht="13.5" customHeight="1">
      <c r="A32" s="156" t="s">
        <v>30</v>
      </c>
      <c r="B32" s="149">
        <v>3</v>
      </c>
      <c r="C32" s="150">
        <v>36</v>
      </c>
      <c r="D32" s="151" t="s">
        <v>188</v>
      </c>
      <c r="E32" s="150">
        <v>38</v>
      </c>
      <c r="F32" s="151" t="s">
        <v>188</v>
      </c>
      <c r="G32" s="150">
        <v>38</v>
      </c>
      <c r="H32" s="151" t="s">
        <v>188</v>
      </c>
      <c r="I32" s="150" t="s">
        <v>188</v>
      </c>
      <c r="J32" s="151" t="s">
        <v>23</v>
      </c>
      <c r="K32" s="150">
        <v>38</v>
      </c>
      <c r="L32" s="151" t="s">
        <v>188</v>
      </c>
      <c r="M32" s="150">
        <v>38</v>
      </c>
      <c r="N32" s="151" t="s">
        <v>188</v>
      </c>
      <c r="O32" s="150">
        <v>180</v>
      </c>
      <c r="P32" s="151" t="s">
        <v>188</v>
      </c>
      <c r="Q32" s="150">
        <v>190</v>
      </c>
      <c r="R32" s="151" t="s">
        <v>188</v>
      </c>
      <c r="S32" s="150">
        <v>190</v>
      </c>
      <c r="T32" s="151" t="s">
        <v>188</v>
      </c>
      <c r="U32" s="150" t="s">
        <v>188</v>
      </c>
      <c r="V32" s="151" t="s">
        <v>23</v>
      </c>
      <c r="W32" s="150">
        <v>190</v>
      </c>
      <c r="X32" s="151" t="s">
        <v>188</v>
      </c>
      <c r="Y32" s="150">
        <v>190</v>
      </c>
      <c r="Z32" s="151" t="s">
        <v>188</v>
      </c>
      <c r="AA32" s="150">
        <v>543.49756218494338</v>
      </c>
      <c r="AB32" s="151" t="s">
        <v>188</v>
      </c>
      <c r="AC32" s="150">
        <v>671.13440503421725</v>
      </c>
      <c r="AD32" s="151" t="s">
        <v>188</v>
      </c>
      <c r="AE32" s="150">
        <v>533.2314601752048</v>
      </c>
      <c r="AF32" s="151" t="s">
        <v>188</v>
      </c>
      <c r="AG32" s="150" t="s">
        <v>188</v>
      </c>
      <c r="AH32" s="151" t="s">
        <v>23</v>
      </c>
      <c r="AI32" s="150">
        <v>550.72526320890734</v>
      </c>
      <c r="AJ32" s="151" t="s">
        <v>188</v>
      </c>
      <c r="AK32" s="150">
        <v>557.01141078838168</v>
      </c>
      <c r="AL32" s="151" t="s">
        <v>188</v>
      </c>
      <c r="AM32" s="150" t="s">
        <v>188</v>
      </c>
      <c r="AN32" s="151" t="s">
        <v>23</v>
      </c>
      <c r="AO32" s="150" t="s">
        <v>188</v>
      </c>
      <c r="AP32" s="151" t="s">
        <v>23</v>
      </c>
      <c r="AQ32" s="150" t="s">
        <v>188</v>
      </c>
      <c r="AR32" s="151" t="s">
        <v>23</v>
      </c>
      <c r="AS32" s="150" t="s">
        <v>188</v>
      </c>
      <c r="AT32" s="151" t="s">
        <v>23</v>
      </c>
      <c r="AU32" s="150" t="s">
        <v>188</v>
      </c>
      <c r="AV32" s="151" t="s">
        <v>23</v>
      </c>
      <c r="AW32" s="150" t="s">
        <v>188</v>
      </c>
      <c r="AX32" s="151" t="s">
        <v>23</v>
      </c>
      <c r="AY32" s="150">
        <v>1520</v>
      </c>
      <c r="AZ32" s="151" t="s">
        <v>188</v>
      </c>
      <c r="BA32" s="150">
        <v>1520</v>
      </c>
      <c r="BB32" s="151" t="s">
        <v>188</v>
      </c>
      <c r="BC32" s="150">
        <v>1520</v>
      </c>
      <c r="BD32" s="151" t="s">
        <v>188</v>
      </c>
      <c r="BE32" s="150">
        <v>1520</v>
      </c>
      <c r="BF32" s="151" t="s">
        <v>188</v>
      </c>
      <c r="BG32" s="150">
        <v>1520</v>
      </c>
      <c r="BH32" s="151" t="s">
        <v>188</v>
      </c>
      <c r="BI32" s="150">
        <v>1520</v>
      </c>
      <c r="BJ32" s="151" t="s">
        <v>188</v>
      </c>
    </row>
    <row r="33" spans="1:62" ht="13.5" customHeight="1">
      <c r="A33" s="49" t="s">
        <v>73</v>
      </c>
      <c r="B33" s="153">
        <v>1</v>
      </c>
      <c r="C33" s="157">
        <v>39</v>
      </c>
      <c r="D33" s="152" t="s">
        <v>188</v>
      </c>
      <c r="E33" s="157">
        <v>35</v>
      </c>
      <c r="F33" s="152" t="s">
        <v>188</v>
      </c>
      <c r="G33" s="157">
        <v>35</v>
      </c>
      <c r="H33" s="152" t="s">
        <v>188</v>
      </c>
      <c r="I33" s="157">
        <v>44</v>
      </c>
      <c r="J33" s="152" t="s">
        <v>188</v>
      </c>
      <c r="K33" s="157">
        <v>35</v>
      </c>
      <c r="L33" s="152" t="s">
        <v>188</v>
      </c>
      <c r="M33" s="157">
        <v>44</v>
      </c>
      <c r="N33" s="152" t="s">
        <v>188</v>
      </c>
      <c r="O33" s="157">
        <v>190</v>
      </c>
      <c r="P33" s="152" t="s">
        <v>188</v>
      </c>
      <c r="Q33" s="157">
        <v>170</v>
      </c>
      <c r="R33" s="152" t="s">
        <v>188</v>
      </c>
      <c r="S33" s="157">
        <v>170</v>
      </c>
      <c r="T33" s="152" t="s">
        <v>188</v>
      </c>
      <c r="U33" s="157">
        <v>215</v>
      </c>
      <c r="V33" s="152" t="s">
        <v>188</v>
      </c>
      <c r="W33" s="157">
        <v>170</v>
      </c>
      <c r="X33" s="152" t="s">
        <v>188</v>
      </c>
      <c r="Y33" s="157">
        <v>215</v>
      </c>
      <c r="Z33" s="152" t="s">
        <v>188</v>
      </c>
      <c r="AA33" s="157">
        <v>1520</v>
      </c>
      <c r="AB33" s="152" t="s">
        <v>188</v>
      </c>
      <c r="AC33" s="157">
        <v>1020</v>
      </c>
      <c r="AD33" s="152" t="s">
        <v>188</v>
      </c>
      <c r="AE33" s="157">
        <v>1020</v>
      </c>
      <c r="AF33" s="152" t="s">
        <v>188</v>
      </c>
      <c r="AG33" s="157">
        <v>1290</v>
      </c>
      <c r="AH33" s="152" t="s">
        <v>188</v>
      </c>
      <c r="AI33" s="157">
        <v>1020</v>
      </c>
      <c r="AJ33" s="152" t="s">
        <v>188</v>
      </c>
      <c r="AK33" s="157">
        <v>1290</v>
      </c>
      <c r="AL33" s="152" t="s">
        <v>188</v>
      </c>
      <c r="AM33" s="157">
        <v>1560</v>
      </c>
      <c r="AN33" s="152" t="s">
        <v>188</v>
      </c>
      <c r="AO33" s="157">
        <v>1050</v>
      </c>
      <c r="AP33" s="152" t="s">
        <v>188</v>
      </c>
      <c r="AQ33" s="157">
        <v>1050</v>
      </c>
      <c r="AR33" s="152" t="s">
        <v>188</v>
      </c>
      <c r="AS33" s="157">
        <v>1320</v>
      </c>
      <c r="AT33" s="152" t="s">
        <v>188</v>
      </c>
      <c r="AU33" s="157">
        <v>1050</v>
      </c>
      <c r="AV33" s="152" t="s">
        <v>188</v>
      </c>
      <c r="AW33" s="157">
        <v>1320</v>
      </c>
      <c r="AX33" s="152" t="s">
        <v>188</v>
      </c>
      <c r="AY33" s="157">
        <v>1760</v>
      </c>
      <c r="AZ33" s="152" t="s">
        <v>188</v>
      </c>
      <c r="BA33" s="157">
        <v>1760</v>
      </c>
      <c r="BB33" s="152" t="s">
        <v>188</v>
      </c>
      <c r="BC33" s="157">
        <v>1760</v>
      </c>
      <c r="BD33" s="152" t="s">
        <v>188</v>
      </c>
      <c r="BE33" s="157">
        <v>1760</v>
      </c>
      <c r="BF33" s="152" t="s">
        <v>188</v>
      </c>
      <c r="BG33" s="157">
        <v>1760</v>
      </c>
      <c r="BH33" s="152" t="s">
        <v>188</v>
      </c>
      <c r="BI33" s="157">
        <v>1760</v>
      </c>
      <c r="BJ33" s="152" t="s">
        <v>188</v>
      </c>
    </row>
    <row r="34" spans="1:62" ht="13.5" customHeight="1">
      <c r="A34" s="49" t="s">
        <v>33</v>
      </c>
      <c r="B34" s="153">
        <v>1</v>
      </c>
      <c r="C34" s="157" t="s">
        <v>188</v>
      </c>
      <c r="D34" s="152" t="s">
        <v>0</v>
      </c>
      <c r="E34" s="157" t="s">
        <v>188</v>
      </c>
      <c r="F34" s="152" t="s">
        <v>0</v>
      </c>
      <c r="G34" s="157" t="s">
        <v>188</v>
      </c>
      <c r="H34" s="152" t="s">
        <v>0</v>
      </c>
      <c r="I34" s="157" t="s">
        <v>188</v>
      </c>
      <c r="J34" s="152" t="s">
        <v>0</v>
      </c>
      <c r="K34" s="157" t="s">
        <v>188</v>
      </c>
      <c r="L34" s="152" t="s">
        <v>0</v>
      </c>
      <c r="M34" s="157" t="s">
        <v>188</v>
      </c>
      <c r="N34" s="152" t="s">
        <v>0</v>
      </c>
      <c r="O34" s="157" t="s">
        <v>188</v>
      </c>
      <c r="P34" s="152" t="s">
        <v>0</v>
      </c>
      <c r="Q34" s="157" t="s">
        <v>188</v>
      </c>
      <c r="R34" s="152" t="s">
        <v>0</v>
      </c>
      <c r="S34" s="157" t="s">
        <v>188</v>
      </c>
      <c r="T34" s="152" t="s">
        <v>0</v>
      </c>
      <c r="U34" s="157" t="s">
        <v>188</v>
      </c>
      <c r="V34" s="152" t="s">
        <v>0</v>
      </c>
      <c r="W34" s="157" t="s">
        <v>188</v>
      </c>
      <c r="X34" s="152" t="s">
        <v>0</v>
      </c>
      <c r="Y34" s="157" t="s">
        <v>188</v>
      </c>
      <c r="Z34" s="152" t="s">
        <v>0</v>
      </c>
      <c r="AA34" s="157" t="s">
        <v>188</v>
      </c>
      <c r="AB34" s="152" t="s">
        <v>0</v>
      </c>
      <c r="AC34" s="157" t="s">
        <v>188</v>
      </c>
      <c r="AD34" s="152" t="s">
        <v>0</v>
      </c>
      <c r="AE34" s="157" t="s">
        <v>188</v>
      </c>
      <c r="AF34" s="152" t="s">
        <v>0</v>
      </c>
      <c r="AG34" s="157" t="s">
        <v>188</v>
      </c>
      <c r="AH34" s="152" t="s">
        <v>0</v>
      </c>
      <c r="AI34" s="157" t="s">
        <v>188</v>
      </c>
      <c r="AJ34" s="152" t="s">
        <v>0</v>
      </c>
      <c r="AK34" s="157" t="s">
        <v>188</v>
      </c>
      <c r="AL34" s="152" t="s">
        <v>0</v>
      </c>
      <c r="AM34" s="157" t="s">
        <v>188</v>
      </c>
      <c r="AN34" s="152" t="s">
        <v>0</v>
      </c>
      <c r="AO34" s="157" t="s">
        <v>188</v>
      </c>
      <c r="AP34" s="152" t="s">
        <v>0</v>
      </c>
      <c r="AQ34" s="157" t="s">
        <v>188</v>
      </c>
      <c r="AR34" s="152" t="s">
        <v>0</v>
      </c>
      <c r="AS34" s="157" t="s">
        <v>188</v>
      </c>
      <c r="AT34" s="152" t="s">
        <v>0</v>
      </c>
      <c r="AU34" s="157" t="s">
        <v>188</v>
      </c>
      <c r="AV34" s="152" t="s">
        <v>0</v>
      </c>
      <c r="AW34" s="157" t="s">
        <v>188</v>
      </c>
      <c r="AX34" s="152" t="s">
        <v>0</v>
      </c>
      <c r="AY34" s="157" t="s">
        <v>188</v>
      </c>
      <c r="AZ34" s="152" t="s">
        <v>0</v>
      </c>
      <c r="BA34" s="157" t="s">
        <v>188</v>
      </c>
      <c r="BB34" s="152" t="s">
        <v>0</v>
      </c>
      <c r="BC34" s="157" t="s">
        <v>188</v>
      </c>
      <c r="BD34" s="152" t="s">
        <v>0</v>
      </c>
      <c r="BE34" s="157" t="s">
        <v>188</v>
      </c>
      <c r="BF34" s="152" t="s">
        <v>0</v>
      </c>
      <c r="BG34" s="157" t="s">
        <v>188</v>
      </c>
      <c r="BH34" s="152" t="s">
        <v>0</v>
      </c>
      <c r="BI34" s="157" t="s">
        <v>188</v>
      </c>
      <c r="BJ34" s="152" t="s">
        <v>0</v>
      </c>
    </row>
    <row r="35" spans="1:62" ht="13.5" customHeight="1">
      <c r="A35" s="156" t="s">
        <v>19</v>
      </c>
      <c r="B35" s="149">
        <v>1</v>
      </c>
      <c r="C35" s="150">
        <v>41.8</v>
      </c>
      <c r="D35" s="151" t="s">
        <v>188</v>
      </c>
      <c r="E35" s="150">
        <v>41.8</v>
      </c>
      <c r="F35" s="151" t="s">
        <v>188</v>
      </c>
      <c r="G35" s="150">
        <v>41.8</v>
      </c>
      <c r="H35" s="151" t="s">
        <v>188</v>
      </c>
      <c r="I35" s="150">
        <v>41.8</v>
      </c>
      <c r="J35" s="151" t="s">
        <v>188</v>
      </c>
      <c r="K35" s="150">
        <v>36</v>
      </c>
      <c r="L35" s="151" t="s">
        <v>188</v>
      </c>
      <c r="M35" s="150">
        <v>36</v>
      </c>
      <c r="N35" s="151" t="s">
        <v>188</v>
      </c>
      <c r="O35" s="150">
        <v>200</v>
      </c>
      <c r="P35" s="151" t="s">
        <v>188</v>
      </c>
      <c r="Q35" s="150">
        <v>200</v>
      </c>
      <c r="R35" s="151" t="s">
        <v>188</v>
      </c>
      <c r="S35" s="150">
        <v>200</v>
      </c>
      <c r="T35" s="151" t="s">
        <v>188</v>
      </c>
      <c r="U35" s="150">
        <v>200</v>
      </c>
      <c r="V35" s="151" t="s">
        <v>188</v>
      </c>
      <c r="W35" s="150">
        <v>171</v>
      </c>
      <c r="X35" s="151" t="s">
        <v>188</v>
      </c>
      <c r="Y35" s="150">
        <v>171</v>
      </c>
      <c r="Z35" s="151" t="s">
        <v>188</v>
      </c>
      <c r="AA35" s="150">
        <v>532</v>
      </c>
      <c r="AB35" s="151" t="s">
        <v>188</v>
      </c>
      <c r="AC35" s="150">
        <v>800</v>
      </c>
      <c r="AD35" s="151" t="s">
        <v>188</v>
      </c>
      <c r="AE35" s="150">
        <v>1046.6666666666661</v>
      </c>
      <c r="AF35" s="151" t="s">
        <v>188</v>
      </c>
      <c r="AG35" s="150">
        <v>800</v>
      </c>
      <c r="AH35" s="151" t="s">
        <v>188</v>
      </c>
      <c r="AI35" s="150">
        <v>837.90000000000009</v>
      </c>
      <c r="AJ35" s="151" t="s">
        <v>188</v>
      </c>
      <c r="AK35" s="150">
        <v>684</v>
      </c>
      <c r="AL35" s="151" t="s">
        <v>188</v>
      </c>
      <c r="AM35" s="150">
        <v>772</v>
      </c>
      <c r="AN35" s="151" t="s">
        <v>188</v>
      </c>
      <c r="AO35" s="150">
        <v>800</v>
      </c>
      <c r="AP35" s="151" t="s">
        <v>188</v>
      </c>
      <c r="AQ35" s="150">
        <v>1167</v>
      </c>
      <c r="AR35" s="151" t="s">
        <v>188</v>
      </c>
      <c r="AS35" s="150">
        <v>800</v>
      </c>
      <c r="AT35" s="151" t="s">
        <v>188</v>
      </c>
      <c r="AU35" s="150">
        <v>970.9</v>
      </c>
      <c r="AV35" s="151" t="s">
        <v>188</v>
      </c>
      <c r="AW35" s="150">
        <v>692</v>
      </c>
      <c r="AX35" s="151" t="s">
        <v>188</v>
      </c>
      <c r="AY35" s="150" t="s">
        <v>188</v>
      </c>
      <c r="AZ35" s="151" t="s">
        <v>23</v>
      </c>
      <c r="BA35" s="150" t="s">
        <v>188</v>
      </c>
      <c r="BB35" s="151" t="s">
        <v>23</v>
      </c>
      <c r="BC35" s="150" t="s">
        <v>188</v>
      </c>
      <c r="BD35" s="151" t="s">
        <v>23</v>
      </c>
      <c r="BE35" s="150" t="s">
        <v>188</v>
      </c>
      <c r="BF35" s="151" t="s">
        <v>23</v>
      </c>
      <c r="BG35" s="150" t="s">
        <v>188</v>
      </c>
      <c r="BH35" s="151" t="s">
        <v>23</v>
      </c>
      <c r="BI35" s="150" t="s">
        <v>188</v>
      </c>
      <c r="BJ35" s="151" t="s">
        <v>23</v>
      </c>
    </row>
    <row r="36" spans="1:62" ht="13.5" customHeight="1">
      <c r="A36" s="156" t="s">
        <v>9</v>
      </c>
      <c r="B36" s="149">
        <v>2</v>
      </c>
      <c r="C36" s="150">
        <v>40</v>
      </c>
      <c r="D36" s="151" t="s">
        <v>188</v>
      </c>
      <c r="E36" s="150">
        <v>40</v>
      </c>
      <c r="F36" s="151" t="s">
        <v>188</v>
      </c>
      <c r="G36" s="150" t="s">
        <v>188</v>
      </c>
      <c r="H36" s="151" t="s">
        <v>0</v>
      </c>
      <c r="I36" s="150" t="s">
        <v>188</v>
      </c>
      <c r="J36" s="151" t="s">
        <v>0</v>
      </c>
      <c r="K36" s="150" t="s">
        <v>188</v>
      </c>
      <c r="L36" s="151" t="s">
        <v>0</v>
      </c>
      <c r="M36" s="150" t="s">
        <v>188</v>
      </c>
      <c r="N36" s="151" t="s">
        <v>0</v>
      </c>
      <c r="O36" s="150">
        <v>200</v>
      </c>
      <c r="P36" s="151" t="s">
        <v>188</v>
      </c>
      <c r="Q36" s="150">
        <v>200</v>
      </c>
      <c r="R36" s="151" t="s">
        <v>188</v>
      </c>
      <c r="S36" s="150" t="s">
        <v>188</v>
      </c>
      <c r="T36" s="151" t="s">
        <v>0</v>
      </c>
      <c r="U36" s="150" t="s">
        <v>188</v>
      </c>
      <c r="V36" s="151" t="s">
        <v>0</v>
      </c>
      <c r="W36" s="150" t="s">
        <v>188</v>
      </c>
      <c r="X36" s="151" t="s">
        <v>0</v>
      </c>
      <c r="Y36" s="150" t="s">
        <v>188</v>
      </c>
      <c r="Z36" s="151" t="s">
        <v>0</v>
      </c>
      <c r="AA36" s="150">
        <v>930</v>
      </c>
      <c r="AB36" s="151" t="s">
        <v>188</v>
      </c>
      <c r="AC36" s="150">
        <v>930</v>
      </c>
      <c r="AD36" s="151" t="s">
        <v>188</v>
      </c>
      <c r="AE36" s="150">
        <v>750</v>
      </c>
      <c r="AF36" s="151" t="s">
        <v>188</v>
      </c>
      <c r="AG36" s="150">
        <v>750</v>
      </c>
      <c r="AH36" s="151" t="s">
        <v>188</v>
      </c>
      <c r="AI36" s="150">
        <v>750</v>
      </c>
      <c r="AJ36" s="151" t="s">
        <v>188</v>
      </c>
      <c r="AK36" s="150" t="s">
        <v>188</v>
      </c>
      <c r="AL36" s="151" t="s">
        <v>0</v>
      </c>
      <c r="AM36" s="150" t="s">
        <v>188</v>
      </c>
      <c r="AN36" s="151" t="s">
        <v>23</v>
      </c>
      <c r="AO36" s="150" t="s">
        <v>188</v>
      </c>
      <c r="AP36" s="151" t="s">
        <v>23</v>
      </c>
      <c r="AQ36" s="150" t="s">
        <v>188</v>
      </c>
      <c r="AR36" s="151" t="s">
        <v>23</v>
      </c>
      <c r="AS36" s="150" t="s">
        <v>188</v>
      </c>
      <c r="AT36" s="151" t="s">
        <v>23</v>
      </c>
      <c r="AU36" s="150" t="s">
        <v>188</v>
      </c>
      <c r="AV36" s="151" t="s">
        <v>23</v>
      </c>
      <c r="AW36" s="150" t="s">
        <v>188</v>
      </c>
      <c r="AX36" s="151" t="s">
        <v>23</v>
      </c>
      <c r="AY36" s="150">
        <v>1659</v>
      </c>
      <c r="AZ36" s="151" t="s">
        <v>188</v>
      </c>
      <c r="BA36" s="150">
        <v>1659</v>
      </c>
      <c r="BB36" s="151" t="s">
        <v>188</v>
      </c>
      <c r="BC36" s="150">
        <v>1659</v>
      </c>
      <c r="BD36" s="151" t="s">
        <v>188</v>
      </c>
      <c r="BE36" s="150">
        <v>1659</v>
      </c>
      <c r="BF36" s="151" t="s">
        <v>188</v>
      </c>
      <c r="BG36" s="150">
        <v>1659</v>
      </c>
      <c r="BH36" s="151" t="s">
        <v>188</v>
      </c>
      <c r="BI36" s="150">
        <v>1659</v>
      </c>
      <c r="BJ36" s="151" t="s">
        <v>188</v>
      </c>
    </row>
    <row r="37" spans="1:62" ht="13.5" customHeight="1">
      <c r="A37" s="49" t="s">
        <v>10</v>
      </c>
      <c r="B37" s="153">
        <v>1</v>
      </c>
      <c r="C37" s="157" t="s">
        <v>188</v>
      </c>
      <c r="D37" s="152" t="s">
        <v>0</v>
      </c>
      <c r="E37" s="157">
        <v>38.4</v>
      </c>
      <c r="F37" s="152" t="s">
        <v>188</v>
      </c>
      <c r="G37" s="157">
        <v>38.200000000000003</v>
      </c>
      <c r="H37" s="152" t="s">
        <v>188</v>
      </c>
      <c r="I37" s="157" t="s">
        <v>188</v>
      </c>
      <c r="J37" s="152" t="s">
        <v>23</v>
      </c>
      <c r="K37" s="157">
        <v>38</v>
      </c>
      <c r="L37" s="152" t="s">
        <v>188</v>
      </c>
      <c r="M37" s="157" t="s">
        <v>188</v>
      </c>
      <c r="N37" s="152" t="s">
        <v>0</v>
      </c>
      <c r="O37" s="157" t="s">
        <v>188</v>
      </c>
      <c r="P37" s="152" t="s">
        <v>0</v>
      </c>
      <c r="Q37" s="157">
        <v>192</v>
      </c>
      <c r="R37" s="152" t="s">
        <v>188</v>
      </c>
      <c r="S37" s="157">
        <v>191</v>
      </c>
      <c r="T37" s="152" t="s">
        <v>188</v>
      </c>
      <c r="U37" s="157" t="s">
        <v>188</v>
      </c>
      <c r="V37" s="152" t="s">
        <v>23</v>
      </c>
      <c r="W37" s="157">
        <v>190</v>
      </c>
      <c r="X37" s="152" t="s">
        <v>188</v>
      </c>
      <c r="Y37" s="157" t="s">
        <v>188</v>
      </c>
      <c r="Z37" s="152" t="s">
        <v>0</v>
      </c>
      <c r="AA37" s="157" t="s">
        <v>188</v>
      </c>
      <c r="AB37" s="152" t="s">
        <v>0</v>
      </c>
      <c r="AC37" s="157">
        <v>921.59999999999991</v>
      </c>
      <c r="AD37" s="152" t="s">
        <v>188</v>
      </c>
      <c r="AE37" s="157">
        <v>840.40000000000009</v>
      </c>
      <c r="AF37" s="152" t="s">
        <v>188</v>
      </c>
      <c r="AG37" s="157" t="s">
        <v>188</v>
      </c>
      <c r="AH37" s="152" t="s">
        <v>23</v>
      </c>
      <c r="AI37" s="157">
        <v>760</v>
      </c>
      <c r="AJ37" s="152" t="s">
        <v>188</v>
      </c>
      <c r="AK37" s="157" t="s">
        <v>188</v>
      </c>
      <c r="AL37" s="152" t="s">
        <v>0</v>
      </c>
      <c r="AM37" s="157" t="s">
        <v>188</v>
      </c>
      <c r="AN37" s="152" t="s">
        <v>0</v>
      </c>
      <c r="AO37" s="157">
        <v>1536</v>
      </c>
      <c r="AP37" s="152" t="s">
        <v>188</v>
      </c>
      <c r="AQ37" s="157">
        <v>1243</v>
      </c>
      <c r="AR37" s="152" t="s">
        <v>188</v>
      </c>
      <c r="AS37" s="157" t="s">
        <v>188</v>
      </c>
      <c r="AT37" s="152" t="s">
        <v>23</v>
      </c>
      <c r="AU37" s="157">
        <v>950</v>
      </c>
      <c r="AV37" s="152" t="s">
        <v>188</v>
      </c>
      <c r="AW37" s="157" t="s">
        <v>188</v>
      </c>
      <c r="AX37" s="152" t="s">
        <v>0</v>
      </c>
      <c r="AY37" s="157" t="s">
        <v>188</v>
      </c>
      <c r="AZ37" s="152" t="s">
        <v>23</v>
      </c>
      <c r="BA37" s="157" t="s">
        <v>188</v>
      </c>
      <c r="BB37" s="152" t="s">
        <v>23</v>
      </c>
      <c r="BC37" s="157" t="s">
        <v>188</v>
      </c>
      <c r="BD37" s="152" t="s">
        <v>23</v>
      </c>
      <c r="BE37" s="157" t="s">
        <v>188</v>
      </c>
      <c r="BF37" s="152" t="s">
        <v>23</v>
      </c>
      <c r="BG37" s="157" t="s">
        <v>188</v>
      </c>
      <c r="BH37" s="152" t="s">
        <v>23</v>
      </c>
      <c r="BI37" s="157" t="s">
        <v>188</v>
      </c>
      <c r="BJ37" s="152" t="s">
        <v>23</v>
      </c>
    </row>
    <row r="38" spans="1:62" ht="13.5" customHeight="1">
      <c r="A38" s="49" t="s">
        <v>11</v>
      </c>
      <c r="B38" s="153">
        <v>2</v>
      </c>
      <c r="C38" s="157">
        <v>45</v>
      </c>
      <c r="D38" s="152" t="s">
        <v>188</v>
      </c>
      <c r="E38" s="157">
        <v>38</v>
      </c>
      <c r="F38" s="152" t="s">
        <v>188</v>
      </c>
      <c r="G38" s="157">
        <v>38</v>
      </c>
      <c r="H38" s="152" t="s">
        <v>188</v>
      </c>
      <c r="I38" s="157" t="s">
        <v>188</v>
      </c>
      <c r="J38" s="152" t="s">
        <v>23</v>
      </c>
      <c r="K38" s="157">
        <v>38</v>
      </c>
      <c r="L38" s="152" t="s">
        <v>188</v>
      </c>
      <c r="M38" s="157">
        <v>38</v>
      </c>
      <c r="N38" s="152" t="s">
        <v>188</v>
      </c>
      <c r="O38" s="157">
        <v>225</v>
      </c>
      <c r="P38" s="152" t="s">
        <v>188</v>
      </c>
      <c r="Q38" s="157">
        <v>190</v>
      </c>
      <c r="R38" s="152" t="s">
        <v>188</v>
      </c>
      <c r="S38" s="157">
        <v>190</v>
      </c>
      <c r="T38" s="152" t="s">
        <v>188</v>
      </c>
      <c r="U38" s="157" t="s">
        <v>188</v>
      </c>
      <c r="V38" s="152" t="s">
        <v>23</v>
      </c>
      <c r="W38" s="157">
        <v>190</v>
      </c>
      <c r="X38" s="152" t="s">
        <v>188</v>
      </c>
      <c r="Y38" s="157">
        <v>190</v>
      </c>
      <c r="Z38" s="152" t="s">
        <v>188</v>
      </c>
      <c r="AA38" s="157" t="s">
        <v>188</v>
      </c>
      <c r="AB38" s="152" t="s">
        <v>23</v>
      </c>
      <c r="AC38" s="157">
        <v>741</v>
      </c>
      <c r="AD38" s="152" t="s">
        <v>188</v>
      </c>
      <c r="AE38" s="157">
        <v>663.1</v>
      </c>
      <c r="AF38" s="152" t="s">
        <v>188</v>
      </c>
      <c r="AG38" s="157" t="s">
        <v>188</v>
      </c>
      <c r="AH38" s="152" t="s">
        <v>23</v>
      </c>
      <c r="AI38" s="157">
        <v>522.5</v>
      </c>
      <c r="AJ38" s="152" t="s">
        <v>188</v>
      </c>
      <c r="AK38" s="157">
        <v>522.5</v>
      </c>
      <c r="AL38" s="152" t="s">
        <v>188</v>
      </c>
      <c r="AM38" s="157" t="s">
        <v>188</v>
      </c>
      <c r="AN38" s="152" t="s">
        <v>23</v>
      </c>
      <c r="AO38" s="157">
        <v>1300</v>
      </c>
      <c r="AP38" s="152" t="s">
        <v>188</v>
      </c>
      <c r="AQ38" s="157">
        <v>1225</v>
      </c>
      <c r="AR38" s="152" t="s">
        <v>188</v>
      </c>
      <c r="AS38" s="157" t="s">
        <v>188</v>
      </c>
      <c r="AT38" s="152" t="s">
        <v>23</v>
      </c>
      <c r="AU38" s="157">
        <v>1150</v>
      </c>
      <c r="AV38" s="152" t="s">
        <v>188</v>
      </c>
      <c r="AW38" s="157">
        <v>1150</v>
      </c>
      <c r="AX38" s="152" t="s">
        <v>188</v>
      </c>
      <c r="AY38" s="157">
        <v>1687.5</v>
      </c>
      <c r="AZ38" s="152" t="s">
        <v>188</v>
      </c>
      <c r="BA38" s="157">
        <v>1687.5</v>
      </c>
      <c r="BB38" s="152" t="s">
        <v>188</v>
      </c>
      <c r="BC38" s="157">
        <v>1687.5</v>
      </c>
      <c r="BD38" s="152" t="s">
        <v>188</v>
      </c>
      <c r="BE38" s="157" t="s">
        <v>188</v>
      </c>
      <c r="BF38" s="152" t="s">
        <v>23</v>
      </c>
      <c r="BG38" s="157">
        <v>1687.5</v>
      </c>
      <c r="BH38" s="152" t="s">
        <v>188</v>
      </c>
      <c r="BI38" s="157">
        <v>1687.5</v>
      </c>
      <c r="BJ38" s="152" t="s">
        <v>188</v>
      </c>
    </row>
    <row r="39" spans="1:62" ht="13.5" customHeight="1">
      <c r="A39" s="156" t="s">
        <v>31</v>
      </c>
      <c r="B39" s="149">
        <v>1</v>
      </c>
      <c r="C39" s="150">
        <v>45.2</v>
      </c>
      <c r="D39" s="151" t="s">
        <v>188</v>
      </c>
      <c r="E39" s="150">
        <v>37.4</v>
      </c>
      <c r="F39" s="151" t="s">
        <v>188</v>
      </c>
      <c r="G39" s="150">
        <v>37</v>
      </c>
      <c r="H39" s="151" t="s">
        <v>188</v>
      </c>
      <c r="I39" s="150" t="s">
        <v>188</v>
      </c>
      <c r="J39" s="151" t="s">
        <v>23</v>
      </c>
      <c r="K39" s="150">
        <v>36.6</v>
      </c>
      <c r="L39" s="151" t="s">
        <v>188</v>
      </c>
      <c r="M39" s="150">
        <v>36.6</v>
      </c>
      <c r="N39" s="151" t="s">
        <v>188</v>
      </c>
      <c r="O39" s="150">
        <v>217</v>
      </c>
      <c r="P39" s="151" t="s">
        <v>188</v>
      </c>
      <c r="Q39" s="150">
        <v>179</v>
      </c>
      <c r="R39" s="151" t="s">
        <v>188</v>
      </c>
      <c r="S39" s="150">
        <v>177</v>
      </c>
      <c r="T39" s="151" t="s">
        <v>188</v>
      </c>
      <c r="U39" s="150" t="s">
        <v>188</v>
      </c>
      <c r="V39" s="151" t="s">
        <v>23</v>
      </c>
      <c r="W39" s="150">
        <v>175</v>
      </c>
      <c r="X39" s="151" t="s">
        <v>188</v>
      </c>
      <c r="Y39" s="150">
        <v>175</v>
      </c>
      <c r="Z39" s="151" t="s">
        <v>188</v>
      </c>
      <c r="AA39" s="150">
        <v>1085</v>
      </c>
      <c r="AB39" s="151" t="s">
        <v>188</v>
      </c>
      <c r="AC39" s="150">
        <v>563.85</v>
      </c>
      <c r="AD39" s="151" t="s">
        <v>188</v>
      </c>
      <c r="AE39" s="150">
        <v>477.90000000000003</v>
      </c>
      <c r="AF39" s="151" t="s">
        <v>188</v>
      </c>
      <c r="AG39" s="150" t="s">
        <v>188</v>
      </c>
      <c r="AH39" s="151" t="s">
        <v>23</v>
      </c>
      <c r="AI39" s="150">
        <v>472.50000000000006</v>
      </c>
      <c r="AJ39" s="151" t="s">
        <v>188</v>
      </c>
      <c r="AK39" s="150">
        <v>472.50000000000006</v>
      </c>
      <c r="AL39" s="151" t="s">
        <v>188</v>
      </c>
      <c r="AM39" s="150" t="s">
        <v>188</v>
      </c>
      <c r="AN39" s="151" t="s">
        <v>0</v>
      </c>
      <c r="AO39" s="150" t="s">
        <v>188</v>
      </c>
      <c r="AP39" s="151" t="s">
        <v>0</v>
      </c>
      <c r="AQ39" s="150" t="s">
        <v>188</v>
      </c>
      <c r="AR39" s="151" t="s">
        <v>0</v>
      </c>
      <c r="AS39" s="150" t="s">
        <v>188</v>
      </c>
      <c r="AT39" s="151" t="s">
        <v>23</v>
      </c>
      <c r="AU39" s="150" t="s">
        <v>188</v>
      </c>
      <c r="AV39" s="151" t="s">
        <v>0</v>
      </c>
      <c r="AW39" s="150" t="s">
        <v>188</v>
      </c>
      <c r="AX39" s="151" t="s">
        <v>0</v>
      </c>
      <c r="AY39" s="150">
        <v>1808</v>
      </c>
      <c r="AZ39" s="151" t="s">
        <v>188</v>
      </c>
      <c r="BA39" s="150">
        <v>1496</v>
      </c>
      <c r="BB39" s="151" t="s">
        <v>188</v>
      </c>
      <c r="BC39" s="150">
        <v>1480</v>
      </c>
      <c r="BD39" s="151" t="s">
        <v>188</v>
      </c>
      <c r="BE39" s="150" t="s">
        <v>188</v>
      </c>
      <c r="BF39" s="151" t="s">
        <v>23</v>
      </c>
      <c r="BG39" s="150">
        <v>1464</v>
      </c>
      <c r="BH39" s="151" t="s">
        <v>188</v>
      </c>
      <c r="BI39" s="150">
        <v>1464</v>
      </c>
      <c r="BJ39" s="151" t="s">
        <v>188</v>
      </c>
    </row>
    <row r="40" spans="1:62" ht="13.5" customHeight="1">
      <c r="A40" s="156" t="s">
        <v>12</v>
      </c>
      <c r="B40" s="149">
        <v>2</v>
      </c>
      <c r="C40" s="150">
        <v>41</v>
      </c>
      <c r="D40" s="151" t="s">
        <v>188</v>
      </c>
      <c r="E40" s="150">
        <v>39</v>
      </c>
      <c r="F40" s="151" t="s">
        <v>188</v>
      </c>
      <c r="G40" s="150">
        <v>38</v>
      </c>
      <c r="H40" s="151" t="s">
        <v>188</v>
      </c>
      <c r="I40" s="150">
        <v>38</v>
      </c>
      <c r="J40" s="151" t="s">
        <v>188</v>
      </c>
      <c r="K40" s="150">
        <v>38</v>
      </c>
      <c r="L40" s="151" t="s">
        <v>188</v>
      </c>
      <c r="M40" s="150">
        <v>38</v>
      </c>
      <c r="N40" s="151" t="s">
        <v>188</v>
      </c>
      <c r="O40" s="150">
        <v>187</v>
      </c>
      <c r="P40" s="151" t="s">
        <v>188</v>
      </c>
      <c r="Q40" s="150">
        <v>173</v>
      </c>
      <c r="R40" s="151" t="s">
        <v>188</v>
      </c>
      <c r="S40" s="150">
        <v>168</v>
      </c>
      <c r="T40" s="151" t="s">
        <v>188</v>
      </c>
      <c r="U40" s="150">
        <v>168</v>
      </c>
      <c r="V40" s="151" t="s">
        <v>188</v>
      </c>
      <c r="W40" s="150">
        <v>168</v>
      </c>
      <c r="X40" s="151" t="s">
        <v>188</v>
      </c>
      <c r="Y40" s="150">
        <v>168</v>
      </c>
      <c r="Z40" s="151" t="s">
        <v>188</v>
      </c>
      <c r="AA40" s="150">
        <v>935</v>
      </c>
      <c r="AB40" s="151" t="s">
        <v>188</v>
      </c>
      <c r="AC40" s="150">
        <v>778.5</v>
      </c>
      <c r="AD40" s="151" t="s">
        <v>188</v>
      </c>
      <c r="AE40" s="150">
        <v>616</v>
      </c>
      <c r="AF40" s="151" t="s">
        <v>188</v>
      </c>
      <c r="AG40" s="150">
        <v>616</v>
      </c>
      <c r="AH40" s="151" t="s">
        <v>188</v>
      </c>
      <c r="AI40" s="150">
        <v>616</v>
      </c>
      <c r="AJ40" s="151" t="s">
        <v>188</v>
      </c>
      <c r="AK40" s="150">
        <v>616</v>
      </c>
      <c r="AL40" s="151" t="s">
        <v>188</v>
      </c>
      <c r="AM40" s="150">
        <v>1085.8</v>
      </c>
      <c r="AN40" s="151" t="s">
        <v>188</v>
      </c>
      <c r="AO40" s="150">
        <v>1038.2</v>
      </c>
      <c r="AP40" s="151" t="s">
        <v>188</v>
      </c>
      <c r="AQ40" s="150">
        <v>920.39999999999986</v>
      </c>
      <c r="AR40" s="151" t="s">
        <v>188</v>
      </c>
      <c r="AS40" s="150">
        <v>920.39999999999986</v>
      </c>
      <c r="AT40" s="151" t="s">
        <v>188</v>
      </c>
      <c r="AU40" s="150">
        <v>920.39999999999986</v>
      </c>
      <c r="AV40" s="151" t="s">
        <v>188</v>
      </c>
      <c r="AW40" s="150">
        <v>920.39999999999986</v>
      </c>
      <c r="AX40" s="151" t="s">
        <v>188</v>
      </c>
      <c r="AY40" s="150">
        <v>1572</v>
      </c>
      <c r="AZ40" s="151" t="s">
        <v>188</v>
      </c>
      <c r="BA40" s="150">
        <v>1488</v>
      </c>
      <c r="BB40" s="151" t="s">
        <v>188</v>
      </c>
      <c r="BC40" s="150">
        <v>1458</v>
      </c>
      <c r="BD40" s="151" t="s">
        <v>188</v>
      </c>
      <c r="BE40" s="150">
        <v>1458</v>
      </c>
      <c r="BF40" s="151" t="s">
        <v>188</v>
      </c>
      <c r="BG40" s="150">
        <v>1458</v>
      </c>
      <c r="BH40" s="151" t="s">
        <v>188</v>
      </c>
      <c r="BI40" s="150">
        <v>1458</v>
      </c>
      <c r="BJ40" s="151" t="s">
        <v>188</v>
      </c>
    </row>
    <row r="41" spans="1:62" ht="13.5" customHeight="1">
      <c r="A41" s="49" t="s">
        <v>29</v>
      </c>
      <c r="B41" s="153">
        <v>1</v>
      </c>
      <c r="C41" s="157">
        <v>44.2</v>
      </c>
      <c r="D41" s="152" t="s">
        <v>188</v>
      </c>
      <c r="E41" s="157">
        <v>39.200000000000003</v>
      </c>
      <c r="F41" s="152" t="s">
        <v>188</v>
      </c>
      <c r="G41" s="157">
        <v>39.200000000000003</v>
      </c>
      <c r="H41" s="152" t="s">
        <v>188</v>
      </c>
      <c r="I41" s="157">
        <v>39.200000000000003</v>
      </c>
      <c r="J41" s="152" t="s">
        <v>188</v>
      </c>
      <c r="K41" s="157">
        <v>39.200000000000003</v>
      </c>
      <c r="L41" s="152" t="s">
        <v>188</v>
      </c>
      <c r="M41" s="157">
        <v>39.200000000000003</v>
      </c>
      <c r="N41" s="152" t="s">
        <v>188</v>
      </c>
      <c r="O41" s="157">
        <v>209</v>
      </c>
      <c r="P41" s="152" t="s">
        <v>188</v>
      </c>
      <c r="Q41" s="157">
        <v>189</v>
      </c>
      <c r="R41" s="152" t="s">
        <v>188</v>
      </c>
      <c r="S41" s="157">
        <v>189</v>
      </c>
      <c r="T41" s="152" t="s">
        <v>188</v>
      </c>
      <c r="U41" s="157">
        <v>189</v>
      </c>
      <c r="V41" s="152" t="s">
        <v>188</v>
      </c>
      <c r="W41" s="157">
        <v>189</v>
      </c>
      <c r="X41" s="152" t="s">
        <v>188</v>
      </c>
      <c r="Y41" s="157">
        <v>189</v>
      </c>
      <c r="Z41" s="152" t="s">
        <v>188</v>
      </c>
      <c r="AA41" s="157">
        <v>1149.5</v>
      </c>
      <c r="AB41" s="152" t="s">
        <v>188</v>
      </c>
      <c r="AC41" s="157">
        <v>793.80000000000007</v>
      </c>
      <c r="AD41" s="152" t="s">
        <v>188</v>
      </c>
      <c r="AE41" s="157">
        <v>652.05000000000007</v>
      </c>
      <c r="AF41" s="152" t="s">
        <v>188</v>
      </c>
      <c r="AG41" s="157">
        <v>623.69999999999993</v>
      </c>
      <c r="AH41" s="152" t="s">
        <v>188</v>
      </c>
      <c r="AI41" s="157">
        <v>567</v>
      </c>
      <c r="AJ41" s="152" t="s">
        <v>188</v>
      </c>
      <c r="AK41" s="157">
        <v>604.80000000000007</v>
      </c>
      <c r="AL41" s="152" t="s">
        <v>188</v>
      </c>
      <c r="AM41" s="157" t="s">
        <v>188</v>
      </c>
      <c r="AN41" s="152" t="s">
        <v>0</v>
      </c>
      <c r="AO41" s="157" t="s">
        <v>188</v>
      </c>
      <c r="AP41" s="152" t="s">
        <v>0</v>
      </c>
      <c r="AQ41" s="157" t="s">
        <v>188</v>
      </c>
      <c r="AR41" s="152" t="s">
        <v>0</v>
      </c>
      <c r="AS41" s="157" t="s">
        <v>188</v>
      </c>
      <c r="AT41" s="152" t="s">
        <v>0</v>
      </c>
      <c r="AU41" s="157" t="s">
        <v>188</v>
      </c>
      <c r="AV41" s="152" t="s">
        <v>0</v>
      </c>
      <c r="AW41" s="157" t="s">
        <v>188</v>
      </c>
      <c r="AX41" s="152" t="s">
        <v>0</v>
      </c>
      <c r="AY41" s="157">
        <v>1567.5</v>
      </c>
      <c r="AZ41" s="152" t="s">
        <v>188</v>
      </c>
      <c r="BA41" s="157">
        <v>1567.5</v>
      </c>
      <c r="BB41" s="152" t="s">
        <v>188</v>
      </c>
      <c r="BC41" s="157">
        <v>1567.5</v>
      </c>
      <c r="BD41" s="152" t="s">
        <v>188</v>
      </c>
      <c r="BE41" s="157">
        <v>1567.5</v>
      </c>
      <c r="BF41" s="152" t="s">
        <v>188</v>
      </c>
      <c r="BG41" s="157">
        <v>1567.5</v>
      </c>
      <c r="BH41" s="152" t="s">
        <v>188</v>
      </c>
      <c r="BI41" s="157">
        <v>1567.5</v>
      </c>
      <c r="BJ41" s="152" t="s">
        <v>188</v>
      </c>
    </row>
    <row r="42" spans="1:62" ht="13.5" customHeight="1">
      <c r="A42" s="49" t="s">
        <v>39</v>
      </c>
      <c r="B42" s="153">
        <v>1</v>
      </c>
      <c r="C42" s="157">
        <v>46</v>
      </c>
      <c r="D42" s="152" t="s">
        <v>188</v>
      </c>
      <c r="E42" s="157">
        <v>38</v>
      </c>
      <c r="F42" s="152" t="s">
        <v>188</v>
      </c>
      <c r="G42" s="157">
        <v>38</v>
      </c>
      <c r="H42" s="152" t="s">
        <v>188</v>
      </c>
      <c r="I42" s="157" t="s">
        <v>188</v>
      </c>
      <c r="J42" s="152" t="s">
        <v>23</v>
      </c>
      <c r="K42" s="157">
        <v>38</v>
      </c>
      <c r="L42" s="152" t="s">
        <v>188</v>
      </c>
      <c r="M42" s="157">
        <v>38</v>
      </c>
      <c r="N42" s="152" t="s">
        <v>188</v>
      </c>
      <c r="O42" s="157">
        <v>219</v>
      </c>
      <c r="P42" s="152" t="s">
        <v>188</v>
      </c>
      <c r="Q42" s="157">
        <v>190</v>
      </c>
      <c r="R42" s="152" t="s">
        <v>188</v>
      </c>
      <c r="S42" s="157">
        <v>190</v>
      </c>
      <c r="T42" s="152" t="s">
        <v>188</v>
      </c>
      <c r="U42" s="157" t="s">
        <v>188</v>
      </c>
      <c r="V42" s="152" t="s">
        <v>23</v>
      </c>
      <c r="W42" s="157">
        <v>190</v>
      </c>
      <c r="X42" s="152" t="s">
        <v>188</v>
      </c>
      <c r="Y42" s="157">
        <v>190</v>
      </c>
      <c r="Z42" s="152" t="s">
        <v>188</v>
      </c>
      <c r="AA42" s="157">
        <v>1314</v>
      </c>
      <c r="AB42" s="152" t="s">
        <v>188</v>
      </c>
      <c r="AC42" s="157">
        <v>627</v>
      </c>
      <c r="AD42" s="152" t="s">
        <v>188</v>
      </c>
      <c r="AE42" s="157">
        <v>627</v>
      </c>
      <c r="AF42" s="152" t="s">
        <v>188</v>
      </c>
      <c r="AG42" s="157" t="s">
        <v>188</v>
      </c>
      <c r="AH42" s="152" t="s">
        <v>23</v>
      </c>
      <c r="AI42" s="157">
        <v>570</v>
      </c>
      <c r="AJ42" s="152" t="s">
        <v>188</v>
      </c>
      <c r="AK42" s="157">
        <v>570</v>
      </c>
      <c r="AL42" s="152" t="s">
        <v>188</v>
      </c>
      <c r="AM42" s="157" t="s">
        <v>188</v>
      </c>
      <c r="AN42" s="152" t="s">
        <v>23</v>
      </c>
      <c r="AO42" s="157" t="s">
        <v>188</v>
      </c>
      <c r="AP42" s="152" t="s">
        <v>23</v>
      </c>
      <c r="AQ42" s="157" t="s">
        <v>188</v>
      </c>
      <c r="AR42" s="152" t="s">
        <v>23</v>
      </c>
      <c r="AS42" s="157" t="s">
        <v>188</v>
      </c>
      <c r="AT42" s="152" t="s">
        <v>23</v>
      </c>
      <c r="AU42" s="157" t="s">
        <v>188</v>
      </c>
      <c r="AV42" s="152" t="s">
        <v>23</v>
      </c>
      <c r="AW42" s="157" t="s">
        <v>188</v>
      </c>
      <c r="AX42" s="152" t="s">
        <v>23</v>
      </c>
      <c r="AY42" s="157" t="s">
        <v>188</v>
      </c>
      <c r="AZ42" s="152" t="s">
        <v>0</v>
      </c>
      <c r="BA42" s="157" t="s">
        <v>188</v>
      </c>
      <c r="BB42" s="152" t="s">
        <v>0</v>
      </c>
      <c r="BC42" s="157" t="s">
        <v>188</v>
      </c>
      <c r="BD42" s="152" t="s">
        <v>0</v>
      </c>
      <c r="BE42" s="157" t="s">
        <v>188</v>
      </c>
      <c r="BF42" s="152" t="s">
        <v>0</v>
      </c>
      <c r="BG42" s="157" t="s">
        <v>188</v>
      </c>
      <c r="BH42" s="152" t="s">
        <v>0</v>
      </c>
      <c r="BI42" s="157" t="s">
        <v>188</v>
      </c>
      <c r="BJ42" s="152" t="s">
        <v>0</v>
      </c>
    </row>
    <row r="43" spans="1:62" ht="13.5" customHeight="1">
      <c r="A43" s="156" t="s">
        <v>13</v>
      </c>
      <c r="B43" s="149">
        <v>1</v>
      </c>
      <c r="C43" s="150">
        <v>37</v>
      </c>
      <c r="D43" s="151" t="s">
        <v>188</v>
      </c>
      <c r="E43" s="150">
        <v>37</v>
      </c>
      <c r="F43" s="151" t="s">
        <v>188</v>
      </c>
      <c r="G43" s="150">
        <v>37</v>
      </c>
      <c r="H43" s="151" t="s">
        <v>188</v>
      </c>
      <c r="I43" s="150">
        <v>37</v>
      </c>
      <c r="J43" s="151" t="s">
        <v>188</v>
      </c>
      <c r="K43" s="150">
        <v>36</v>
      </c>
      <c r="L43" s="151" t="s">
        <v>188</v>
      </c>
      <c r="M43" s="150">
        <v>36</v>
      </c>
      <c r="N43" s="151" t="s">
        <v>188</v>
      </c>
      <c r="O43" s="150">
        <v>176</v>
      </c>
      <c r="P43" s="151" t="s">
        <v>188</v>
      </c>
      <c r="Q43" s="150">
        <v>176</v>
      </c>
      <c r="R43" s="151" t="s">
        <v>188</v>
      </c>
      <c r="S43" s="150">
        <v>176</v>
      </c>
      <c r="T43" s="151" t="s">
        <v>188</v>
      </c>
      <c r="U43" s="150">
        <v>176</v>
      </c>
      <c r="V43" s="151" t="s">
        <v>188</v>
      </c>
      <c r="W43" s="150">
        <v>171</v>
      </c>
      <c r="X43" s="151" t="s">
        <v>188</v>
      </c>
      <c r="Y43" s="150">
        <v>171</v>
      </c>
      <c r="Z43" s="151" t="s">
        <v>188</v>
      </c>
      <c r="AA43" s="150">
        <v>880</v>
      </c>
      <c r="AB43" s="151" t="s">
        <v>188</v>
      </c>
      <c r="AC43" s="150">
        <v>880</v>
      </c>
      <c r="AD43" s="151" t="s">
        <v>188</v>
      </c>
      <c r="AE43" s="150">
        <v>712.8</v>
      </c>
      <c r="AF43" s="151" t="s">
        <v>188</v>
      </c>
      <c r="AG43" s="150">
        <v>712.8</v>
      </c>
      <c r="AH43" s="151" t="s">
        <v>188</v>
      </c>
      <c r="AI43" s="150">
        <v>692.55</v>
      </c>
      <c r="AJ43" s="151" t="s">
        <v>188</v>
      </c>
      <c r="AK43" s="150">
        <v>692.55</v>
      </c>
      <c r="AL43" s="151" t="s">
        <v>188</v>
      </c>
      <c r="AM43" s="150">
        <v>1140</v>
      </c>
      <c r="AN43" s="151" t="s">
        <v>188</v>
      </c>
      <c r="AO43" s="150">
        <v>1140</v>
      </c>
      <c r="AP43" s="151" t="s">
        <v>188</v>
      </c>
      <c r="AQ43" s="150">
        <v>1140</v>
      </c>
      <c r="AR43" s="151" t="s">
        <v>188</v>
      </c>
      <c r="AS43" s="150">
        <v>1140</v>
      </c>
      <c r="AT43" s="151" t="s">
        <v>188</v>
      </c>
      <c r="AU43" s="150">
        <v>1140</v>
      </c>
      <c r="AV43" s="151" t="s">
        <v>188</v>
      </c>
      <c r="AW43" s="150">
        <v>1140</v>
      </c>
      <c r="AX43" s="151" t="s">
        <v>188</v>
      </c>
      <c r="AY43" s="150">
        <v>1425</v>
      </c>
      <c r="AZ43" s="151" t="s">
        <v>188</v>
      </c>
      <c r="BA43" s="150">
        <v>1425</v>
      </c>
      <c r="BB43" s="151" t="s">
        <v>188</v>
      </c>
      <c r="BC43" s="150">
        <v>1425</v>
      </c>
      <c r="BD43" s="151" t="s">
        <v>188</v>
      </c>
      <c r="BE43" s="150">
        <v>1425</v>
      </c>
      <c r="BF43" s="151" t="s">
        <v>188</v>
      </c>
      <c r="BG43" s="150">
        <v>1425</v>
      </c>
      <c r="BH43" s="151" t="s">
        <v>188</v>
      </c>
      <c r="BI43" s="150">
        <v>1425</v>
      </c>
      <c r="BJ43" s="151" t="s">
        <v>188</v>
      </c>
    </row>
    <row r="44" spans="1:62" ht="13.5" customHeight="1">
      <c r="A44" s="156" t="s">
        <v>14</v>
      </c>
      <c r="B44" s="149">
        <v>1</v>
      </c>
      <c r="C44" s="150">
        <v>47</v>
      </c>
      <c r="D44" s="151" t="s">
        <v>188</v>
      </c>
      <c r="E44" s="150" t="s">
        <v>188</v>
      </c>
      <c r="F44" s="151" t="s">
        <v>23</v>
      </c>
      <c r="G44" s="150" t="s">
        <v>188</v>
      </c>
      <c r="H44" s="151" t="s">
        <v>23</v>
      </c>
      <c r="I44" s="150" t="s">
        <v>188</v>
      </c>
      <c r="J44" s="151" t="s">
        <v>23</v>
      </c>
      <c r="K44" s="150" t="s">
        <v>188</v>
      </c>
      <c r="L44" s="151" t="s">
        <v>23</v>
      </c>
      <c r="M44" s="150" t="s">
        <v>188</v>
      </c>
      <c r="N44" s="151" t="s">
        <v>23</v>
      </c>
      <c r="O44" s="150">
        <v>224</v>
      </c>
      <c r="P44" s="151" t="s">
        <v>188</v>
      </c>
      <c r="Q44" s="150" t="s">
        <v>188</v>
      </c>
      <c r="R44" s="151" t="s">
        <v>23</v>
      </c>
      <c r="S44" s="150" t="s">
        <v>188</v>
      </c>
      <c r="T44" s="151" t="s">
        <v>23</v>
      </c>
      <c r="U44" s="150" t="s">
        <v>188</v>
      </c>
      <c r="V44" s="151" t="s">
        <v>23</v>
      </c>
      <c r="W44" s="150" t="s">
        <v>188</v>
      </c>
      <c r="X44" s="151" t="s">
        <v>23</v>
      </c>
      <c r="Y44" s="150" t="s">
        <v>188</v>
      </c>
      <c r="Z44" s="151" t="s">
        <v>23</v>
      </c>
      <c r="AA44" s="150" t="s">
        <v>188</v>
      </c>
      <c r="AB44" s="151" t="s">
        <v>0</v>
      </c>
      <c r="AC44" s="150" t="s">
        <v>188</v>
      </c>
      <c r="AD44" s="151" t="s">
        <v>23</v>
      </c>
      <c r="AE44" s="150" t="s">
        <v>188</v>
      </c>
      <c r="AF44" s="151" t="s">
        <v>23</v>
      </c>
      <c r="AG44" s="150" t="s">
        <v>188</v>
      </c>
      <c r="AH44" s="151" t="s">
        <v>23</v>
      </c>
      <c r="AI44" s="150" t="s">
        <v>188</v>
      </c>
      <c r="AJ44" s="151" t="s">
        <v>23</v>
      </c>
      <c r="AK44" s="150" t="s">
        <v>188</v>
      </c>
      <c r="AL44" s="151" t="s">
        <v>23</v>
      </c>
      <c r="AM44" s="150">
        <v>1792</v>
      </c>
      <c r="AN44" s="151" t="s">
        <v>188</v>
      </c>
      <c r="AO44" s="150">
        <v>1360</v>
      </c>
      <c r="AP44" s="151" t="s">
        <v>188</v>
      </c>
      <c r="AQ44" s="150">
        <v>1360</v>
      </c>
      <c r="AR44" s="151" t="s">
        <v>188</v>
      </c>
      <c r="AS44" s="150" t="s">
        <v>188</v>
      </c>
      <c r="AT44" s="151" t="s">
        <v>23</v>
      </c>
      <c r="AU44" s="150">
        <v>1360</v>
      </c>
      <c r="AV44" s="151" t="s">
        <v>188</v>
      </c>
      <c r="AW44" s="150">
        <v>1360</v>
      </c>
      <c r="AX44" s="151" t="s">
        <v>188</v>
      </c>
      <c r="AY44" s="150" t="s">
        <v>188</v>
      </c>
      <c r="AZ44" s="151" t="s">
        <v>23</v>
      </c>
      <c r="BA44" s="150">
        <v>1767</v>
      </c>
      <c r="BB44" s="151" t="s">
        <v>188</v>
      </c>
      <c r="BC44" s="150">
        <v>1767</v>
      </c>
      <c r="BD44" s="151" t="s">
        <v>188</v>
      </c>
      <c r="BE44" s="150" t="s">
        <v>188</v>
      </c>
      <c r="BF44" s="151" t="s">
        <v>23</v>
      </c>
      <c r="BG44" s="150">
        <v>1767</v>
      </c>
      <c r="BH44" s="151" t="s">
        <v>188</v>
      </c>
      <c r="BI44" s="150">
        <v>1767</v>
      </c>
      <c r="BJ44" s="151" t="s">
        <v>188</v>
      </c>
    </row>
    <row r="45" spans="1:62" ht="13.5" customHeight="1">
      <c r="A45" s="49" t="s">
        <v>15</v>
      </c>
      <c r="B45" s="153">
        <v>1</v>
      </c>
      <c r="C45" s="157">
        <v>39</v>
      </c>
      <c r="D45" s="152" t="s">
        <v>188</v>
      </c>
      <c r="E45" s="157">
        <v>39</v>
      </c>
      <c r="F45" s="152" t="s">
        <v>188</v>
      </c>
      <c r="G45" s="157">
        <v>39</v>
      </c>
      <c r="H45" s="152" t="s">
        <v>188</v>
      </c>
      <c r="I45" s="157" t="s">
        <v>188</v>
      </c>
      <c r="J45" s="152" t="s">
        <v>23</v>
      </c>
      <c r="K45" s="157">
        <v>39</v>
      </c>
      <c r="L45" s="152" t="s">
        <v>188</v>
      </c>
      <c r="M45" s="157">
        <v>39</v>
      </c>
      <c r="N45" s="152" t="s">
        <v>188</v>
      </c>
      <c r="O45" s="157">
        <v>190</v>
      </c>
      <c r="P45" s="152" t="s">
        <v>188</v>
      </c>
      <c r="Q45" s="157">
        <v>190</v>
      </c>
      <c r="R45" s="152" t="s">
        <v>188</v>
      </c>
      <c r="S45" s="157">
        <v>190</v>
      </c>
      <c r="T45" s="152" t="s">
        <v>188</v>
      </c>
      <c r="U45" s="157" t="s">
        <v>188</v>
      </c>
      <c r="V45" s="152" t="s">
        <v>23</v>
      </c>
      <c r="W45" s="157">
        <v>190</v>
      </c>
      <c r="X45" s="152" t="s">
        <v>188</v>
      </c>
      <c r="Y45" s="157">
        <v>190</v>
      </c>
      <c r="Z45" s="152" t="s">
        <v>188</v>
      </c>
      <c r="AA45" s="157">
        <v>778.99999999999989</v>
      </c>
      <c r="AB45" s="152" t="s">
        <v>188</v>
      </c>
      <c r="AC45" s="157">
        <v>817</v>
      </c>
      <c r="AD45" s="152" t="s">
        <v>188</v>
      </c>
      <c r="AE45" s="157">
        <v>760</v>
      </c>
      <c r="AF45" s="152" t="s">
        <v>188</v>
      </c>
      <c r="AG45" s="157" t="s">
        <v>188</v>
      </c>
      <c r="AH45" s="152" t="s">
        <v>23</v>
      </c>
      <c r="AI45" s="157">
        <v>646</v>
      </c>
      <c r="AJ45" s="152" t="s">
        <v>188</v>
      </c>
      <c r="AK45" s="157">
        <v>741</v>
      </c>
      <c r="AL45" s="152" t="s">
        <v>188</v>
      </c>
      <c r="AM45" s="157" t="s">
        <v>188</v>
      </c>
      <c r="AN45" s="152" t="s">
        <v>23</v>
      </c>
      <c r="AO45" s="157" t="s">
        <v>188</v>
      </c>
      <c r="AP45" s="152" t="s">
        <v>23</v>
      </c>
      <c r="AQ45" s="157" t="s">
        <v>188</v>
      </c>
      <c r="AR45" s="152" t="s">
        <v>23</v>
      </c>
      <c r="AS45" s="157" t="s">
        <v>188</v>
      </c>
      <c r="AT45" s="152" t="s">
        <v>23</v>
      </c>
      <c r="AU45" s="157" t="s">
        <v>188</v>
      </c>
      <c r="AV45" s="152" t="s">
        <v>23</v>
      </c>
      <c r="AW45" s="157" t="s">
        <v>188</v>
      </c>
      <c r="AX45" s="152" t="s">
        <v>23</v>
      </c>
      <c r="AY45" s="157">
        <v>2142</v>
      </c>
      <c r="AZ45" s="152" t="s">
        <v>188</v>
      </c>
      <c r="BA45" s="157">
        <v>2142</v>
      </c>
      <c r="BB45" s="152" t="s">
        <v>188</v>
      </c>
      <c r="BC45" s="157">
        <v>2142</v>
      </c>
      <c r="BD45" s="152" t="s">
        <v>188</v>
      </c>
      <c r="BE45" s="157">
        <v>2142</v>
      </c>
      <c r="BF45" s="152" t="s">
        <v>188</v>
      </c>
      <c r="BG45" s="157">
        <v>2142</v>
      </c>
      <c r="BH45" s="152" t="s">
        <v>188</v>
      </c>
      <c r="BI45" s="157">
        <v>2142</v>
      </c>
      <c r="BJ45" s="152" t="s">
        <v>188</v>
      </c>
    </row>
    <row r="46" spans="1:62" ht="13.5" customHeight="1">
      <c r="A46" s="49" t="s">
        <v>16</v>
      </c>
      <c r="B46" s="153">
        <v>1</v>
      </c>
      <c r="C46" s="157">
        <v>38</v>
      </c>
      <c r="D46" s="152" t="s">
        <v>188</v>
      </c>
      <c r="E46" s="157">
        <v>38</v>
      </c>
      <c r="F46" s="152" t="s">
        <v>188</v>
      </c>
      <c r="G46" s="157">
        <v>38</v>
      </c>
      <c r="H46" s="152" t="s">
        <v>188</v>
      </c>
      <c r="I46" s="157" t="s">
        <v>188</v>
      </c>
      <c r="J46" s="152" t="s">
        <v>23</v>
      </c>
      <c r="K46" s="157">
        <v>38</v>
      </c>
      <c r="L46" s="152" t="s">
        <v>188</v>
      </c>
      <c r="M46" s="157">
        <v>38</v>
      </c>
      <c r="N46" s="152" t="s">
        <v>188</v>
      </c>
      <c r="O46" s="157">
        <v>180</v>
      </c>
      <c r="P46" s="152" t="s">
        <v>188</v>
      </c>
      <c r="Q46" s="157">
        <v>180</v>
      </c>
      <c r="R46" s="152" t="s">
        <v>188</v>
      </c>
      <c r="S46" s="157">
        <v>180</v>
      </c>
      <c r="T46" s="152" t="s">
        <v>188</v>
      </c>
      <c r="U46" s="157" t="s">
        <v>188</v>
      </c>
      <c r="V46" s="152" t="s">
        <v>23</v>
      </c>
      <c r="W46" s="157">
        <v>180</v>
      </c>
      <c r="X46" s="152" t="s">
        <v>188</v>
      </c>
      <c r="Y46" s="157">
        <v>180</v>
      </c>
      <c r="Z46" s="152" t="s">
        <v>188</v>
      </c>
      <c r="AA46" s="157">
        <v>1080</v>
      </c>
      <c r="AB46" s="152" t="s">
        <v>188</v>
      </c>
      <c r="AC46" s="157">
        <v>720</v>
      </c>
      <c r="AD46" s="152" t="s">
        <v>188</v>
      </c>
      <c r="AE46" s="157">
        <v>503.99999999999994</v>
      </c>
      <c r="AF46" s="152" t="s">
        <v>188</v>
      </c>
      <c r="AG46" s="157" t="s">
        <v>188</v>
      </c>
      <c r="AH46" s="152" t="s">
        <v>23</v>
      </c>
      <c r="AI46" s="157">
        <v>503.99999999999994</v>
      </c>
      <c r="AJ46" s="152" t="s">
        <v>188</v>
      </c>
      <c r="AK46" s="157">
        <v>503.99999999999994</v>
      </c>
      <c r="AL46" s="152" t="s">
        <v>188</v>
      </c>
      <c r="AM46" s="157">
        <v>1160</v>
      </c>
      <c r="AN46" s="152" t="s">
        <v>188</v>
      </c>
      <c r="AO46" s="157">
        <v>980</v>
      </c>
      <c r="AP46" s="152" t="s">
        <v>188</v>
      </c>
      <c r="AQ46" s="157">
        <v>836</v>
      </c>
      <c r="AR46" s="152" t="s">
        <v>188</v>
      </c>
      <c r="AS46" s="157" t="s">
        <v>188</v>
      </c>
      <c r="AT46" s="152" t="s">
        <v>23</v>
      </c>
      <c r="AU46" s="157">
        <v>836</v>
      </c>
      <c r="AV46" s="152" t="s">
        <v>188</v>
      </c>
      <c r="AW46" s="157">
        <v>836</v>
      </c>
      <c r="AX46" s="152" t="s">
        <v>188</v>
      </c>
      <c r="AY46" s="157">
        <v>1592</v>
      </c>
      <c r="AZ46" s="152" t="s">
        <v>188</v>
      </c>
      <c r="BA46" s="157">
        <v>1592</v>
      </c>
      <c r="BB46" s="152" t="s">
        <v>188</v>
      </c>
      <c r="BC46" s="157">
        <v>1592</v>
      </c>
      <c r="BD46" s="152" t="s">
        <v>188</v>
      </c>
      <c r="BE46" s="157" t="s">
        <v>188</v>
      </c>
      <c r="BF46" s="152" t="s">
        <v>23</v>
      </c>
      <c r="BG46" s="157">
        <v>1592</v>
      </c>
      <c r="BH46" s="152" t="s">
        <v>188</v>
      </c>
      <c r="BI46" s="157">
        <v>1592</v>
      </c>
      <c r="BJ46" s="152" t="s">
        <v>188</v>
      </c>
    </row>
    <row r="47" spans="1:62" ht="13.5" customHeight="1">
      <c r="A47" s="156" t="s">
        <v>22</v>
      </c>
      <c r="B47" s="149" t="s">
        <v>213</v>
      </c>
      <c r="C47" s="150">
        <v>36</v>
      </c>
      <c r="D47" s="151" t="s">
        <v>188</v>
      </c>
      <c r="E47" s="150">
        <v>36</v>
      </c>
      <c r="F47" s="151" t="s">
        <v>188</v>
      </c>
      <c r="G47" s="150">
        <v>36</v>
      </c>
      <c r="H47" s="151" t="s">
        <v>188</v>
      </c>
      <c r="I47" s="150" t="s">
        <v>188</v>
      </c>
      <c r="J47" s="151" t="s">
        <v>23</v>
      </c>
      <c r="K47" s="150">
        <v>36</v>
      </c>
      <c r="L47" s="151" t="s">
        <v>184</v>
      </c>
      <c r="M47" s="150" t="s">
        <v>188</v>
      </c>
      <c r="N47" s="151" t="s">
        <v>189</v>
      </c>
      <c r="O47" s="150">
        <v>180</v>
      </c>
      <c r="P47" s="151" t="s">
        <v>188</v>
      </c>
      <c r="Q47" s="150">
        <v>180</v>
      </c>
      <c r="R47" s="151" t="s">
        <v>188</v>
      </c>
      <c r="S47" s="150">
        <v>180</v>
      </c>
      <c r="T47" s="151" t="s">
        <v>188</v>
      </c>
      <c r="U47" s="150" t="s">
        <v>188</v>
      </c>
      <c r="V47" s="151" t="s">
        <v>23</v>
      </c>
      <c r="W47" s="150">
        <v>180</v>
      </c>
      <c r="X47" s="151" t="s">
        <v>184</v>
      </c>
      <c r="Y47" s="150" t="s">
        <v>188</v>
      </c>
      <c r="Z47" s="151" t="s">
        <v>190</v>
      </c>
      <c r="AA47" s="150">
        <v>1010.7090000000001</v>
      </c>
      <c r="AB47" s="151" t="s">
        <v>188</v>
      </c>
      <c r="AC47" s="150">
        <v>1004.3748000000001</v>
      </c>
      <c r="AD47" s="151" t="s">
        <v>188</v>
      </c>
      <c r="AE47" s="150">
        <v>966.36311999999998</v>
      </c>
      <c r="AF47" s="151" t="s">
        <v>188</v>
      </c>
      <c r="AG47" s="150" t="s">
        <v>188</v>
      </c>
      <c r="AH47" s="151" t="s">
        <v>23</v>
      </c>
      <c r="AI47" s="150">
        <v>965.67012</v>
      </c>
      <c r="AJ47" s="151" t="s">
        <v>184</v>
      </c>
      <c r="AK47" s="150" t="s">
        <v>188</v>
      </c>
      <c r="AL47" s="151" t="s">
        <v>191</v>
      </c>
      <c r="AM47" s="150">
        <v>1440.6153849735599</v>
      </c>
      <c r="AN47" s="151" t="s">
        <v>188</v>
      </c>
      <c r="AO47" s="150">
        <v>1442.6120964072798</v>
      </c>
      <c r="AP47" s="151" t="s">
        <v>188</v>
      </c>
      <c r="AQ47" s="150">
        <v>1448.8276597697197</v>
      </c>
      <c r="AR47" s="151" t="s">
        <v>188</v>
      </c>
      <c r="AS47" s="150" t="s">
        <v>188</v>
      </c>
      <c r="AT47" s="151" t="s">
        <v>23</v>
      </c>
      <c r="AU47" s="150">
        <v>1445.8354293942398</v>
      </c>
      <c r="AV47" s="151" t="s">
        <v>184</v>
      </c>
      <c r="AW47" s="150" t="s">
        <v>188</v>
      </c>
      <c r="AX47" s="151" t="s">
        <v>192</v>
      </c>
      <c r="AY47" s="150">
        <v>1979.57808</v>
      </c>
      <c r="AZ47" s="151" t="s">
        <v>188</v>
      </c>
      <c r="BA47" s="150">
        <v>2015.8498399999999</v>
      </c>
      <c r="BB47" s="151" t="s">
        <v>188</v>
      </c>
      <c r="BC47" s="150">
        <v>2031.5419400000001</v>
      </c>
      <c r="BD47" s="151" t="s">
        <v>188</v>
      </c>
      <c r="BE47" s="150" t="s">
        <v>188</v>
      </c>
      <c r="BF47" s="151" t="s">
        <v>23</v>
      </c>
      <c r="BG47" s="150">
        <v>2046.7544800000001</v>
      </c>
      <c r="BH47" s="151" t="s">
        <v>184</v>
      </c>
      <c r="BI47" s="150" t="s">
        <v>188</v>
      </c>
      <c r="BJ47" s="151" t="s">
        <v>193</v>
      </c>
    </row>
    <row r="48" spans="1:62" ht="13.5" customHeight="1">
      <c r="A48" s="49"/>
      <c r="B48" s="153"/>
      <c r="C48" s="80"/>
      <c r="D48" s="65"/>
      <c r="E48" s="80"/>
      <c r="F48" s="65"/>
      <c r="G48" s="80"/>
      <c r="H48" s="65"/>
      <c r="I48" s="80"/>
      <c r="J48" s="65"/>
      <c r="K48" s="80"/>
      <c r="L48" s="65"/>
      <c r="M48" s="80"/>
      <c r="N48" s="65"/>
      <c r="O48" s="80"/>
      <c r="P48" s="65"/>
      <c r="Q48" s="80"/>
      <c r="R48" s="65"/>
      <c r="S48" s="80"/>
      <c r="T48" s="65"/>
      <c r="U48" s="80"/>
      <c r="V48" s="65"/>
      <c r="W48" s="80"/>
      <c r="X48" s="65"/>
      <c r="Y48" s="80"/>
      <c r="Z48" s="65"/>
      <c r="AA48" s="80"/>
      <c r="AB48" s="65"/>
      <c r="AC48" s="80"/>
      <c r="AD48" s="65"/>
      <c r="AE48" s="80"/>
      <c r="AF48" s="65"/>
      <c r="AG48" s="80"/>
      <c r="AH48" s="65"/>
      <c r="AI48" s="80"/>
      <c r="AJ48" s="65"/>
      <c r="AK48" s="80"/>
      <c r="AL48" s="65"/>
      <c r="AM48" s="80"/>
      <c r="AN48" s="65"/>
      <c r="AO48" s="80"/>
      <c r="AP48" s="65"/>
      <c r="AQ48" s="80"/>
      <c r="AR48" s="65"/>
      <c r="AS48" s="80"/>
      <c r="AT48" s="65"/>
      <c r="AU48" s="80"/>
      <c r="AV48" s="65"/>
      <c r="AW48" s="80"/>
      <c r="AX48" s="65"/>
      <c r="AY48" s="80"/>
      <c r="AZ48" s="65"/>
      <c r="BA48" s="80"/>
      <c r="BB48" s="65"/>
      <c r="BC48" s="80"/>
      <c r="BD48" s="65"/>
      <c r="BE48" s="80"/>
      <c r="BF48" s="65"/>
      <c r="BG48" s="80"/>
      <c r="BH48" s="65"/>
      <c r="BI48" s="80"/>
      <c r="BJ48" s="65"/>
    </row>
    <row r="49" spans="1:62" ht="13.5" customHeight="1">
      <c r="A49" s="217" t="s">
        <v>149</v>
      </c>
      <c r="B49" s="153" t="s">
        <v>188</v>
      </c>
      <c r="C49" s="80"/>
      <c r="D49" s="65"/>
      <c r="E49" s="80"/>
      <c r="F49" s="65"/>
      <c r="G49" s="80"/>
      <c r="H49" s="65"/>
      <c r="I49" s="80"/>
      <c r="J49" s="65"/>
      <c r="K49" s="80"/>
      <c r="L49" s="65"/>
      <c r="M49" s="80"/>
      <c r="N49" s="65"/>
      <c r="O49" s="80"/>
      <c r="P49" s="65"/>
      <c r="Q49" s="80"/>
      <c r="R49" s="65"/>
      <c r="S49" s="80"/>
      <c r="T49" s="65"/>
      <c r="U49" s="80"/>
      <c r="V49" s="65"/>
      <c r="W49" s="80"/>
      <c r="X49" s="65"/>
      <c r="Y49" s="80"/>
      <c r="Z49" s="65"/>
      <c r="AA49" s="80"/>
      <c r="AB49" s="65"/>
      <c r="AC49" s="80"/>
      <c r="AD49" s="65"/>
      <c r="AE49" s="80"/>
      <c r="AF49" s="65"/>
      <c r="AG49" s="80"/>
      <c r="AH49" s="65"/>
      <c r="AI49" s="80"/>
      <c r="AJ49" s="65"/>
      <c r="AK49" s="80"/>
      <c r="AL49" s="65"/>
      <c r="AM49" s="80"/>
      <c r="AN49" s="65"/>
      <c r="AO49" s="80"/>
      <c r="AP49" s="65"/>
      <c r="AQ49" s="80"/>
      <c r="AR49" s="65"/>
      <c r="AS49" s="80"/>
      <c r="AT49" s="65"/>
      <c r="AU49" s="80"/>
      <c r="AV49" s="65"/>
      <c r="AW49" s="80"/>
      <c r="AX49" s="65"/>
      <c r="AY49" s="80"/>
      <c r="AZ49" s="65"/>
      <c r="BA49" s="80"/>
      <c r="BB49" s="65"/>
      <c r="BC49" s="80"/>
      <c r="BD49" s="65"/>
      <c r="BE49" s="80"/>
      <c r="BF49" s="65"/>
      <c r="BG49" s="80"/>
      <c r="BH49" s="65"/>
      <c r="BI49" s="80"/>
      <c r="BJ49" s="65"/>
    </row>
    <row r="50" spans="1:62" ht="13.5" customHeight="1">
      <c r="A50" s="156" t="s">
        <v>155</v>
      </c>
      <c r="B50" s="149" t="s">
        <v>194</v>
      </c>
      <c r="C50" s="150">
        <v>37</v>
      </c>
      <c r="D50" s="151" t="s">
        <v>188</v>
      </c>
      <c r="E50" s="150">
        <v>37</v>
      </c>
      <c r="F50" s="151" t="s">
        <v>188</v>
      </c>
      <c r="G50" s="150">
        <v>37</v>
      </c>
      <c r="H50" s="151" t="s">
        <v>188</v>
      </c>
      <c r="I50" s="150" t="s">
        <v>188</v>
      </c>
      <c r="J50" s="151" t="s">
        <v>23</v>
      </c>
      <c r="K50" s="150">
        <v>37</v>
      </c>
      <c r="L50" s="151" t="s">
        <v>188</v>
      </c>
      <c r="M50" s="150">
        <v>37</v>
      </c>
      <c r="N50" s="151" t="s">
        <v>188</v>
      </c>
      <c r="O50" s="150">
        <v>156.5</v>
      </c>
      <c r="P50" s="151" t="s">
        <v>188</v>
      </c>
      <c r="Q50" s="150">
        <v>156.5</v>
      </c>
      <c r="R50" s="151" t="s">
        <v>188</v>
      </c>
      <c r="S50" s="150">
        <v>128</v>
      </c>
      <c r="T50" s="151" t="s">
        <v>188</v>
      </c>
      <c r="U50" s="150" t="s">
        <v>188</v>
      </c>
      <c r="V50" s="151" t="s">
        <v>23</v>
      </c>
      <c r="W50" s="150">
        <v>128</v>
      </c>
      <c r="X50" s="151" t="s">
        <v>188</v>
      </c>
      <c r="Y50" s="150">
        <v>128</v>
      </c>
      <c r="Z50" s="151" t="s">
        <v>188</v>
      </c>
      <c r="AA50" s="150">
        <v>724.53703703703707</v>
      </c>
      <c r="AB50" s="151" t="s">
        <v>188</v>
      </c>
      <c r="AC50" s="150">
        <v>739.02777777777783</v>
      </c>
      <c r="AD50" s="151" t="s">
        <v>188</v>
      </c>
      <c r="AE50" s="150">
        <v>533.33333333333337</v>
      </c>
      <c r="AF50" s="151" t="s">
        <v>188</v>
      </c>
      <c r="AG50" s="150" t="s">
        <v>188</v>
      </c>
      <c r="AH50" s="151" t="s">
        <v>23</v>
      </c>
      <c r="AI50" s="150">
        <v>497.77777777777777</v>
      </c>
      <c r="AJ50" s="151" t="s">
        <v>188</v>
      </c>
      <c r="AK50" s="150">
        <v>699.25925925925924</v>
      </c>
      <c r="AL50" s="151" t="s">
        <v>188</v>
      </c>
      <c r="AM50" s="150">
        <v>904.22222222222217</v>
      </c>
      <c r="AN50" s="151" t="s">
        <v>188</v>
      </c>
      <c r="AO50" s="150">
        <v>904.22222222222217</v>
      </c>
      <c r="AP50" s="151" t="s">
        <v>188</v>
      </c>
      <c r="AQ50" s="150" t="s">
        <v>188</v>
      </c>
      <c r="AR50" s="151" t="s">
        <v>23</v>
      </c>
      <c r="AS50" s="150" t="s">
        <v>188</v>
      </c>
      <c r="AT50" s="151" t="s">
        <v>23</v>
      </c>
      <c r="AU50" s="150" t="s">
        <v>188</v>
      </c>
      <c r="AV50" s="151" t="s">
        <v>23</v>
      </c>
      <c r="AW50" s="150" t="s">
        <v>188</v>
      </c>
      <c r="AX50" s="151" t="s">
        <v>23</v>
      </c>
      <c r="AY50" s="150" t="s">
        <v>188</v>
      </c>
      <c r="AZ50" s="151" t="s">
        <v>23</v>
      </c>
      <c r="BA50" s="150" t="s">
        <v>188</v>
      </c>
      <c r="BB50" s="151" t="s">
        <v>23</v>
      </c>
      <c r="BC50" s="150" t="s">
        <v>188</v>
      </c>
      <c r="BD50" s="151" t="s">
        <v>23</v>
      </c>
      <c r="BE50" s="150" t="s">
        <v>188</v>
      </c>
      <c r="BF50" s="151" t="s">
        <v>23</v>
      </c>
      <c r="BG50" s="150" t="s">
        <v>188</v>
      </c>
      <c r="BH50" s="151" t="s">
        <v>23</v>
      </c>
      <c r="BI50" s="150" t="s">
        <v>188</v>
      </c>
      <c r="BJ50" s="151" t="s">
        <v>23</v>
      </c>
    </row>
    <row r="51" spans="1:62" ht="13.5" customHeight="1">
      <c r="A51" s="156" t="s">
        <v>156</v>
      </c>
      <c r="B51" s="149">
        <v>1</v>
      </c>
      <c r="C51" s="150">
        <v>35.799999999999997</v>
      </c>
      <c r="D51" s="151" t="s">
        <v>188</v>
      </c>
      <c r="E51" s="150">
        <v>35.799999999999997</v>
      </c>
      <c r="F51" s="151" t="s">
        <v>188</v>
      </c>
      <c r="G51" s="150">
        <v>35.799999999999997</v>
      </c>
      <c r="H51" s="151" t="s">
        <v>188</v>
      </c>
      <c r="I51" s="150" t="s">
        <v>188</v>
      </c>
      <c r="J51" s="151" t="s">
        <v>23</v>
      </c>
      <c r="K51" s="150">
        <v>35.799999999999997</v>
      </c>
      <c r="L51" s="151" t="s">
        <v>188</v>
      </c>
      <c r="M51" s="150">
        <v>35.799999999999997</v>
      </c>
      <c r="N51" s="151" t="s">
        <v>188</v>
      </c>
      <c r="O51" s="150">
        <v>179</v>
      </c>
      <c r="P51" s="151" t="s">
        <v>188</v>
      </c>
      <c r="Q51" s="150">
        <v>179</v>
      </c>
      <c r="R51" s="151" t="s">
        <v>188</v>
      </c>
      <c r="S51" s="150">
        <v>179</v>
      </c>
      <c r="T51" s="151" t="s">
        <v>188</v>
      </c>
      <c r="U51" s="150" t="s">
        <v>188</v>
      </c>
      <c r="V51" s="151" t="s">
        <v>23</v>
      </c>
      <c r="W51" s="150">
        <v>179</v>
      </c>
      <c r="X51" s="151" t="s">
        <v>188</v>
      </c>
      <c r="Y51" s="150">
        <v>179</v>
      </c>
      <c r="Z51" s="151" t="s">
        <v>188</v>
      </c>
      <c r="AA51" s="150">
        <v>775.07</v>
      </c>
      <c r="AB51" s="151" t="s">
        <v>188</v>
      </c>
      <c r="AC51" s="150">
        <v>716</v>
      </c>
      <c r="AD51" s="151" t="s">
        <v>188</v>
      </c>
      <c r="AE51" s="150">
        <v>656.93</v>
      </c>
      <c r="AF51" s="151" t="s">
        <v>188</v>
      </c>
      <c r="AG51" s="150" t="s">
        <v>188</v>
      </c>
      <c r="AH51" s="151" t="s">
        <v>23</v>
      </c>
      <c r="AI51" s="150">
        <v>596.07000000000005</v>
      </c>
      <c r="AJ51" s="151" t="s">
        <v>188</v>
      </c>
      <c r="AK51" s="150">
        <v>596.07000000000005</v>
      </c>
      <c r="AL51" s="151" t="s">
        <v>188</v>
      </c>
      <c r="AM51" s="150" t="s">
        <v>188</v>
      </c>
      <c r="AN51" s="151" t="s">
        <v>23</v>
      </c>
      <c r="AO51" s="150" t="s">
        <v>188</v>
      </c>
      <c r="AP51" s="151" t="s">
        <v>23</v>
      </c>
      <c r="AQ51" s="150" t="s">
        <v>188</v>
      </c>
      <c r="AR51" s="151" t="s">
        <v>23</v>
      </c>
      <c r="AS51" s="150" t="s">
        <v>188</v>
      </c>
      <c r="AT51" s="151" t="s">
        <v>23</v>
      </c>
      <c r="AU51" s="150" t="s">
        <v>188</v>
      </c>
      <c r="AV51" s="151" t="s">
        <v>23</v>
      </c>
      <c r="AW51" s="150" t="s">
        <v>188</v>
      </c>
      <c r="AX51" s="151" t="s">
        <v>23</v>
      </c>
      <c r="AY51" s="150">
        <v>962</v>
      </c>
      <c r="AZ51" s="151" t="s">
        <v>188</v>
      </c>
      <c r="BA51" s="150">
        <v>962</v>
      </c>
      <c r="BB51" s="151" t="s">
        <v>188</v>
      </c>
      <c r="BC51" s="150" t="s">
        <v>188</v>
      </c>
      <c r="BD51" s="151" t="s">
        <v>23</v>
      </c>
      <c r="BE51" s="150" t="s">
        <v>188</v>
      </c>
      <c r="BF51" s="151" t="s">
        <v>23</v>
      </c>
      <c r="BG51" s="150" t="s">
        <v>188</v>
      </c>
      <c r="BH51" s="151" t="s">
        <v>23</v>
      </c>
      <c r="BI51" s="150" t="s">
        <v>188</v>
      </c>
      <c r="BJ51" s="151" t="s">
        <v>23</v>
      </c>
    </row>
    <row r="52" spans="1:62" ht="13.5" customHeight="1">
      <c r="A52" s="49" t="s">
        <v>127</v>
      </c>
      <c r="B52" s="153" t="s">
        <v>188</v>
      </c>
      <c r="C52" s="157">
        <v>38</v>
      </c>
      <c r="D52" s="152" t="s">
        <v>188</v>
      </c>
      <c r="E52" s="157">
        <v>38</v>
      </c>
      <c r="F52" s="152" t="s">
        <v>188</v>
      </c>
      <c r="G52" s="157">
        <v>38</v>
      </c>
      <c r="H52" s="152" t="s">
        <v>188</v>
      </c>
      <c r="I52" s="157" t="s">
        <v>188</v>
      </c>
      <c r="J52" s="152" t="s">
        <v>23</v>
      </c>
      <c r="K52" s="157">
        <v>38</v>
      </c>
      <c r="L52" s="152" t="s">
        <v>188</v>
      </c>
      <c r="M52" s="157" t="s">
        <v>188</v>
      </c>
      <c r="N52" s="152" t="s">
        <v>23</v>
      </c>
      <c r="O52" s="157">
        <v>190</v>
      </c>
      <c r="P52" s="152" t="s">
        <v>188</v>
      </c>
      <c r="Q52" s="157">
        <v>190</v>
      </c>
      <c r="R52" s="152" t="s">
        <v>188</v>
      </c>
      <c r="S52" s="157">
        <v>190</v>
      </c>
      <c r="T52" s="152" t="s">
        <v>188</v>
      </c>
      <c r="U52" s="157" t="s">
        <v>188</v>
      </c>
      <c r="V52" s="152" t="s">
        <v>23</v>
      </c>
      <c r="W52" s="157">
        <v>190</v>
      </c>
      <c r="X52" s="152" t="s">
        <v>188</v>
      </c>
      <c r="Y52" s="157" t="s">
        <v>188</v>
      </c>
      <c r="Z52" s="152" t="s">
        <v>23</v>
      </c>
      <c r="AA52" s="157" t="s">
        <v>188</v>
      </c>
      <c r="AB52" s="152" t="s">
        <v>23</v>
      </c>
      <c r="AC52" s="157" t="s">
        <v>188</v>
      </c>
      <c r="AD52" s="152" t="s">
        <v>23</v>
      </c>
      <c r="AE52" s="157" t="s">
        <v>188</v>
      </c>
      <c r="AF52" s="152" t="s">
        <v>23</v>
      </c>
      <c r="AG52" s="157" t="s">
        <v>188</v>
      </c>
      <c r="AH52" s="152" t="s">
        <v>23</v>
      </c>
      <c r="AI52" s="157" t="s">
        <v>188</v>
      </c>
      <c r="AJ52" s="152" t="s">
        <v>23</v>
      </c>
      <c r="AK52" s="157" t="s">
        <v>188</v>
      </c>
      <c r="AL52" s="152" t="s">
        <v>23</v>
      </c>
      <c r="AM52" s="157" t="s">
        <v>188</v>
      </c>
      <c r="AN52" s="152" t="s">
        <v>23</v>
      </c>
      <c r="AO52" s="157" t="s">
        <v>188</v>
      </c>
      <c r="AP52" s="152" t="s">
        <v>23</v>
      </c>
      <c r="AQ52" s="157" t="s">
        <v>188</v>
      </c>
      <c r="AR52" s="152" t="s">
        <v>23</v>
      </c>
      <c r="AS52" s="157" t="s">
        <v>188</v>
      </c>
      <c r="AT52" s="152" t="s">
        <v>23</v>
      </c>
      <c r="AU52" s="157" t="s">
        <v>188</v>
      </c>
      <c r="AV52" s="152" t="s">
        <v>23</v>
      </c>
      <c r="AW52" s="157" t="s">
        <v>188</v>
      </c>
      <c r="AX52" s="152" t="s">
        <v>23</v>
      </c>
      <c r="AY52" s="157">
        <v>1265</v>
      </c>
      <c r="AZ52" s="152" t="s">
        <v>188</v>
      </c>
      <c r="BA52" s="157">
        <v>1265</v>
      </c>
      <c r="BB52" s="152" t="s">
        <v>188</v>
      </c>
      <c r="BC52" s="157">
        <v>1265</v>
      </c>
      <c r="BD52" s="152" t="s">
        <v>188</v>
      </c>
      <c r="BE52" s="157" t="s">
        <v>188</v>
      </c>
      <c r="BF52" s="152" t="s">
        <v>23</v>
      </c>
      <c r="BG52" s="157">
        <v>1265</v>
      </c>
      <c r="BH52" s="152" t="s">
        <v>188</v>
      </c>
      <c r="BI52" s="157" t="s">
        <v>188</v>
      </c>
      <c r="BJ52" s="152" t="s">
        <v>23</v>
      </c>
    </row>
    <row r="53" spans="1:62" ht="13.5" customHeight="1">
      <c r="A53" s="49" t="s">
        <v>128</v>
      </c>
      <c r="B53" s="153">
        <v>2</v>
      </c>
      <c r="C53" s="157">
        <v>38</v>
      </c>
      <c r="D53" s="152" t="s">
        <v>188</v>
      </c>
      <c r="E53" s="157">
        <v>38</v>
      </c>
      <c r="F53" s="152" t="s">
        <v>188</v>
      </c>
      <c r="G53" s="157">
        <v>38</v>
      </c>
      <c r="H53" s="152" t="s">
        <v>188</v>
      </c>
      <c r="I53" s="157" t="s">
        <v>188</v>
      </c>
      <c r="J53" s="152" t="s">
        <v>23</v>
      </c>
      <c r="K53" s="157">
        <v>38</v>
      </c>
      <c r="L53" s="152" t="s">
        <v>188</v>
      </c>
      <c r="M53" s="157" t="s">
        <v>188</v>
      </c>
      <c r="N53" s="152" t="s">
        <v>23</v>
      </c>
      <c r="O53" s="157">
        <v>190</v>
      </c>
      <c r="P53" s="152" t="s">
        <v>188</v>
      </c>
      <c r="Q53" s="157">
        <v>190</v>
      </c>
      <c r="R53" s="152" t="s">
        <v>188</v>
      </c>
      <c r="S53" s="157">
        <v>190</v>
      </c>
      <c r="T53" s="152" t="s">
        <v>188</v>
      </c>
      <c r="U53" s="157" t="s">
        <v>188</v>
      </c>
      <c r="V53" s="152" t="s">
        <v>23</v>
      </c>
      <c r="W53" s="157">
        <v>190</v>
      </c>
      <c r="X53" s="152" t="s">
        <v>188</v>
      </c>
      <c r="Y53" s="157" t="s">
        <v>188</v>
      </c>
      <c r="Z53" s="152" t="s">
        <v>23</v>
      </c>
      <c r="AA53" s="157">
        <v>855</v>
      </c>
      <c r="AB53" s="152" t="s">
        <v>188</v>
      </c>
      <c r="AC53" s="157">
        <v>855</v>
      </c>
      <c r="AD53" s="152" t="s">
        <v>188</v>
      </c>
      <c r="AE53" s="157">
        <v>855</v>
      </c>
      <c r="AF53" s="152" t="s">
        <v>188</v>
      </c>
      <c r="AG53" s="157" t="s">
        <v>188</v>
      </c>
      <c r="AH53" s="152" t="s">
        <v>23</v>
      </c>
      <c r="AI53" s="157">
        <v>855</v>
      </c>
      <c r="AJ53" s="152" t="s">
        <v>188</v>
      </c>
      <c r="AK53" s="157" t="s">
        <v>188</v>
      </c>
      <c r="AL53" s="152" t="s">
        <v>23</v>
      </c>
      <c r="AM53" s="157">
        <v>1045</v>
      </c>
      <c r="AN53" s="152" t="s">
        <v>188</v>
      </c>
      <c r="AO53" s="157">
        <v>1045</v>
      </c>
      <c r="AP53" s="152" t="s">
        <v>188</v>
      </c>
      <c r="AQ53" s="157">
        <v>1045</v>
      </c>
      <c r="AR53" s="152" t="s">
        <v>188</v>
      </c>
      <c r="AS53" s="157" t="s">
        <v>188</v>
      </c>
      <c r="AT53" s="152" t="s">
        <v>23</v>
      </c>
      <c r="AU53" s="157">
        <v>1045</v>
      </c>
      <c r="AV53" s="152" t="s">
        <v>188</v>
      </c>
      <c r="AW53" s="157" t="s">
        <v>188</v>
      </c>
      <c r="AX53" s="152" t="s">
        <v>23</v>
      </c>
      <c r="AY53" s="157">
        <v>1365</v>
      </c>
      <c r="AZ53" s="152" t="s">
        <v>188</v>
      </c>
      <c r="BA53" s="157">
        <v>1365</v>
      </c>
      <c r="BB53" s="152" t="s">
        <v>188</v>
      </c>
      <c r="BC53" s="157">
        <v>1365</v>
      </c>
      <c r="BD53" s="152" t="s">
        <v>188</v>
      </c>
      <c r="BE53" s="157" t="s">
        <v>188</v>
      </c>
      <c r="BF53" s="152" t="s">
        <v>23</v>
      </c>
      <c r="BG53" s="157">
        <v>1365</v>
      </c>
      <c r="BH53" s="152" t="s">
        <v>188</v>
      </c>
      <c r="BI53" s="157" t="s">
        <v>188</v>
      </c>
      <c r="BJ53" s="152" t="s">
        <v>23</v>
      </c>
    </row>
    <row r="54" spans="1:62" ht="10.199999999999999">
      <c r="A54" s="49"/>
      <c r="B54" s="153"/>
      <c r="C54" s="81"/>
      <c r="D54" s="66"/>
      <c r="E54" s="81"/>
      <c r="F54" s="66"/>
      <c r="G54" s="81"/>
      <c r="H54" s="66"/>
      <c r="I54" s="81"/>
      <c r="J54" s="66"/>
      <c r="K54" s="81"/>
      <c r="L54" s="66"/>
      <c r="M54" s="81"/>
      <c r="N54" s="66"/>
      <c r="O54" s="81"/>
      <c r="P54" s="66"/>
      <c r="Q54" s="81"/>
      <c r="R54" s="66"/>
      <c r="S54" s="81"/>
      <c r="T54" s="66"/>
      <c r="U54" s="81"/>
      <c r="V54" s="66"/>
      <c r="W54" s="81"/>
      <c r="X54" s="66"/>
      <c r="Y54" s="81"/>
      <c r="Z54" s="66"/>
      <c r="AA54" s="81"/>
      <c r="AB54" s="66"/>
      <c r="AC54" s="81"/>
      <c r="AD54" s="66"/>
      <c r="AE54" s="81"/>
      <c r="AF54" s="66"/>
      <c r="AG54" s="81"/>
      <c r="AH54" s="66"/>
      <c r="AI54" s="81"/>
      <c r="AJ54" s="66"/>
      <c r="AK54" s="81"/>
      <c r="AL54" s="66"/>
      <c r="AM54" s="81"/>
      <c r="AN54" s="66"/>
      <c r="AO54" s="81"/>
      <c r="AP54" s="66"/>
      <c r="AQ54" s="81"/>
      <c r="AR54" s="66"/>
      <c r="AS54" s="81"/>
      <c r="AT54" s="66"/>
      <c r="AU54" s="81"/>
      <c r="AV54" s="66"/>
      <c r="AW54" s="81"/>
      <c r="AX54" s="66"/>
      <c r="AY54" s="81"/>
      <c r="AZ54" s="66"/>
      <c r="BA54" s="81"/>
      <c r="BB54" s="66"/>
      <c r="BC54" s="81"/>
      <c r="BD54" s="66"/>
      <c r="BE54" s="81"/>
      <c r="BF54" s="66"/>
      <c r="BG54" s="81"/>
      <c r="BH54" s="66"/>
      <c r="BI54" s="81"/>
      <c r="BJ54" s="66"/>
    </row>
    <row r="55" spans="1:62" ht="10.199999999999999">
      <c r="A55" s="158" t="s">
        <v>38</v>
      </c>
      <c r="B55" s="159" t="s">
        <v>188</v>
      </c>
      <c r="C55" s="160">
        <v>40.67763816530308</v>
      </c>
      <c r="D55" s="161" t="s">
        <v>188</v>
      </c>
      <c r="E55" s="160">
        <v>37.885434694498713</v>
      </c>
      <c r="F55" s="161" t="s">
        <v>188</v>
      </c>
      <c r="G55" s="160">
        <v>37.619196240844012</v>
      </c>
      <c r="H55" s="161" t="s">
        <v>188</v>
      </c>
      <c r="I55" s="160">
        <v>39.008023024460606</v>
      </c>
      <c r="J55" s="161" t="s">
        <v>188</v>
      </c>
      <c r="K55" s="160">
        <v>37.310287149934929</v>
      </c>
      <c r="L55" s="161" t="s">
        <v>188</v>
      </c>
      <c r="M55" s="160">
        <v>37.98104820265641</v>
      </c>
      <c r="N55" s="161" t="s">
        <v>188</v>
      </c>
      <c r="O55" s="160">
        <v>195.5969857902864</v>
      </c>
      <c r="P55" s="161" t="s">
        <v>188</v>
      </c>
      <c r="Q55" s="160">
        <v>183.18405009542286</v>
      </c>
      <c r="R55" s="161" t="s">
        <v>188</v>
      </c>
      <c r="S55" s="160">
        <v>181.41943241290681</v>
      </c>
      <c r="T55" s="161" t="s">
        <v>188</v>
      </c>
      <c r="U55" s="160">
        <v>188.64412663453334</v>
      </c>
      <c r="V55" s="161" t="s">
        <v>188</v>
      </c>
      <c r="W55" s="160">
        <v>179.73286991290684</v>
      </c>
      <c r="X55" s="161" t="s">
        <v>188</v>
      </c>
      <c r="Y55" s="160">
        <v>181.90145065381333</v>
      </c>
      <c r="Z55" s="161" t="s">
        <v>188</v>
      </c>
      <c r="AA55" s="160">
        <v>1044.2226436784008</v>
      </c>
      <c r="AB55" s="161" t="s">
        <v>188</v>
      </c>
      <c r="AC55" s="160">
        <v>783.63763660052666</v>
      </c>
      <c r="AD55" s="161" t="s">
        <v>188</v>
      </c>
      <c r="AE55" s="160">
        <v>703.36639465923895</v>
      </c>
      <c r="AF55" s="161" t="s">
        <v>188</v>
      </c>
      <c r="AG55" s="160">
        <v>734.46106423948106</v>
      </c>
      <c r="AH55" s="161" t="s">
        <v>188</v>
      </c>
      <c r="AI55" s="160">
        <v>656.77700615619938</v>
      </c>
      <c r="AJ55" s="161" t="s">
        <v>188</v>
      </c>
      <c r="AK55" s="160">
        <v>655.81928035691465</v>
      </c>
      <c r="AL55" s="161" t="s">
        <v>188</v>
      </c>
      <c r="AM55" s="160">
        <v>1294.7464491843805</v>
      </c>
      <c r="AN55" s="161" t="s">
        <v>188</v>
      </c>
      <c r="AO55" s="160">
        <v>1183.6042409585739</v>
      </c>
      <c r="AP55" s="161" t="s">
        <v>188</v>
      </c>
      <c r="AQ55" s="160">
        <v>1178.1050320167897</v>
      </c>
      <c r="AR55" s="161" t="s">
        <v>188</v>
      </c>
      <c r="AS55" s="160">
        <v>1114.2874897274039</v>
      </c>
      <c r="AT55" s="161" t="s">
        <v>188</v>
      </c>
      <c r="AU55" s="160">
        <v>1135.1415878730461</v>
      </c>
      <c r="AV55" s="161" t="s">
        <v>188</v>
      </c>
      <c r="AW55" s="160">
        <v>1159.9037475163327</v>
      </c>
      <c r="AX55" s="161" t="s">
        <v>188</v>
      </c>
      <c r="AY55" s="160">
        <v>1629.9867851380704</v>
      </c>
      <c r="AZ55" s="161" t="s">
        <v>188</v>
      </c>
      <c r="BA55" s="160">
        <v>1621.6140342313449</v>
      </c>
      <c r="BB55" s="161" t="s">
        <v>188</v>
      </c>
      <c r="BC55" s="160">
        <v>1644.5861747236734</v>
      </c>
      <c r="BD55" s="161" t="s">
        <v>188</v>
      </c>
      <c r="BE55" s="160">
        <v>1595.1141618727886</v>
      </c>
      <c r="BF55" s="161" t="s">
        <v>188</v>
      </c>
      <c r="BG55" s="160">
        <v>1640.121122717861</v>
      </c>
      <c r="BH55" s="161" t="s">
        <v>188</v>
      </c>
      <c r="BI55" s="160">
        <v>1634.8251120558482</v>
      </c>
      <c r="BJ55" s="161" t="s">
        <v>188</v>
      </c>
    </row>
    <row r="56" spans="1:62" ht="10.199999999999999">
      <c r="A56" s="158" t="s">
        <v>126</v>
      </c>
      <c r="B56" s="159" t="s">
        <v>188</v>
      </c>
      <c r="C56" s="160">
        <v>41.178947368421049</v>
      </c>
      <c r="D56" s="161" t="s">
        <v>188</v>
      </c>
      <c r="E56" s="160">
        <v>37.585714285714282</v>
      </c>
      <c r="F56" s="161" t="s">
        <v>188</v>
      </c>
      <c r="G56" s="160">
        <v>37.209999999999994</v>
      </c>
      <c r="H56" s="161" t="s">
        <v>188</v>
      </c>
      <c r="I56" s="160">
        <v>38.9</v>
      </c>
      <c r="J56" s="161" t="s">
        <v>188</v>
      </c>
      <c r="K56" s="160">
        <v>37.096499999999999</v>
      </c>
      <c r="L56" s="161" t="s">
        <v>188</v>
      </c>
      <c r="M56" s="160">
        <v>38.070624999999993</v>
      </c>
      <c r="N56" s="161" t="s">
        <v>188</v>
      </c>
      <c r="O56" s="160">
        <v>196.55263157894737</v>
      </c>
      <c r="P56" s="161" t="s">
        <v>188</v>
      </c>
      <c r="Q56" s="160">
        <v>180.33333333333334</v>
      </c>
      <c r="R56" s="161" t="s">
        <v>188</v>
      </c>
      <c r="S56" s="160">
        <v>177.47368421052633</v>
      </c>
      <c r="T56" s="161" t="s">
        <v>188</v>
      </c>
      <c r="U56" s="160">
        <v>187.28571428571428</v>
      </c>
      <c r="V56" s="161" t="s">
        <v>188</v>
      </c>
      <c r="W56" s="160">
        <v>176.82368421052632</v>
      </c>
      <c r="X56" s="161" t="s">
        <v>188</v>
      </c>
      <c r="Y56" s="160">
        <v>180.24333333333334</v>
      </c>
      <c r="Z56" s="161" t="s">
        <v>188</v>
      </c>
      <c r="AA56" s="160">
        <v>1093.3545315904139</v>
      </c>
      <c r="AB56" s="161" t="s">
        <v>188</v>
      </c>
      <c r="AC56" s="160">
        <v>762.4507181787493</v>
      </c>
      <c r="AD56" s="161" t="s">
        <v>188</v>
      </c>
      <c r="AE56" s="160">
        <v>667.9648876689613</v>
      </c>
      <c r="AF56" s="161" t="s">
        <v>188</v>
      </c>
      <c r="AG56" s="160">
        <v>743.15</v>
      </c>
      <c r="AH56" s="161" t="s">
        <v>188</v>
      </c>
      <c r="AI56" s="160">
        <v>634.81670077934746</v>
      </c>
      <c r="AJ56" s="161" t="s">
        <v>188</v>
      </c>
      <c r="AK56" s="160">
        <v>669.71860371988055</v>
      </c>
      <c r="AL56" s="161" t="s">
        <v>188</v>
      </c>
      <c r="AM56" s="160">
        <v>1273.7022222222222</v>
      </c>
      <c r="AN56" s="161" t="s">
        <v>188</v>
      </c>
      <c r="AO56" s="160">
        <v>1059.1292929292931</v>
      </c>
      <c r="AP56" s="161" t="s">
        <v>188</v>
      </c>
      <c r="AQ56" s="160">
        <v>1041.1111111111111</v>
      </c>
      <c r="AR56" s="161" t="s">
        <v>188</v>
      </c>
      <c r="AS56" s="160">
        <v>1134.7</v>
      </c>
      <c r="AT56" s="161" t="s">
        <v>188</v>
      </c>
      <c r="AU56" s="160">
        <v>1033.6444444444444</v>
      </c>
      <c r="AV56" s="161" t="s">
        <v>188</v>
      </c>
      <c r="AW56" s="160">
        <v>1120.5714285714287</v>
      </c>
      <c r="AX56" s="161" t="s">
        <v>188</v>
      </c>
      <c r="AY56" s="160">
        <v>1568.4</v>
      </c>
      <c r="AZ56" s="161" t="s">
        <v>188</v>
      </c>
      <c r="BA56" s="160">
        <v>1550.7647058823529</v>
      </c>
      <c r="BB56" s="161" t="s">
        <v>188</v>
      </c>
      <c r="BC56" s="160">
        <v>1584.6875</v>
      </c>
      <c r="BD56" s="161" t="s">
        <v>188</v>
      </c>
      <c r="BE56" s="160">
        <v>1592.05</v>
      </c>
      <c r="BF56" s="161" t="s">
        <v>188</v>
      </c>
      <c r="BG56" s="160">
        <v>1570.8666666666666</v>
      </c>
      <c r="BH56" s="161" t="s">
        <v>188</v>
      </c>
      <c r="BI56" s="160">
        <v>1610.2307692307693</v>
      </c>
      <c r="BJ56" s="161" t="s">
        <v>188</v>
      </c>
    </row>
    <row r="57" spans="1:62" ht="12.75" customHeight="1">
      <c r="A57" s="50"/>
      <c r="B57" s="153"/>
      <c r="C57" s="82"/>
      <c r="D57" s="67"/>
      <c r="E57" s="82"/>
      <c r="F57" s="67"/>
      <c r="G57" s="82"/>
      <c r="H57" s="67"/>
      <c r="I57" s="82"/>
      <c r="J57" s="67"/>
      <c r="K57" s="82"/>
      <c r="L57" s="67"/>
      <c r="M57" s="82"/>
      <c r="N57" s="67"/>
      <c r="O57" s="82"/>
      <c r="P57" s="67"/>
      <c r="Q57" s="82"/>
      <c r="R57" s="67"/>
      <c r="S57" s="82"/>
      <c r="T57" s="67"/>
      <c r="U57" s="82"/>
      <c r="V57" s="67"/>
      <c r="W57" s="82"/>
      <c r="X57" s="67"/>
      <c r="Y57" s="82"/>
      <c r="Z57" s="67"/>
      <c r="AA57" s="82"/>
      <c r="AB57" s="67"/>
      <c r="AC57" s="82"/>
      <c r="AD57" s="67"/>
      <c r="AE57" s="82"/>
      <c r="AF57" s="67"/>
      <c r="AG57" s="82"/>
      <c r="AH57" s="67"/>
      <c r="AI57" s="82"/>
      <c r="AJ57" s="67"/>
      <c r="AK57" s="82"/>
      <c r="AL57" s="67"/>
      <c r="AM57" s="82"/>
      <c r="AN57" s="67"/>
      <c r="AO57" s="82"/>
      <c r="AP57" s="67"/>
      <c r="AQ57" s="82"/>
      <c r="AR57" s="67"/>
      <c r="AS57" s="82"/>
      <c r="AT57" s="67"/>
      <c r="AU57" s="82"/>
      <c r="AV57" s="67"/>
      <c r="AW57" s="82"/>
      <c r="AX57" s="67"/>
      <c r="AY57" s="82"/>
      <c r="AZ57" s="67"/>
      <c r="BA57" s="82"/>
      <c r="BB57" s="67"/>
      <c r="BC57" s="82"/>
      <c r="BD57" s="67"/>
      <c r="BE57" s="82"/>
      <c r="BF57" s="67"/>
      <c r="BG57" s="82"/>
      <c r="BH57" s="67"/>
      <c r="BI57" s="82"/>
      <c r="BJ57" s="67"/>
    </row>
    <row r="58" spans="1:62" ht="10.199999999999999">
      <c r="A58" s="23" t="s">
        <v>71</v>
      </c>
      <c r="B58" s="153" t="s">
        <v>188</v>
      </c>
      <c r="C58" s="82"/>
      <c r="D58" s="67"/>
      <c r="E58" s="82"/>
      <c r="F58" s="67"/>
      <c r="G58" s="82"/>
      <c r="H58" s="67"/>
      <c r="I58" s="82"/>
      <c r="J58" s="67"/>
      <c r="K58" s="82"/>
      <c r="L58" s="67"/>
      <c r="M58" s="82"/>
      <c r="N58" s="67"/>
      <c r="O58" s="82"/>
      <c r="P58" s="67"/>
      <c r="Q58" s="82"/>
      <c r="R58" s="67"/>
      <c r="S58" s="82"/>
      <c r="T58" s="67"/>
      <c r="U58" s="82"/>
      <c r="V58" s="67"/>
      <c r="W58" s="82"/>
      <c r="X58" s="67"/>
      <c r="Y58" s="82"/>
      <c r="Z58" s="67"/>
      <c r="AA58" s="82"/>
      <c r="AB58" s="67"/>
      <c r="AC58" s="82"/>
      <c r="AD58" s="67"/>
      <c r="AE58" s="82"/>
      <c r="AF58" s="67"/>
      <c r="AG58" s="82"/>
      <c r="AH58" s="67"/>
      <c r="AI58" s="82"/>
      <c r="AJ58" s="67"/>
      <c r="AK58" s="82"/>
      <c r="AL58" s="67"/>
      <c r="AM58" s="82"/>
      <c r="AN58" s="67"/>
      <c r="AO58" s="82"/>
      <c r="AP58" s="67"/>
      <c r="AQ58" s="82"/>
      <c r="AR58" s="67"/>
      <c r="AS58" s="82"/>
      <c r="AT58" s="67"/>
      <c r="AU58" s="82"/>
      <c r="AV58" s="67"/>
      <c r="AW58" s="82"/>
      <c r="AX58" s="67"/>
      <c r="AY58" s="82"/>
      <c r="AZ58" s="67"/>
      <c r="BA58" s="82"/>
      <c r="BB58" s="67"/>
      <c r="BC58" s="82"/>
      <c r="BD58" s="67"/>
      <c r="BE58" s="82"/>
      <c r="BF58" s="67"/>
      <c r="BG58" s="82"/>
      <c r="BH58" s="67"/>
      <c r="BI58" s="82"/>
      <c r="BJ58" s="67"/>
    </row>
    <row r="59" spans="1:62" ht="10.199999999999999">
      <c r="A59" s="156" t="s">
        <v>50</v>
      </c>
      <c r="B59" s="149" t="s">
        <v>188</v>
      </c>
      <c r="C59" s="150" t="s">
        <v>188</v>
      </c>
      <c r="D59" s="151" t="s">
        <v>0</v>
      </c>
      <c r="E59" s="150" t="s">
        <v>188</v>
      </c>
      <c r="F59" s="151" t="s">
        <v>0</v>
      </c>
      <c r="G59" s="150" t="s">
        <v>188</v>
      </c>
      <c r="H59" s="151" t="s">
        <v>0</v>
      </c>
      <c r="I59" s="150" t="s">
        <v>188</v>
      </c>
      <c r="J59" s="151" t="s">
        <v>0</v>
      </c>
      <c r="K59" s="150" t="s">
        <v>188</v>
      </c>
      <c r="L59" s="151" t="s">
        <v>0</v>
      </c>
      <c r="M59" s="150" t="s">
        <v>188</v>
      </c>
      <c r="N59" s="151" t="s">
        <v>0</v>
      </c>
      <c r="O59" s="150" t="s">
        <v>188</v>
      </c>
      <c r="P59" s="151" t="s">
        <v>0</v>
      </c>
      <c r="Q59" s="150" t="s">
        <v>188</v>
      </c>
      <c r="R59" s="151" t="s">
        <v>0</v>
      </c>
      <c r="S59" s="150" t="s">
        <v>188</v>
      </c>
      <c r="T59" s="151" t="s">
        <v>0</v>
      </c>
      <c r="U59" s="150" t="s">
        <v>188</v>
      </c>
      <c r="V59" s="151" t="s">
        <v>0</v>
      </c>
      <c r="W59" s="150" t="s">
        <v>188</v>
      </c>
      <c r="X59" s="151" t="s">
        <v>0</v>
      </c>
      <c r="Y59" s="150" t="s">
        <v>188</v>
      </c>
      <c r="Z59" s="151" t="s">
        <v>0</v>
      </c>
      <c r="AA59" s="150" t="s">
        <v>188</v>
      </c>
      <c r="AB59" s="151" t="s">
        <v>0</v>
      </c>
      <c r="AC59" s="150" t="s">
        <v>188</v>
      </c>
      <c r="AD59" s="151" t="s">
        <v>0</v>
      </c>
      <c r="AE59" s="150" t="s">
        <v>188</v>
      </c>
      <c r="AF59" s="151" t="s">
        <v>0</v>
      </c>
      <c r="AG59" s="150" t="s">
        <v>188</v>
      </c>
      <c r="AH59" s="151" t="s">
        <v>0</v>
      </c>
      <c r="AI59" s="150" t="s">
        <v>188</v>
      </c>
      <c r="AJ59" s="151" t="s">
        <v>0</v>
      </c>
      <c r="AK59" s="150" t="s">
        <v>188</v>
      </c>
      <c r="AL59" s="151" t="s">
        <v>0</v>
      </c>
      <c r="AM59" s="150" t="s">
        <v>188</v>
      </c>
      <c r="AN59" s="151" t="s">
        <v>0</v>
      </c>
      <c r="AO59" s="150" t="s">
        <v>188</v>
      </c>
      <c r="AP59" s="151" t="s">
        <v>0</v>
      </c>
      <c r="AQ59" s="150" t="s">
        <v>188</v>
      </c>
      <c r="AR59" s="151" t="s">
        <v>0</v>
      </c>
      <c r="AS59" s="150" t="s">
        <v>188</v>
      </c>
      <c r="AT59" s="151" t="s">
        <v>0</v>
      </c>
      <c r="AU59" s="150" t="s">
        <v>188</v>
      </c>
      <c r="AV59" s="151" t="s">
        <v>0</v>
      </c>
      <c r="AW59" s="150" t="s">
        <v>188</v>
      </c>
      <c r="AX59" s="151" t="s">
        <v>0</v>
      </c>
      <c r="AY59" s="150" t="s">
        <v>188</v>
      </c>
      <c r="AZ59" s="151" t="s">
        <v>0</v>
      </c>
      <c r="BA59" s="150" t="s">
        <v>188</v>
      </c>
      <c r="BB59" s="151" t="s">
        <v>0</v>
      </c>
      <c r="BC59" s="150" t="s">
        <v>188</v>
      </c>
      <c r="BD59" s="151" t="s">
        <v>0</v>
      </c>
      <c r="BE59" s="150" t="s">
        <v>188</v>
      </c>
      <c r="BF59" s="151" t="s">
        <v>0</v>
      </c>
      <c r="BG59" s="150" t="s">
        <v>188</v>
      </c>
      <c r="BH59" s="151" t="s">
        <v>0</v>
      </c>
      <c r="BI59" s="150" t="s">
        <v>188</v>
      </c>
      <c r="BJ59" s="151" t="s">
        <v>0</v>
      </c>
    </row>
    <row r="60" spans="1:62" ht="10.199999999999999">
      <c r="A60" s="156" t="s">
        <v>40</v>
      </c>
      <c r="B60" s="149" t="s">
        <v>188</v>
      </c>
      <c r="C60" s="150">
        <v>42</v>
      </c>
      <c r="D60" s="151" t="s">
        <v>188</v>
      </c>
      <c r="E60" s="150">
        <v>42</v>
      </c>
      <c r="F60" s="151" t="s">
        <v>188</v>
      </c>
      <c r="G60" s="150">
        <v>42</v>
      </c>
      <c r="H60" s="151" t="s">
        <v>188</v>
      </c>
      <c r="I60" s="150">
        <v>42</v>
      </c>
      <c r="J60" s="151" t="s">
        <v>188</v>
      </c>
      <c r="K60" s="150">
        <v>42</v>
      </c>
      <c r="L60" s="151" t="s">
        <v>188</v>
      </c>
      <c r="M60" s="150">
        <v>42</v>
      </c>
      <c r="N60" s="151" t="s">
        <v>188</v>
      </c>
      <c r="O60" s="150">
        <v>200</v>
      </c>
      <c r="P60" s="151" t="s">
        <v>188</v>
      </c>
      <c r="Q60" s="150">
        <v>200</v>
      </c>
      <c r="R60" s="151" t="s">
        <v>188</v>
      </c>
      <c r="S60" s="150">
        <v>200</v>
      </c>
      <c r="T60" s="151" t="s">
        <v>188</v>
      </c>
      <c r="U60" s="150">
        <v>200</v>
      </c>
      <c r="V60" s="151" t="s">
        <v>188</v>
      </c>
      <c r="W60" s="150">
        <v>200</v>
      </c>
      <c r="X60" s="151" t="s">
        <v>188</v>
      </c>
      <c r="Y60" s="150">
        <v>200</v>
      </c>
      <c r="Z60" s="151" t="s">
        <v>188</v>
      </c>
      <c r="AA60" s="150" t="s">
        <v>188</v>
      </c>
      <c r="AB60" s="151" t="s">
        <v>0</v>
      </c>
      <c r="AC60" s="150" t="s">
        <v>188</v>
      </c>
      <c r="AD60" s="151" t="s">
        <v>0</v>
      </c>
      <c r="AE60" s="150" t="s">
        <v>188</v>
      </c>
      <c r="AF60" s="151" t="s">
        <v>0</v>
      </c>
      <c r="AG60" s="150" t="s">
        <v>188</v>
      </c>
      <c r="AH60" s="151" t="s">
        <v>0</v>
      </c>
      <c r="AI60" s="150" t="s">
        <v>188</v>
      </c>
      <c r="AJ60" s="151" t="s">
        <v>0</v>
      </c>
      <c r="AK60" s="150" t="s">
        <v>188</v>
      </c>
      <c r="AL60" s="151" t="s">
        <v>0</v>
      </c>
      <c r="AM60" s="150" t="s">
        <v>188</v>
      </c>
      <c r="AN60" s="151" t="s">
        <v>23</v>
      </c>
      <c r="AO60" s="150" t="s">
        <v>188</v>
      </c>
      <c r="AP60" s="151" t="s">
        <v>23</v>
      </c>
      <c r="AQ60" s="150" t="s">
        <v>188</v>
      </c>
      <c r="AR60" s="151" t="s">
        <v>23</v>
      </c>
      <c r="AS60" s="150" t="s">
        <v>188</v>
      </c>
      <c r="AT60" s="151" t="s">
        <v>23</v>
      </c>
      <c r="AU60" s="150" t="s">
        <v>188</v>
      </c>
      <c r="AV60" s="151" t="s">
        <v>23</v>
      </c>
      <c r="AW60" s="150" t="s">
        <v>188</v>
      </c>
      <c r="AX60" s="151" t="s">
        <v>23</v>
      </c>
      <c r="AY60" s="150" t="s">
        <v>188</v>
      </c>
      <c r="AZ60" s="151" t="s">
        <v>23</v>
      </c>
      <c r="BA60" s="150" t="s">
        <v>188</v>
      </c>
      <c r="BB60" s="151" t="s">
        <v>23</v>
      </c>
      <c r="BC60" s="150" t="s">
        <v>188</v>
      </c>
      <c r="BD60" s="151" t="s">
        <v>23</v>
      </c>
      <c r="BE60" s="150" t="s">
        <v>188</v>
      </c>
      <c r="BF60" s="151" t="s">
        <v>23</v>
      </c>
      <c r="BG60" s="150" t="s">
        <v>188</v>
      </c>
      <c r="BH60" s="151" t="s">
        <v>23</v>
      </c>
      <c r="BI60" s="150" t="s">
        <v>188</v>
      </c>
      <c r="BJ60" s="151" t="s">
        <v>23</v>
      </c>
    </row>
    <row r="61" spans="1:62" ht="13.5" customHeight="1">
      <c r="A61" s="49" t="s">
        <v>47</v>
      </c>
      <c r="B61" s="153" t="s">
        <v>188</v>
      </c>
      <c r="C61" s="157" t="s">
        <v>188</v>
      </c>
      <c r="D61" s="152" t="s">
        <v>0</v>
      </c>
      <c r="E61" s="157" t="s">
        <v>188</v>
      </c>
      <c r="F61" s="152" t="s">
        <v>0</v>
      </c>
      <c r="G61" s="157" t="s">
        <v>188</v>
      </c>
      <c r="H61" s="152" t="s">
        <v>0</v>
      </c>
      <c r="I61" s="157" t="s">
        <v>188</v>
      </c>
      <c r="J61" s="152" t="s">
        <v>0</v>
      </c>
      <c r="K61" s="157" t="s">
        <v>188</v>
      </c>
      <c r="L61" s="152" t="s">
        <v>0</v>
      </c>
      <c r="M61" s="157" t="s">
        <v>188</v>
      </c>
      <c r="N61" s="152" t="s">
        <v>0</v>
      </c>
      <c r="O61" s="157" t="s">
        <v>188</v>
      </c>
      <c r="P61" s="152" t="s">
        <v>0</v>
      </c>
      <c r="Q61" s="157" t="s">
        <v>188</v>
      </c>
      <c r="R61" s="152" t="s">
        <v>0</v>
      </c>
      <c r="S61" s="157" t="s">
        <v>188</v>
      </c>
      <c r="T61" s="152" t="s">
        <v>0</v>
      </c>
      <c r="U61" s="157" t="s">
        <v>188</v>
      </c>
      <c r="V61" s="152" t="s">
        <v>0</v>
      </c>
      <c r="W61" s="157" t="s">
        <v>188</v>
      </c>
      <c r="X61" s="152" t="s">
        <v>0</v>
      </c>
      <c r="Y61" s="157" t="s">
        <v>188</v>
      </c>
      <c r="Z61" s="152" t="s">
        <v>0</v>
      </c>
      <c r="AA61" s="157" t="s">
        <v>188</v>
      </c>
      <c r="AB61" s="152" t="s">
        <v>0</v>
      </c>
      <c r="AC61" s="157" t="s">
        <v>188</v>
      </c>
      <c r="AD61" s="152" t="s">
        <v>0</v>
      </c>
      <c r="AE61" s="157" t="s">
        <v>188</v>
      </c>
      <c r="AF61" s="152" t="s">
        <v>0</v>
      </c>
      <c r="AG61" s="157" t="s">
        <v>188</v>
      </c>
      <c r="AH61" s="152" t="s">
        <v>0</v>
      </c>
      <c r="AI61" s="157" t="s">
        <v>188</v>
      </c>
      <c r="AJ61" s="152" t="s">
        <v>0</v>
      </c>
      <c r="AK61" s="157" t="s">
        <v>188</v>
      </c>
      <c r="AL61" s="152" t="s">
        <v>0</v>
      </c>
      <c r="AM61" s="157" t="s">
        <v>188</v>
      </c>
      <c r="AN61" s="152" t="s">
        <v>0</v>
      </c>
      <c r="AO61" s="157" t="s">
        <v>188</v>
      </c>
      <c r="AP61" s="152" t="s">
        <v>0</v>
      </c>
      <c r="AQ61" s="157" t="s">
        <v>188</v>
      </c>
      <c r="AR61" s="152" t="s">
        <v>0</v>
      </c>
      <c r="AS61" s="157" t="s">
        <v>188</v>
      </c>
      <c r="AT61" s="152" t="s">
        <v>0</v>
      </c>
      <c r="AU61" s="157" t="s">
        <v>188</v>
      </c>
      <c r="AV61" s="152" t="s">
        <v>0</v>
      </c>
      <c r="AW61" s="157" t="s">
        <v>188</v>
      </c>
      <c r="AX61" s="152" t="s">
        <v>0</v>
      </c>
      <c r="AY61" s="157" t="s">
        <v>188</v>
      </c>
      <c r="AZ61" s="152" t="s">
        <v>0</v>
      </c>
      <c r="BA61" s="157" t="s">
        <v>188</v>
      </c>
      <c r="BB61" s="152" t="s">
        <v>0</v>
      </c>
      <c r="BC61" s="157" t="s">
        <v>188</v>
      </c>
      <c r="BD61" s="152" t="s">
        <v>0</v>
      </c>
      <c r="BE61" s="157" t="s">
        <v>188</v>
      </c>
      <c r="BF61" s="152" t="s">
        <v>0</v>
      </c>
      <c r="BG61" s="157" t="s">
        <v>188</v>
      </c>
      <c r="BH61" s="152" t="s">
        <v>0</v>
      </c>
      <c r="BI61" s="157" t="s">
        <v>188</v>
      </c>
      <c r="BJ61" s="152" t="s">
        <v>0</v>
      </c>
    </row>
    <row r="62" spans="1:62" ht="13.5" customHeight="1">
      <c r="A62" s="49" t="s">
        <v>72</v>
      </c>
      <c r="B62" s="153">
        <v>1</v>
      </c>
      <c r="C62" s="157">
        <v>40</v>
      </c>
      <c r="D62" s="152" t="s">
        <v>188</v>
      </c>
      <c r="E62" s="157">
        <v>40</v>
      </c>
      <c r="F62" s="152" t="s">
        <v>188</v>
      </c>
      <c r="G62" s="157">
        <v>40</v>
      </c>
      <c r="H62" s="152" t="s">
        <v>188</v>
      </c>
      <c r="I62" s="157" t="s">
        <v>188</v>
      </c>
      <c r="J62" s="152" t="s">
        <v>23</v>
      </c>
      <c r="K62" s="157">
        <v>40</v>
      </c>
      <c r="L62" s="152" t="s">
        <v>188</v>
      </c>
      <c r="M62" s="157">
        <v>40</v>
      </c>
      <c r="N62" s="152" t="s">
        <v>188</v>
      </c>
      <c r="O62" s="157">
        <v>200</v>
      </c>
      <c r="P62" s="152" t="s">
        <v>188</v>
      </c>
      <c r="Q62" s="157">
        <v>200</v>
      </c>
      <c r="R62" s="152" t="s">
        <v>188</v>
      </c>
      <c r="S62" s="157">
        <v>200</v>
      </c>
      <c r="T62" s="152" t="s">
        <v>188</v>
      </c>
      <c r="U62" s="157" t="s">
        <v>188</v>
      </c>
      <c r="V62" s="152" t="s">
        <v>23</v>
      </c>
      <c r="W62" s="157">
        <v>200</v>
      </c>
      <c r="X62" s="152" t="s">
        <v>188</v>
      </c>
      <c r="Y62" s="157">
        <v>200</v>
      </c>
      <c r="Z62" s="152" t="s">
        <v>188</v>
      </c>
      <c r="AA62" s="157">
        <v>800</v>
      </c>
      <c r="AB62" s="152" t="s">
        <v>188</v>
      </c>
      <c r="AC62" s="157">
        <v>1000</v>
      </c>
      <c r="AD62" s="152" t="s">
        <v>188</v>
      </c>
      <c r="AE62" s="157">
        <v>1200</v>
      </c>
      <c r="AF62" s="152" t="s">
        <v>188</v>
      </c>
      <c r="AG62" s="157" t="s">
        <v>188</v>
      </c>
      <c r="AH62" s="152" t="s">
        <v>23</v>
      </c>
      <c r="AI62" s="157">
        <v>1200</v>
      </c>
      <c r="AJ62" s="152" t="s">
        <v>188</v>
      </c>
      <c r="AK62" s="157">
        <v>1200</v>
      </c>
      <c r="AL62" s="152" t="s">
        <v>188</v>
      </c>
      <c r="AM62" s="157">
        <v>1350</v>
      </c>
      <c r="AN62" s="152" t="s">
        <v>188</v>
      </c>
      <c r="AO62" s="157">
        <v>1350</v>
      </c>
      <c r="AP62" s="152" t="s">
        <v>188</v>
      </c>
      <c r="AQ62" s="157">
        <v>1350</v>
      </c>
      <c r="AR62" s="152" t="s">
        <v>188</v>
      </c>
      <c r="AS62" s="157" t="s">
        <v>188</v>
      </c>
      <c r="AT62" s="152" t="s">
        <v>23</v>
      </c>
      <c r="AU62" s="157">
        <v>1350</v>
      </c>
      <c r="AV62" s="152" t="s">
        <v>188</v>
      </c>
      <c r="AW62" s="157">
        <v>1350</v>
      </c>
      <c r="AX62" s="152" t="s">
        <v>188</v>
      </c>
      <c r="AY62" s="157">
        <v>1600</v>
      </c>
      <c r="AZ62" s="152" t="s">
        <v>188</v>
      </c>
      <c r="BA62" s="157">
        <v>1600</v>
      </c>
      <c r="BB62" s="152" t="s">
        <v>188</v>
      </c>
      <c r="BC62" s="157">
        <v>1600</v>
      </c>
      <c r="BD62" s="152" t="s">
        <v>188</v>
      </c>
      <c r="BE62" s="157">
        <v>1600</v>
      </c>
      <c r="BF62" s="152" t="s">
        <v>188</v>
      </c>
      <c r="BG62" s="157">
        <v>1600</v>
      </c>
      <c r="BH62" s="152" t="s">
        <v>188</v>
      </c>
      <c r="BI62" s="157">
        <v>1600</v>
      </c>
      <c r="BJ62" s="152" t="s">
        <v>188</v>
      </c>
    </row>
    <row r="63" spans="1:62" ht="13.5" customHeight="1">
      <c r="A63" s="156" t="s">
        <v>82</v>
      </c>
      <c r="B63" s="149">
        <v>1</v>
      </c>
      <c r="C63" s="150">
        <v>41</v>
      </c>
      <c r="D63" s="151" t="s">
        <v>188</v>
      </c>
      <c r="E63" s="150">
        <v>41</v>
      </c>
      <c r="F63" s="151" t="s">
        <v>188</v>
      </c>
      <c r="G63" s="150">
        <v>41</v>
      </c>
      <c r="H63" s="151" t="s">
        <v>188</v>
      </c>
      <c r="I63" s="150">
        <v>41</v>
      </c>
      <c r="J63" s="151" t="s">
        <v>188</v>
      </c>
      <c r="K63" s="150">
        <v>41</v>
      </c>
      <c r="L63" s="151" t="s">
        <v>188</v>
      </c>
      <c r="M63" s="150">
        <v>41</v>
      </c>
      <c r="N63" s="151" t="s">
        <v>188</v>
      </c>
      <c r="O63" s="150">
        <v>198</v>
      </c>
      <c r="P63" s="151" t="s">
        <v>188</v>
      </c>
      <c r="Q63" s="150">
        <v>198</v>
      </c>
      <c r="R63" s="151" t="s">
        <v>188</v>
      </c>
      <c r="S63" s="150">
        <v>198</v>
      </c>
      <c r="T63" s="151" t="s">
        <v>188</v>
      </c>
      <c r="U63" s="150">
        <v>198</v>
      </c>
      <c r="V63" s="151" t="s">
        <v>188</v>
      </c>
      <c r="W63" s="150">
        <v>198</v>
      </c>
      <c r="X63" s="151" t="s">
        <v>188</v>
      </c>
      <c r="Y63" s="150">
        <v>198</v>
      </c>
      <c r="Z63" s="151" t="s">
        <v>188</v>
      </c>
      <c r="AA63" s="150">
        <v>811.8</v>
      </c>
      <c r="AB63" s="151" t="s">
        <v>188</v>
      </c>
      <c r="AC63" s="150">
        <v>1188</v>
      </c>
      <c r="AD63" s="151" t="s">
        <v>188</v>
      </c>
      <c r="AE63" s="150">
        <v>1267.2</v>
      </c>
      <c r="AF63" s="151" t="s">
        <v>188</v>
      </c>
      <c r="AG63" s="150">
        <v>1267.2</v>
      </c>
      <c r="AH63" s="151" t="s">
        <v>188</v>
      </c>
      <c r="AI63" s="150">
        <v>1267.2</v>
      </c>
      <c r="AJ63" s="151" t="s">
        <v>188</v>
      </c>
      <c r="AK63" s="150">
        <v>1267.2</v>
      </c>
      <c r="AL63" s="151" t="s">
        <v>188</v>
      </c>
      <c r="AM63" s="150" t="s">
        <v>188</v>
      </c>
      <c r="AN63" s="151" t="s">
        <v>23</v>
      </c>
      <c r="AO63" s="150" t="s">
        <v>188</v>
      </c>
      <c r="AP63" s="151" t="s">
        <v>23</v>
      </c>
      <c r="AQ63" s="150" t="s">
        <v>188</v>
      </c>
      <c r="AR63" s="151" t="s">
        <v>23</v>
      </c>
      <c r="AS63" s="150" t="s">
        <v>188</v>
      </c>
      <c r="AT63" s="151" t="s">
        <v>23</v>
      </c>
      <c r="AU63" s="150" t="s">
        <v>188</v>
      </c>
      <c r="AV63" s="151" t="s">
        <v>23</v>
      </c>
      <c r="AW63" s="150" t="s">
        <v>188</v>
      </c>
      <c r="AX63" s="151" t="s">
        <v>23</v>
      </c>
      <c r="AY63" s="150" t="s">
        <v>188</v>
      </c>
      <c r="AZ63" s="151" t="s">
        <v>23</v>
      </c>
      <c r="BA63" s="150" t="s">
        <v>188</v>
      </c>
      <c r="BB63" s="151" t="s">
        <v>23</v>
      </c>
      <c r="BC63" s="150" t="s">
        <v>188</v>
      </c>
      <c r="BD63" s="151" t="s">
        <v>23</v>
      </c>
      <c r="BE63" s="150" t="s">
        <v>188</v>
      </c>
      <c r="BF63" s="151" t="s">
        <v>23</v>
      </c>
      <c r="BG63" s="150" t="s">
        <v>188</v>
      </c>
      <c r="BH63" s="151" t="s">
        <v>23</v>
      </c>
      <c r="BI63" s="150" t="s">
        <v>188</v>
      </c>
      <c r="BJ63" s="151" t="s">
        <v>23</v>
      </c>
    </row>
    <row r="64" spans="1:62" ht="10.199999999999999">
      <c r="A64" s="156" t="s">
        <v>48</v>
      </c>
      <c r="B64" s="149" t="s">
        <v>188</v>
      </c>
      <c r="C64" s="150" t="s">
        <v>188</v>
      </c>
      <c r="D64" s="151" t="s">
        <v>0</v>
      </c>
      <c r="E64" s="150" t="s">
        <v>188</v>
      </c>
      <c r="F64" s="151" t="s">
        <v>0</v>
      </c>
      <c r="G64" s="150" t="s">
        <v>188</v>
      </c>
      <c r="H64" s="151" t="s">
        <v>0</v>
      </c>
      <c r="I64" s="150" t="s">
        <v>188</v>
      </c>
      <c r="J64" s="151" t="s">
        <v>0</v>
      </c>
      <c r="K64" s="150" t="s">
        <v>188</v>
      </c>
      <c r="L64" s="151" t="s">
        <v>0</v>
      </c>
      <c r="M64" s="150" t="s">
        <v>188</v>
      </c>
      <c r="N64" s="151" t="s">
        <v>0</v>
      </c>
      <c r="O64" s="150" t="s">
        <v>188</v>
      </c>
      <c r="P64" s="151" t="s">
        <v>0</v>
      </c>
      <c r="Q64" s="150" t="s">
        <v>188</v>
      </c>
      <c r="R64" s="151" t="s">
        <v>0</v>
      </c>
      <c r="S64" s="150" t="s">
        <v>188</v>
      </c>
      <c r="T64" s="151" t="s">
        <v>0</v>
      </c>
      <c r="U64" s="150" t="s">
        <v>188</v>
      </c>
      <c r="V64" s="151" t="s">
        <v>0</v>
      </c>
      <c r="W64" s="150" t="s">
        <v>188</v>
      </c>
      <c r="X64" s="151" t="s">
        <v>0</v>
      </c>
      <c r="Y64" s="150" t="s">
        <v>188</v>
      </c>
      <c r="Z64" s="151" t="s">
        <v>0</v>
      </c>
      <c r="AA64" s="150" t="s">
        <v>188</v>
      </c>
      <c r="AB64" s="151" t="s">
        <v>0</v>
      </c>
      <c r="AC64" s="150" t="s">
        <v>188</v>
      </c>
      <c r="AD64" s="151" t="s">
        <v>0</v>
      </c>
      <c r="AE64" s="150" t="s">
        <v>188</v>
      </c>
      <c r="AF64" s="151" t="s">
        <v>0</v>
      </c>
      <c r="AG64" s="150" t="s">
        <v>188</v>
      </c>
      <c r="AH64" s="151" t="s">
        <v>0</v>
      </c>
      <c r="AI64" s="150" t="s">
        <v>188</v>
      </c>
      <c r="AJ64" s="151" t="s">
        <v>0</v>
      </c>
      <c r="AK64" s="150" t="s">
        <v>188</v>
      </c>
      <c r="AL64" s="151" t="s">
        <v>0</v>
      </c>
      <c r="AM64" s="150" t="s">
        <v>188</v>
      </c>
      <c r="AN64" s="151" t="s">
        <v>0</v>
      </c>
      <c r="AO64" s="150" t="s">
        <v>188</v>
      </c>
      <c r="AP64" s="151" t="s">
        <v>0</v>
      </c>
      <c r="AQ64" s="150" t="s">
        <v>188</v>
      </c>
      <c r="AR64" s="151" t="s">
        <v>0</v>
      </c>
      <c r="AS64" s="150" t="s">
        <v>188</v>
      </c>
      <c r="AT64" s="151" t="s">
        <v>0</v>
      </c>
      <c r="AU64" s="150" t="s">
        <v>188</v>
      </c>
      <c r="AV64" s="151" t="s">
        <v>0</v>
      </c>
      <c r="AW64" s="150" t="s">
        <v>188</v>
      </c>
      <c r="AX64" s="151" t="s">
        <v>0</v>
      </c>
      <c r="AY64" s="150" t="s">
        <v>188</v>
      </c>
      <c r="AZ64" s="151" t="s">
        <v>0</v>
      </c>
      <c r="BA64" s="150" t="s">
        <v>188</v>
      </c>
      <c r="BB64" s="151" t="s">
        <v>0</v>
      </c>
      <c r="BC64" s="150" t="s">
        <v>188</v>
      </c>
      <c r="BD64" s="151" t="s">
        <v>0</v>
      </c>
      <c r="BE64" s="150" t="s">
        <v>188</v>
      </c>
      <c r="BF64" s="151" t="s">
        <v>0</v>
      </c>
      <c r="BG64" s="150" t="s">
        <v>188</v>
      </c>
      <c r="BH64" s="151" t="s">
        <v>0</v>
      </c>
      <c r="BI64" s="150" t="s">
        <v>188</v>
      </c>
      <c r="BJ64" s="151" t="s">
        <v>0</v>
      </c>
    </row>
    <row r="65" spans="1:62" ht="10.199999999999999">
      <c r="A65" s="49" t="s">
        <v>49</v>
      </c>
      <c r="B65" s="153" t="s">
        <v>188</v>
      </c>
      <c r="C65" s="157" t="s">
        <v>188</v>
      </c>
      <c r="D65" s="152" t="s">
        <v>0</v>
      </c>
      <c r="E65" s="157" t="s">
        <v>188</v>
      </c>
      <c r="F65" s="152" t="s">
        <v>0</v>
      </c>
      <c r="G65" s="157" t="s">
        <v>188</v>
      </c>
      <c r="H65" s="152" t="s">
        <v>0</v>
      </c>
      <c r="I65" s="157" t="s">
        <v>188</v>
      </c>
      <c r="J65" s="152" t="s">
        <v>0</v>
      </c>
      <c r="K65" s="157" t="s">
        <v>188</v>
      </c>
      <c r="L65" s="152" t="s">
        <v>0</v>
      </c>
      <c r="M65" s="157" t="s">
        <v>188</v>
      </c>
      <c r="N65" s="152" t="s">
        <v>0</v>
      </c>
      <c r="O65" s="157" t="s">
        <v>188</v>
      </c>
      <c r="P65" s="152" t="s">
        <v>0</v>
      </c>
      <c r="Q65" s="157" t="s">
        <v>188</v>
      </c>
      <c r="R65" s="152" t="s">
        <v>0</v>
      </c>
      <c r="S65" s="157" t="s">
        <v>188</v>
      </c>
      <c r="T65" s="152" t="s">
        <v>0</v>
      </c>
      <c r="U65" s="157" t="s">
        <v>188</v>
      </c>
      <c r="V65" s="152" t="s">
        <v>0</v>
      </c>
      <c r="W65" s="157" t="s">
        <v>188</v>
      </c>
      <c r="X65" s="152" t="s">
        <v>0</v>
      </c>
      <c r="Y65" s="157" t="s">
        <v>188</v>
      </c>
      <c r="Z65" s="152" t="s">
        <v>0</v>
      </c>
      <c r="AA65" s="157" t="s">
        <v>188</v>
      </c>
      <c r="AB65" s="152" t="s">
        <v>0</v>
      </c>
      <c r="AC65" s="157" t="s">
        <v>188</v>
      </c>
      <c r="AD65" s="152" t="s">
        <v>0</v>
      </c>
      <c r="AE65" s="157" t="s">
        <v>188</v>
      </c>
      <c r="AF65" s="152" t="s">
        <v>0</v>
      </c>
      <c r="AG65" s="157" t="s">
        <v>188</v>
      </c>
      <c r="AH65" s="152" t="s">
        <v>0</v>
      </c>
      <c r="AI65" s="157" t="s">
        <v>188</v>
      </c>
      <c r="AJ65" s="152" t="s">
        <v>0</v>
      </c>
      <c r="AK65" s="157" t="s">
        <v>188</v>
      </c>
      <c r="AL65" s="152" t="s">
        <v>0</v>
      </c>
      <c r="AM65" s="157" t="s">
        <v>188</v>
      </c>
      <c r="AN65" s="152" t="s">
        <v>0</v>
      </c>
      <c r="AO65" s="157" t="s">
        <v>188</v>
      </c>
      <c r="AP65" s="152" t="s">
        <v>0</v>
      </c>
      <c r="AQ65" s="157" t="s">
        <v>188</v>
      </c>
      <c r="AR65" s="152" t="s">
        <v>0</v>
      </c>
      <c r="AS65" s="157" t="s">
        <v>188</v>
      </c>
      <c r="AT65" s="152" t="s">
        <v>0</v>
      </c>
      <c r="AU65" s="157" t="s">
        <v>188</v>
      </c>
      <c r="AV65" s="152" t="s">
        <v>0</v>
      </c>
      <c r="AW65" s="157" t="s">
        <v>188</v>
      </c>
      <c r="AX65" s="152" t="s">
        <v>0</v>
      </c>
      <c r="AY65" s="157" t="s">
        <v>188</v>
      </c>
      <c r="AZ65" s="152" t="s">
        <v>0</v>
      </c>
      <c r="BA65" s="157" t="s">
        <v>188</v>
      </c>
      <c r="BB65" s="152" t="s">
        <v>0</v>
      </c>
      <c r="BC65" s="157" t="s">
        <v>188</v>
      </c>
      <c r="BD65" s="152" t="s">
        <v>0</v>
      </c>
      <c r="BE65" s="157" t="s">
        <v>188</v>
      </c>
      <c r="BF65" s="152" t="s">
        <v>0</v>
      </c>
      <c r="BG65" s="157" t="s">
        <v>188</v>
      </c>
      <c r="BH65" s="152" t="s">
        <v>0</v>
      </c>
      <c r="BI65" s="157" t="s">
        <v>188</v>
      </c>
      <c r="BJ65" s="152" t="s">
        <v>0</v>
      </c>
    </row>
    <row r="66" spans="1:62" ht="13.5" customHeight="1">
      <c r="A66" s="49" t="s">
        <v>83</v>
      </c>
      <c r="B66" s="153">
        <v>1</v>
      </c>
      <c r="C66" s="157" t="s">
        <v>188</v>
      </c>
      <c r="D66" s="152" t="s">
        <v>23</v>
      </c>
      <c r="E66" s="157">
        <v>32</v>
      </c>
      <c r="F66" s="152" t="s">
        <v>188</v>
      </c>
      <c r="G66" s="157">
        <v>34</v>
      </c>
      <c r="H66" s="152" t="s">
        <v>188</v>
      </c>
      <c r="I66" s="157" t="s">
        <v>188</v>
      </c>
      <c r="J66" s="152" t="s">
        <v>23</v>
      </c>
      <c r="K66" s="157">
        <v>33.5</v>
      </c>
      <c r="L66" s="152" t="s">
        <v>188</v>
      </c>
      <c r="M66" s="157" t="s">
        <v>188</v>
      </c>
      <c r="N66" s="152" t="s">
        <v>23</v>
      </c>
      <c r="O66" s="157" t="s">
        <v>188</v>
      </c>
      <c r="P66" s="152" t="s">
        <v>23</v>
      </c>
      <c r="Q66" s="157">
        <v>160</v>
      </c>
      <c r="R66" s="152" t="s">
        <v>188</v>
      </c>
      <c r="S66" s="157">
        <v>170</v>
      </c>
      <c r="T66" s="152" t="s">
        <v>188</v>
      </c>
      <c r="U66" s="157" t="s">
        <v>188</v>
      </c>
      <c r="V66" s="152" t="s">
        <v>23</v>
      </c>
      <c r="W66" s="157">
        <v>167.5</v>
      </c>
      <c r="X66" s="152" t="s">
        <v>188</v>
      </c>
      <c r="Y66" s="157" t="s">
        <v>188</v>
      </c>
      <c r="Z66" s="152" t="s">
        <v>23</v>
      </c>
      <c r="AA66" s="157">
        <v>640</v>
      </c>
      <c r="AB66" s="152" t="s">
        <v>188</v>
      </c>
      <c r="AC66" s="157">
        <v>576</v>
      </c>
      <c r="AD66" s="152" t="s">
        <v>188</v>
      </c>
      <c r="AE66" s="157">
        <v>612</v>
      </c>
      <c r="AF66" s="152" t="s">
        <v>188</v>
      </c>
      <c r="AG66" s="157">
        <v>740</v>
      </c>
      <c r="AH66" s="152" t="s">
        <v>188</v>
      </c>
      <c r="AI66" s="157">
        <v>603</v>
      </c>
      <c r="AJ66" s="152" t="s">
        <v>188</v>
      </c>
      <c r="AK66" s="157">
        <v>740</v>
      </c>
      <c r="AL66" s="152" t="s">
        <v>188</v>
      </c>
      <c r="AM66" s="157">
        <v>1452</v>
      </c>
      <c r="AN66" s="152" t="s">
        <v>188</v>
      </c>
      <c r="AO66" s="157" t="s">
        <v>188</v>
      </c>
      <c r="AP66" s="152" t="s">
        <v>23</v>
      </c>
      <c r="AQ66" s="157" t="s">
        <v>188</v>
      </c>
      <c r="AR66" s="152" t="s">
        <v>23</v>
      </c>
      <c r="AS66" s="157" t="s">
        <v>188</v>
      </c>
      <c r="AT66" s="152" t="s">
        <v>23</v>
      </c>
      <c r="AU66" s="157" t="s">
        <v>188</v>
      </c>
      <c r="AV66" s="152" t="s">
        <v>23</v>
      </c>
      <c r="AW66" s="157" t="s">
        <v>188</v>
      </c>
      <c r="AX66" s="152" t="s">
        <v>23</v>
      </c>
      <c r="AY66" s="157">
        <v>1584</v>
      </c>
      <c r="AZ66" s="152" t="s">
        <v>188</v>
      </c>
      <c r="BA66" s="157">
        <v>1584</v>
      </c>
      <c r="BB66" s="152" t="s">
        <v>188</v>
      </c>
      <c r="BC66" s="157">
        <v>1584</v>
      </c>
      <c r="BD66" s="152" t="s">
        <v>188</v>
      </c>
      <c r="BE66" s="157">
        <v>1584</v>
      </c>
      <c r="BF66" s="152" t="s">
        <v>188</v>
      </c>
      <c r="BG66" s="157">
        <v>1584</v>
      </c>
      <c r="BH66" s="152" t="s">
        <v>188</v>
      </c>
      <c r="BI66" s="157">
        <v>1584</v>
      </c>
      <c r="BJ66" s="152" t="s">
        <v>188</v>
      </c>
    </row>
    <row r="67" spans="1:62" ht="13.5" customHeight="1">
      <c r="A67" s="156" t="s">
        <v>42</v>
      </c>
      <c r="B67" s="149" t="s">
        <v>188</v>
      </c>
      <c r="C67" s="150" t="s">
        <v>188</v>
      </c>
      <c r="D67" s="151" t="s">
        <v>0</v>
      </c>
      <c r="E67" s="150" t="s">
        <v>188</v>
      </c>
      <c r="F67" s="151" t="s">
        <v>0</v>
      </c>
      <c r="G67" s="150" t="s">
        <v>188</v>
      </c>
      <c r="H67" s="151" t="s">
        <v>0</v>
      </c>
      <c r="I67" s="150" t="s">
        <v>188</v>
      </c>
      <c r="J67" s="151" t="s">
        <v>0</v>
      </c>
      <c r="K67" s="150" t="s">
        <v>188</v>
      </c>
      <c r="L67" s="151" t="s">
        <v>0</v>
      </c>
      <c r="M67" s="150" t="s">
        <v>188</v>
      </c>
      <c r="N67" s="151" t="s">
        <v>0</v>
      </c>
      <c r="O67" s="150" t="s">
        <v>188</v>
      </c>
      <c r="P67" s="151" t="s">
        <v>0</v>
      </c>
      <c r="Q67" s="150" t="s">
        <v>188</v>
      </c>
      <c r="R67" s="151" t="s">
        <v>0</v>
      </c>
      <c r="S67" s="150" t="s">
        <v>188</v>
      </c>
      <c r="T67" s="151" t="s">
        <v>0</v>
      </c>
      <c r="U67" s="150" t="s">
        <v>188</v>
      </c>
      <c r="V67" s="151" t="s">
        <v>0</v>
      </c>
      <c r="W67" s="150" t="s">
        <v>188</v>
      </c>
      <c r="X67" s="151" t="s">
        <v>0</v>
      </c>
      <c r="Y67" s="150" t="s">
        <v>188</v>
      </c>
      <c r="Z67" s="151" t="s">
        <v>0</v>
      </c>
      <c r="AA67" s="150" t="s">
        <v>188</v>
      </c>
      <c r="AB67" s="151" t="s">
        <v>0</v>
      </c>
      <c r="AC67" s="150" t="s">
        <v>188</v>
      </c>
      <c r="AD67" s="151" t="s">
        <v>0</v>
      </c>
      <c r="AE67" s="150" t="s">
        <v>188</v>
      </c>
      <c r="AF67" s="151" t="s">
        <v>0</v>
      </c>
      <c r="AG67" s="150" t="s">
        <v>188</v>
      </c>
      <c r="AH67" s="151" t="s">
        <v>0</v>
      </c>
      <c r="AI67" s="150" t="s">
        <v>188</v>
      </c>
      <c r="AJ67" s="151" t="s">
        <v>0</v>
      </c>
      <c r="AK67" s="150" t="s">
        <v>188</v>
      </c>
      <c r="AL67" s="151" t="s">
        <v>0</v>
      </c>
      <c r="AM67" s="150" t="s">
        <v>188</v>
      </c>
      <c r="AN67" s="151" t="s">
        <v>0</v>
      </c>
      <c r="AO67" s="150" t="s">
        <v>188</v>
      </c>
      <c r="AP67" s="151" t="s">
        <v>0</v>
      </c>
      <c r="AQ67" s="150" t="s">
        <v>188</v>
      </c>
      <c r="AR67" s="151" t="s">
        <v>0</v>
      </c>
      <c r="AS67" s="150" t="s">
        <v>188</v>
      </c>
      <c r="AT67" s="151" t="s">
        <v>0</v>
      </c>
      <c r="AU67" s="150" t="s">
        <v>188</v>
      </c>
      <c r="AV67" s="151" t="s">
        <v>0</v>
      </c>
      <c r="AW67" s="150" t="s">
        <v>188</v>
      </c>
      <c r="AX67" s="151" t="s">
        <v>0</v>
      </c>
      <c r="AY67" s="150" t="s">
        <v>188</v>
      </c>
      <c r="AZ67" s="151" t="s">
        <v>0</v>
      </c>
      <c r="BA67" s="150" t="s">
        <v>188</v>
      </c>
      <c r="BB67" s="151" t="s">
        <v>0</v>
      </c>
      <c r="BC67" s="150" t="s">
        <v>188</v>
      </c>
      <c r="BD67" s="151" t="s">
        <v>0</v>
      </c>
      <c r="BE67" s="150" t="s">
        <v>188</v>
      </c>
      <c r="BF67" s="151" t="s">
        <v>0</v>
      </c>
      <c r="BG67" s="150" t="s">
        <v>188</v>
      </c>
      <c r="BH67" s="151" t="s">
        <v>0</v>
      </c>
      <c r="BI67" s="150" t="s">
        <v>188</v>
      </c>
      <c r="BJ67" s="151" t="s">
        <v>0</v>
      </c>
    </row>
    <row r="68" spans="1:62" ht="10.199999999999999">
      <c r="A68" s="156" t="s">
        <v>55</v>
      </c>
      <c r="B68" s="149" t="s">
        <v>188</v>
      </c>
      <c r="C68" s="150" t="s">
        <v>188</v>
      </c>
      <c r="D68" s="151" t="s">
        <v>0</v>
      </c>
      <c r="E68" s="150" t="s">
        <v>188</v>
      </c>
      <c r="F68" s="151" t="s">
        <v>0</v>
      </c>
      <c r="G68" s="150" t="s">
        <v>188</v>
      </c>
      <c r="H68" s="151" t="s">
        <v>0</v>
      </c>
      <c r="I68" s="150" t="s">
        <v>188</v>
      </c>
      <c r="J68" s="151" t="s">
        <v>0</v>
      </c>
      <c r="K68" s="150" t="s">
        <v>188</v>
      </c>
      <c r="L68" s="151" t="s">
        <v>0</v>
      </c>
      <c r="M68" s="150" t="s">
        <v>188</v>
      </c>
      <c r="N68" s="151" t="s">
        <v>0</v>
      </c>
      <c r="O68" s="150" t="s">
        <v>188</v>
      </c>
      <c r="P68" s="151" t="s">
        <v>0</v>
      </c>
      <c r="Q68" s="150" t="s">
        <v>188</v>
      </c>
      <c r="R68" s="151" t="s">
        <v>0</v>
      </c>
      <c r="S68" s="150" t="s">
        <v>188</v>
      </c>
      <c r="T68" s="151" t="s">
        <v>0</v>
      </c>
      <c r="U68" s="150" t="s">
        <v>188</v>
      </c>
      <c r="V68" s="151" t="s">
        <v>0</v>
      </c>
      <c r="W68" s="150" t="s">
        <v>188</v>
      </c>
      <c r="X68" s="151" t="s">
        <v>0</v>
      </c>
      <c r="Y68" s="150" t="s">
        <v>188</v>
      </c>
      <c r="Z68" s="151" t="s">
        <v>0</v>
      </c>
      <c r="AA68" s="150" t="s">
        <v>188</v>
      </c>
      <c r="AB68" s="151" t="s">
        <v>0</v>
      </c>
      <c r="AC68" s="150" t="s">
        <v>188</v>
      </c>
      <c r="AD68" s="151" t="s">
        <v>0</v>
      </c>
      <c r="AE68" s="150" t="s">
        <v>188</v>
      </c>
      <c r="AF68" s="151" t="s">
        <v>0</v>
      </c>
      <c r="AG68" s="150" t="s">
        <v>188</v>
      </c>
      <c r="AH68" s="151" t="s">
        <v>0</v>
      </c>
      <c r="AI68" s="150" t="s">
        <v>188</v>
      </c>
      <c r="AJ68" s="151" t="s">
        <v>0</v>
      </c>
      <c r="AK68" s="150" t="s">
        <v>188</v>
      </c>
      <c r="AL68" s="151" t="s">
        <v>0</v>
      </c>
      <c r="AM68" s="150" t="s">
        <v>188</v>
      </c>
      <c r="AN68" s="151" t="s">
        <v>0</v>
      </c>
      <c r="AO68" s="150" t="s">
        <v>188</v>
      </c>
      <c r="AP68" s="151" t="s">
        <v>0</v>
      </c>
      <c r="AQ68" s="150" t="s">
        <v>188</v>
      </c>
      <c r="AR68" s="151" t="s">
        <v>0</v>
      </c>
      <c r="AS68" s="150" t="s">
        <v>188</v>
      </c>
      <c r="AT68" s="151" t="s">
        <v>0</v>
      </c>
      <c r="AU68" s="150" t="s">
        <v>188</v>
      </c>
      <c r="AV68" s="151" t="s">
        <v>0</v>
      </c>
      <c r="AW68" s="150" t="s">
        <v>188</v>
      </c>
      <c r="AX68" s="151" t="s">
        <v>0</v>
      </c>
      <c r="AY68" s="150" t="s">
        <v>188</v>
      </c>
      <c r="AZ68" s="151" t="s">
        <v>0</v>
      </c>
      <c r="BA68" s="150" t="s">
        <v>188</v>
      </c>
      <c r="BB68" s="151" t="s">
        <v>0</v>
      </c>
      <c r="BC68" s="150" t="s">
        <v>188</v>
      </c>
      <c r="BD68" s="151" t="s">
        <v>0</v>
      </c>
      <c r="BE68" s="150" t="s">
        <v>188</v>
      </c>
      <c r="BF68" s="151" t="s">
        <v>0</v>
      </c>
      <c r="BG68" s="150" t="s">
        <v>188</v>
      </c>
      <c r="BH68" s="151" t="s">
        <v>0</v>
      </c>
      <c r="BI68" s="150" t="s">
        <v>188</v>
      </c>
      <c r="BJ68" s="151" t="s">
        <v>0</v>
      </c>
    </row>
    <row r="69" spans="1:62" ht="10.199999999999999">
      <c r="A69" s="49" t="s">
        <v>51</v>
      </c>
      <c r="B69" s="153" t="s">
        <v>188</v>
      </c>
      <c r="C69" s="157" t="s">
        <v>188</v>
      </c>
      <c r="D69" s="152" t="s">
        <v>0</v>
      </c>
      <c r="E69" s="157" t="s">
        <v>188</v>
      </c>
      <c r="F69" s="152" t="s">
        <v>0</v>
      </c>
      <c r="G69" s="157" t="s">
        <v>188</v>
      </c>
      <c r="H69" s="152" t="s">
        <v>0</v>
      </c>
      <c r="I69" s="157" t="s">
        <v>188</v>
      </c>
      <c r="J69" s="152" t="s">
        <v>0</v>
      </c>
      <c r="K69" s="157" t="s">
        <v>188</v>
      </c>
      <c r="L69" s="152" t="s">
        <v>0</v>
      </c>
      <c r="M69" s="157" t="s">
        <v>188</v>
      </c>
      <c r="N69" s="152" t="s">
        <v>0</v>
      </c>
      <c r="O69" s="157" t="s">
        <v>188</v>
      </c>
      <c r="P69" s="152" t="s">
        <v>0</v>
      </c>
      <c r="Q69" s="157" t="s">
        <v>188</v>
      </c>
      <c r="R69" s="152" t="s">
        <v>0</v>
      </c>
      <c r="S69" s="157" t="s">
        <v>188</v>
      </c>
      <c r="T69" s="152" t="s">
        <v>0</v>
      </c>
      <c r="U69" s="157" t="s">
        <v>188</v>
      </c>
      <c r="V69" s="152" t="s">
        <v>0</v>
      </c>
      <c r="W69" s="157" t="s">
        <v>188</v>
      </c>
      <c r="X69" s="152" t="s">
        <v>0</v>
      </c>
      <c r="Y69" s="157" t="s">
        <v>188</v>
      </c>
      <c r="Z69" s="152" t="s">
        <v>0</v>
      </c>
      <c r="AA69" s="157" t="s">
        <v>188</v>
      </c>
      <c r="AB69" s="152" t="s">
        <v>0</v>
      </c>
      <c r="AC69" s="157" t="s">
        <v>188</v>
      </c>
      <c r="AD69" s="152" t="s">
        <v>0</v>
      </c>
      <c r="AE69" s="157" t="s">
        <v>188</v>
      </c>
      <c r="AF69" s="152" t="s">
        <v>0</v>
      </c>
      <c r="AG69" s="157" t="s">
        <v>188</v>
      </c>
      <c r="AH69" s="152" t="s">
        <v>0</v>
      </c>
      <c r="AI69" s="157" t="s">
        <v>188</v>
      </c>
      <c r="AJ69" s="152" t="s">
        <v>0</v>
      </c>
      <c r="AK69" s="157" t="s">
        <v>188</v>
      </c>
      <c r="AL69" s="152" t="s">
        <v>0</v>
      </c>
      <c r="AM69" s="157" t="s">
        <v>188</v>
      </c>
      <c r="AN69" s="152" t="s">
        <v>0</v>
      </c>
      <c r="AO69" s="157" t="s">
        <v>188</v>
      </c>
      <c r="AP69" s="152" t="s">
        <v>0</v>
      </c>
      <c r="AQ69" s="157" t="s">
        <v>188</v>
      </c>
      <c r="AR69" s="152" t="s">
        <v>0</v>
      </c>
      <c r="AS69" s="157" t="s">
        <v>188</v>
      </c>
      <c r="AT69" s="152" t="s">
        <v>0</v>
      </c>
      <c r="AU69" s="157" t="s">
        <v>188</v>
      </c>
      <c r="AV69" s="152" t="s">
        <v>0</v>
      </c>
      <c r="AW69" s="157" t="s">
        <v>188</v>
      </c>
      <c r="AX69" s="152" t="s">
        <v>0</v>
      </c>
      <c r="AY69" s="157" t="s">
        <v>188</v>
      </c>
      <c r="AZ69" s="152" t="s">
        <v>0</v>
      </c>
      <c r="BA69" s="157" t="s">
        <v>188</v>
      </c>
      <c r="BB69" s="152" t="s">
        <v>0</v>
      </c>
      <c r="BC69" s="157" t="s">
        <v>188</v>
      </c>
      <c r="BD69" s="152" t="s">
        <v>0</v>
      </c>
      <c r="BE69" s="157" t="s">
        <v>188</v>
      </c>
      <c r="BF69" s="152" t="s">
        <v>0</v>
      </c>
      <c r="BG69" s="157" t="s">
        <v>188</v>
      </c>
      <c r="BH69" s="152" t="s">
        <v>0</v>
      </c>
      <c r="BI69" s="157" t="s">
        <v>188</v>
      </c>
      <c r="BJ69" s="152" t="s">
        <v>0</v>
      </c>
    </row>
    <row r="70" spans="1:62" ht="15" customHeight="1">
      <c r="A70" s="49"/>
      <c r="B70" s="153"/>
      <c r="C70" s="157"/>
      <c r="D70" s="152"/>
      <c r="E70" s="157"/>
      <c r="F70" s="152"/>
      <c r="G70" s="157"/>
      <c r="H70" s="152"/>
      <c r="I70" s="157"/>
      <c r="J70" s="152"/>
      <c r="K70" s="157"/>
      <c r="L70" s="152"/>
      <c r="M70" s="157"/>
      <c r="N70" s="152"/>
      <c r="O70" s="157"/>
      <c r="P70" s="152"/>
      <c r="Q70" s="157"/>
      <c r="R70" s="152"/>
      <c r="S70" s="157"/>
      <c r="T70" s="152"/>
      <c r="U70" s="157"/>
      <c r="V70" s="152"/>
      <c r="W70" s="157"/>
      <c r="X70" s="152"/>
      <c r="Y70" s="157"/>
      <c r="Z70" s="152"/>
      <c r="AA70" s="157"/>
      <c r="AB70" s="152"/>
      <c r="AC70" s="157"/>
      <c r="AD70" s="152"/>
      <c r="AE70" s="157"/>
      <c r="AF70" s="152"/>
      <c r="AG70" s="157"/>
      <c r="AH70" s="152"/>
      <c r="AI70" s="157"/>
      <c r="AJ70" s="152"/>
      <c r="AK70" s="157"/>
      <c r="AL70" s="152"/>
      <c r="AM70" s="157"/>
      <c r="AN70" s="152"/>
      <c r="AO70" s="157"/>
      <c r="AP70" s="152"/>
      <c r="AQ70" s="157"/>
      <c r="AR70" s="152"/>
      <c r="AS70" s="157"/>
      <c r="AT70" s="152"/>
      <c r="AU70" s="157"/>
      <c r="AV70" s="152"/>
      <c r="AW70" s="157"/>
      <c r="AX70" s="152"/>
      <c r="AY70" s="157"/>
      <c r="AZ70" s="152"/>
      <c r="BA70" s="157"/>
      <c r="BB70" s="152"/>
      <c r="BC70" s="157"/>
      <c r="BD70" s="152"/>
      <c r="BE70" s="157"/>
      <c r="BF70" s="152"/>
      <c r="BG70" s="157"/>
      <c r="BH70" s="152"/>
      <c r="BI70" s="157"/>
      <c r="BJ70" s="152"/>
    </row>
    <row r="71" spans="1:62" ht="15" customHeight="1">
      <c r="A71" s="194" t="s">
        <v>60</v>
      </c>
      <c r="B71" s="195" t="s">
        <v>188</v>
      </c>
      <c r="C71" s="196" t="s">
        <v>188</v>
      </c>
      <c r="D71" s="197" t="s">
        <v>0</v>
      </c>
      <c r="E71" s="196" t="s">
        <v>188</v>
      </c>
      <c r="F71" s="197" t="s">
        <v>0</v>
      </c>
      <c r="G71" s="196" t="s">
        <v>188</v>
      </c>
      <c r="H71" s="197" t="s">
        <v>0</v>
      </c>
      <c r="I71" s="196" t="s">
        <v>188</v>
      </c>
      <c r="J71" s="197" t="s">
        <v>0</v>
      </c>
      <c r="K71" s="196" t="s">
        <v>188</v>
      </c>
      <c r="L71" s="197" t="s">
        <v>0</v>
      </c>
      <c r="M71" s="196" t="s">
        <v>188</v>
      </c>
      <c r="N71" s="197" t="s">
        <v>0</v>
      </c>
      <c r="O71" s="196" t="s">
        <v>188</v>
      </c>
      <c r="P71" s="197" t="s">
        <v>0</v>
      </c>
      <c r="Q71" s="196" t="s">
        <v>188</v>
      </c>
      <c r="R71" s="197" t="s">
        <v>0</v>
      </c>
      <c r="S71" s="196" t="s">
        <v>188</v>
      </c>
      <c r="T71" s="197" t="s">
        <v>0</v>
      </c>
      <c r="U71" s="196" t="s">
        <v>188</v>
      </c>
      <c r="V71" s="197" t="s">
        <v>0</v>
      </c>
      <c r="W71" s="196" t="s">
        <v>188</v>
      </c>
      <c r="X71" s="197" t="s">
        <v>0</v>
      </c>
      <c r="Y71" s="196" t="s">
        <v>188</v>
      </c>
      <c r="Z71" s="197" t="s">
        <v>0</v>
      </c>
      <c r="AA71" s="196" t="s">
        <v>188</v>
      </c>
      <c r="AB71" s="197" t="s">
        <v>0</v>
      </c>
      <c r="AC71" s="196" t="s">
        <v>188</v>
      </c>
      <c r="AD71" s="197" t="s">
        <v>0</v>
      </c>
      <c r="AE71" s="196" t="s">
        <v>188</v>
      </c>
      <c r="AF71" s="197" t="s">
        <v>0</v>
      </c>
      <c r="AG71" s="196" t="s">
        <v>188</v>
      </c>
      <c r="AH71" s="197" t="s">
        <v>0</v>
      </c>
      <c r="AI71" s="196" t="s">
        <v>188</v>
      </c>
      <c r="AJ71" s="197" t="s">
        <v>0</v>
      </c>
      <c r="AK71" s="196" t="s">
        <v>188</v>
      </c>
      <c r="AL71" s="197" t="s">
        <v>0</v>
      </c>
      <c r="AM71" s="196" t="s">
        <v>188</v>
      </c>
      <c r="AN71" s="197" t="s">
        <v>0</v>
      </c>
      <c r="AO71" s="196" t="s">
        <v>188</v>
      </c>
      <c r="AP71" s="197" t="s">
        <v>0</v>
      </c>
      <c r="AQ71" s="196" t="s">
        <v>188</v>
      </c>
      <c r="AR71" s="197" t="s">
        <v>0</v>
      </c>
      <c r="AS71" s="196" t="s">
        <v>188</v>
      </c>
      <c r="AT71" s="197" t="s">
        <v>0</v>
      </c>
      <c r="AU71" s="196" t="s">
        <v>188</v>
      </c>
      <c r="AV71" s="197" t="s">
        <v>0</v>
      </c>
      <c r="AW71" s="196" t="s">
        <v>188</v>
      </c>
      <c r="AX71" s="197" t="s">
        <v>0</v>
      </c>
      <c r="AY71" s="196" t="s">
        <v>188</v>
      </c>
      <c r="AZ71" s="197" t="s">
        <v>0</v>
      </c>
      <c r="BA71" s="196" t="s">
        <v>188</v>
      </c>
      <c r="BB71" s="197" t="s">
        <v>0</v>
      </c>
      <c r="BC71" s="196" t="s">
        <v>188</v>
      </c>
      <c r="BD71" s="197" t="s">
        <v>0</v>
      </c>
      <c r="BE71" s="196" t="s">
        <v>188</v>
      </c>
      <c r="BF71" s="197" t="s">
        <v>0</v>
      </c>
      <c r="BG71" s="196" t="s">
        <v>188</v>
      </c>
      <c r="BH71" s="197" t="s">
        <v>0</v>
      </c>
      <c r="BI71" s="196" t="s">
        <v>188</v>
      </c>
      <c r="BJ71" s="197" t="s">
        <v>0</v>
      </c>
    </row>
    <row r="72" spans="1:62" ht="20.399999999999999">
      <c r="A72" s="199" t="s">
        <v>210</v>
      </c>
      <c r="B72" s="195" t="s">
        <v>188</v>
      </c>
      <c r="C72" s="196">
        <v>40.67763816530308</v>
      </c>
      <c r="D72" s="197" t="s">
        <v>188</v>
      </c>
      <c r="E72" s="196">
        <v>37.717279417513033</v>
      </c>
      <c r="F72" s="197" t="s">
        <v>188</v>
      </c>
      <c r="G72" s="196">
        <v>37.512749292583898</v>
      </c>
      <c r="H72" s="197" t="s">
        <v>188</v>
      </c>
      <c r="I72" s="196">
        <v>39.008023024460606</v>
      </c>
      <c r="J72" s="197" t="s">
        <v>188</v>
      </c>
      <c r="K72" s="196">
        <v>37.198219880819195</v>
      </c>
      <c r="L72" s="197" t="s">
        <v>188</v>
      </c>
      <c r="M72" s="196">
        <v>37.98104820265641</v>
      </c>
      <c r="N72" s="197" t="s">
        <v>188</v>
      </c>
      <c r="O72" s="196">
        <v>195.5969857902864</v>
      </c>
      <c r="P72" s="197" t="s">
        <v>188</v>
      </c>
      <c r="Q72" s="196">
        <v>182.52164866412505</v>
      </c>
      <c r="R72" s="197" t="s">
        <v>188</v>
      </c>
      <c r="S72" s="196">
        <v>181.0733890064551</v>
      </c>
      <c r="T72" s="197" t="s">
        <v>188</v>
      </c>
      <c r="U72" s="196">
        <v>188.64412663453334</v>
      </c>
      <c r="V72" s="197" t="s">
        <v>188</v>
      </c>
      <c r="W72" s="196">
        <v>179.362176885243</v>
      </c>
      <c r="X72" s="197" t="s">
        <v>188</v>
      </c>
      <c r="Y72" s="196">
        <v>181.90145065381333</v>
      </c>
      <c r="Z72" s="197" t="s">
        <v>188</v>
      </c>
      <c r="AA72" s="196">
        <v>1029.2514346532748</v>
      </c>
      <c r="AB72" s="197" t="s">
        <v>188</v>
      </c>
      <c r="AC72" s="196">
        <v>777.53064728874654</v>
      </c>
      <c r="AD72" s="197" t="s">
        <v>188</v>
      </c>
      <c r="AE72" s="196">
        <v>700.67914775749659</v>
      </c>
      <c r="AF72" s="197" t="s">
        <v>188</v>
      </c>
      <c r="AG72" s="196">
        <v>734.92264221952428</v>
      </c>
      <c r="AH72" s="197" t="s">
        <v>188</v>
      </c>
      <c r="AI72" s="196">
        <v>655.24052026602226</v>
      </c>
      <c r="AJ72" s="197" t="s">
        <v>188</v>
      </c>
      <c r="AK72" s="196">
        <v>658.93708478814006</v>
      </c>
      <c r="AL72" s="197" t="s">
        <v>188</v>
      </c>
      <c r="AM72" s="196">
        <v>1303.4827575630261</v>
      </c>
      <c r="AN72" s="197" t="s">
        <v>188</v>
      </c>
      <c r="AO72" s="196">
        <v>1183.6042409585739</v>
      </c>
      <c r="AP72" s="197" t="s">
        <v>188</v>
      </c>
      <c r="AQ72" s="196">
        <v>1178.1050320167897</v>
      </c>
      <c r="AR72" s="197" t="s">
        <v>188</v>
      </c>
      <c r="AS72" s="196">
        <v>1114.2874897274039</v>
      </c>
      <c r="AT72" s="197" t="s">
        <v>188</v>
      </c>
      <c r="AU72" s="196">
        <v>1135.1415878730461</v>
      </c>
      <c r="AV72" s="197" t="s">
        <v>188</v>
      </c>
      <c r="AW72" s="196">
        <v>1159.9037475163327</v>
      </c>
      <c r="AX72" s="197" t="s">
        <v>188</v>
      </c>
      <c r="AY72" s="196">
        <v>1628.1473137325477</v>
      </c>
      <c r="AZ72" s="197" t="s">
        <v>188</v>
      </c>
      <c r="BA72" s="196">
        <v>1620.2209218524063</v>
      </c>
      <c r="BB72" s="197" t="s">
        <v>188</v>
      </c>
      <c r="BC72" s="196">
        <v>1642.2559372343012</v>
      </c>
      <c r="BD72" s="197" t="s">
        <v>188</v>
      </c>
      <c r="BE72" s="196">
        <v>1594.4195267557393</v>
      </c>
      <c r="BF72" s="197" t="s">
        <v>188</v>
      </c>
      <c r="BG72" s="196">
        <v>1637.8762778091466</v>
      </c>
      <c r="BH72" s="197" t="s">
        <v>188</v>
      </c>
      <c r="BI72" s="196">
        <v>1632.6153245751591</v>
      </c>
      <c r="BJ72" s="197" t="s">
        <v>188</v>
      </c>
    </row>
    <row r="73" spans="1:62" ht="20.399999999999999">
      <c r="A73" s="199" t="s">
        <v>211</v>
      </c>
      <c r="B73" s="195" t="s">
        <v>188</v>
      </c>
      <c r="C73" s="196">
        <v>41.178947368421049</v>
      </c>
      <c r="D73" s="197" t="s">
        <v>188</v>
      </c>
      <c r="E73" s="196">
        <v>37.331818181818178</v>
      </c>
      <c r="F73" s="197" t="s">
        <v>188</v>
      </c>
      <c r="G73" s="196">
        <v>37.057142857142857</v>
      </c>
      <c r="H73" s="197" t="s">
        <v>188</v>
      </c>
      <c r="I73" s="196">
        <v>38.9</v>
      </c>
      <c r="J73" s="197" t="s">
        <v>188</v>
      </c>
      <c r="K73" s="196">
        <v>36.925238095238093</v>
      </c>
      <c r="L73" s="197" t="s">
        <v>188</v>
      </c>
      <c r="M73" s="196">
        <v>38.070624999999993</v>
      </c>
      <c r="N73" s="197" t="s">
        <v>188</v>
      </c>
      <c r="O73" s="196">
        <v>196.55263157894737</v>
      </c>
      <c r="P73" s="197" t="s">
        <v>188</v>
      </c>
      <c r="Q73" s="196">
        <v>179.40909090909091</v>
      </c>
      <c r="R73" s="197" t="s">
        <v>188</v>
      </c>
      <c r="S73" s="196">
        <v>177.1</v>
      </c>
      <c r="T73" s="197" t="s">
        <v>188</v>
      </c>
      <c r="U73" s="196">
        <v>187.28571428571428</v>
      </c>
      <c r="V73" s="197" t="s">
        <v>188</v>
      </c>
      <c r="W73" s="196">
        <v>176.35750000000002</v>
      </c>
      <c r="X73" s="197" t="s">
        <v>188</v>
      </c>
      <c r="Y73" s="196">
        <v>180.24333333333334</v>
      </c>
      <c r="Z73" s="197" t="s">
        <v>188</v>
      </c>
      <c r="AA73" s="196">
        <v>1068.1681687242799</v>
      </c>
      <c r="AB73" s="197" t="s">
        <v>188</v>
      </c>
      <c r="AC73" s="196">
        <v>753.57211255118978</v>
      </c>
      <c r="AD73" s="197" t="s">
        <v>188</v>
      </c>
      <c r="AE73" s="196">
        <v>665.29989301805836</v>
      </c>
      <c r="AF73" s="197" t="s">
        <v>188</v>
      </c>
      <c r="AG73" s="196">
        <v>742.8</v>
      </c>
      <c r="AH73" s="197" t="s">
        <v>188</v>
      </c>
      <c r="AI73" s="196">
        <v>633.37048710755892</v>
      </c>
      <c r="AJ73" s="197" t="s">
        <v>188</v>
      </c>
      <c r="AK73" s="196">
        <v>673.85280350106405</v>
      </c>
      <c r="AL73" s="197" t="s">
        <v>188</v>
      </c>
      <c r="AM73" s="196">
        <v>1289.911111111111</v>
      </c>
      <c r="AN73" s="197" t="s">
        <v>188</v>
      </c>
      <c r="AO73" s="196">
        <v>1059.1292929292931</v>
      </c>
      <c r="AP73" s="197" t="s">
        <v>188</v>
      </c>
      <c r="AQ73" s="196">
        <v>1041.1111111111111</v>
      </c>
      <c r="AR73" s="197" t="s">
        <v>188</v>
      </c>
      <c r="AS73" s="196">
        <v>1134.7</v>
      </c>
      <c r="AT73" s="197" t="s">
        <v>188</v>
      </c>
      <c r="AU73" s="196">
        <v>1033.6444444444444</v>
      </c>
      <c r="AV73" s="197" t="s">
        <v>188</v>
      </c>
      <c r="AW73" s="196">
        <v>1120.5714285714287</v>
      </c>
      <c r="AX73" s="197" t="s">
        <v>188</v>
      </c>
      <c r="AY73" s="196">
        <v>1569.375</v>
      </c>
      <c r="AZ73" s="197" t="s">
        <v>188</v>
      </c>
      <c r="BA73" s="196">
        <v>1552.6111111111111</v>
      </c>
      <c r="BB73" s="197" t="s">
        <v>188</v>
      </c>
      <c r="BC73" s="196">
        <v>1584.6470588235295</v>
      </c>
      <c r="BD73" s="197" t="s">
        <v>188</v>
      </c>
      <c r="BE73" s="196">
        <v>1591.3181818181818</v>
      </c>
      <c r="BF73" s="197" t="s">
        <v>188</v>
      </c>
      <c r="BG73" s="196">
        <v>1571.6875</v>
      </c>
      <c r="BH73" s="197" t="s">
        <v>188</v>
      </c>
      <c r="BI73" s="196">
        <v>1608.3571428571429</v>
      </c>
      <c r="BJ73" s="197" t="s">
        <v>188</v>
      </c>
    </row>
    <row r="74" spans="1:62" ht="15" customHeight="1">
      <c r="A74" s="146" t="s">
        <v>178</v>
      </c>
      <c r="B74" s="143"/>
      <c r="C74" s="144"/>
      <c r="D74" s="86"/>
      <c r="E74" s="144"/>
      <c r="F74" s="86"/>
      <c r="G74" s="144"/>
      <c r="H74" s="86"/>
      <c r="I74" s="86"/>
      <c r="J74" s="86"/>
      <c r="K74" s="144"/>
      <c r="L74" s="86"/>
      <c r="M74" s="86"/>
      <c r="N74" s="86"/>
      <c r="O74" s="144"/>
      <c r="P74" s="86"/>
      <c r="Q74" s="144"/>
      <c r="R74" s="86"/>
      <c r="S74" s="144"/>
      <c r="T74" s="86"/>
      <c r="U74" s="86"/>
      <c r="V74" s="86"/>
      <c r="W74" s="144"/>
      <c r="X74" s="86"/>
      <c r="Y74" s="86"/>
      <c r="Z74" s="86"/>
      <c r="AA74" s="144"/>
      <c r="AB74" s="86"/>
      <c r="AC74" s="144"/>
      <c r="AD74" s="86"/>
      <c r="AE74" s="144"/>
      <c r="AF74" s="86"/>
      <c r="AG74" s="86"/>
      <c r="AH74" s="86"/>
      <c r="AI74" s="144"/>
      <c r="AJ74" s="86"/>
      <c r="AK74" s="86"/>
      <c r="AL74" s="86"/>
      <c r="AM74" s="144"/>
      <c r="AN74" s="86"/>
      <c r="AO74" s="144"/>
      <c r="AP74" s="86"/>
      <c r="AQ74" s="144"/>
      <c r="AR74" s="86"/>
      <c r="AS74" s="86"/>
      <c r="AT74" s="86"/>
      <c r="AU74" s="144"/>
      <c r="AV74" s="86"/>
      <c r="AW74" s="86"/>
      <c r="AX74" s="86"/>
      <c r="AY74" s="144"/>
      <c r="AZ74" s="86"/>
      <c r="BA74" s="144"/>
      <c r="BB74" s="86"/>
      <c r="BC74" s="144"/>
      <c r="BD74" s="86"/>
      <c r="BE74" s="86"/>
      <c r="BF74" s="86"/>
      <c r="BG74" s="144"/>
      <c r="BH74" s="86"/>
      <c r="BI74" s="86"/>
      <c r="BJ74" s="86"/>
    </row>
    <row r="75" spans="1:62" s="232" customFormat="1" ht="10.199999999999999">
      <c r="A75" s="62" t="s">
        <v>215</v>
      </c>
      <c r="B75" s="225"/>
      <c r="C75" s="225"/>
      <c r="D75" s="225"/>
      <c r="E75" s="225"/>
      <c r="F75" s="225"/>
      <c r="G75" s="225"/>
      <c r="H75" s="225"/>
      <c r="I75" s="225"/>
      <c r="J75" s="225"/>
      <c r="K75" s="225"/>
      <c r="L75" s="225"/>
      <c r="M75" s="225"/>
      <c r="N75" s="225"/>
      <c r="O75" s="225"/>
      <c r="P75" s="225"/>
      <c r="Q75" s="225"/>
      <c r="R75" s="225"/>
      <c r="S75" s="225"/>
      <c r="T75" s="225"/>
      <c r="U75" s="225"/>
      <c r="V75" s="225"/>
      <c r="W75" s="225"/>
      <c r="X75" s="225"/>
      <c r="Y75" s="225"/>
      <c r="Z75" s="225"/>
      <c r="AA75" s="225"/>
      <c r="AB75" s="225"/>
      <c r="AC75" s="225"/>
      <c r="AD75" s="225"/>
      <c r="AE75" s="225"/>
      <c r="AF75" s="225"/>
      <c r="AG75" s="225"/>
      <c r="AH75" s="225"/>
      <c r="AI75" s="225"/>
      <c r="AJ75" s="225"/>
      <c r="AK75" s="225"/>
      <c r="AL75" s="225"/>
      <c r="AM75" s="225"/>
      <c r="AN75" s="225"/>
      <c r="AO75" s="225"/>
      <c r="AP75" s="225"/>
      <c r="AQ75" s="225"/>
      <c r="AR75" s="225"/>
      <c r="AS75" s="225"/>
      <c r="AT75" s="225"/>
      <c r="AU75" s="226"/>
      <c r="AV75" s="225"/>
      <c r="AW75" s="225"/>
      <c r="AX75" s="225"/>
      <c r="AY75" s="225"/>
      <c r="AZ75" s="225"/>
      <c r="BA75" s="225"/>
      <c r="BB75" s="225"/>
      <c r="BC75" s="225"/>
      <c r="BD75" s="225"/>
      <c r="BE75" s="225"/>
      <c r="BF75" s="225"/>
      <c r="BG75" s="225"/>
      <c r="BH75" s="225"/>
      <c r="BI75" s="225"/>
      <c r="BJ75" s="225"/>
    </row>
    <row r="76" spans="1:62" s="232" customFormat="1" ht="10.199999999999999">
      <c r="A76" s="57" t="s">
        <v>136</v>
      </c>
      <c r="B76" s="57"/>
      <c r="C76" s="57"/>
      <c r="D76" s="57"/>
      <c r="E76" s="57"/>
      <c r="F76" s="57"/>
      <c r="G76" s="57"/>
      <c r="H76" s="57"/>
      <c r="I76" s="57"/>
      <c r="J76" s="57"/>
      <c r="K76" s="57"/>
      <c r="L76" s="57"/>
      <c r="M76" s="57"/>
      <c r="N76" s="57"/>
      <c r="O76" s="225"/>
      <c r="P76" s="225"/>
      <c r="Q76" s="225"/>
      <c r="R76" s="225"/>
      <c r="S76" s="225"/>
      <c r="T76" s="225"/>
      <c r="U76" s="225"/>
      <c r="V76" s="225"/>
      <c r="W76" s="225"/>
      <c r="X76" s="225"/>
      <c r="Y76" s="225"/>
      <c r="Z76" s="225"/>
      <c r="AA76" s="225"/>
      <c r="AB76" s="225"/>
      <c r="AC76" s="225"/>
      <c r="AD76" s="225"/>
      <c r="AE76" s="225"/>
      <c r="AF76" s="225"/>
      <c r="AG76" s="225"/>
      <c r="AH76" s="225"/>
      <c r="AI76" s="225"/>
      <c r="AJ76" s="225"/>
      <c r="AK76" s="225"/>
      <c r="AL76" s="225"/>
      <c r="AM76" s="225"/>
      <c r="AN76" s="225"/>
      <c r="AO76" s="225"/>
      <c r="AP76" s="225"/>
      <c r="AQ76" s="225"/>
      <c r="AR76" s="225"/>
      <c r="AS76" s="225"/>
      <c r="AT76" s="225"/>
      <c r="AU76" s="225"/>
      <c r="AV76" s="225"/>
      <c r="AW76" s="225"/>
      <c r="AX76" s="225"/>
      <c r="AY76" s="225"/>
      <c r="AZ76" s="225"/>
      <c r="BA76" s="225"/>
      <c r="BB76" s="225"/>
      <c r="BC76" s="225"/>
      <c r="BD76" s="225"/>
      <c r="BE76" s="225"/>
      <c r="BF76" s="225"/>
      <c r="BG76" s="225"/>
      <c r="BH76" s="225"/>
      <c r="BI76" s="225"/>
      <c r="BJ76" s="225"/>
    </row>
    <row r="77" spans="1:62" s="232" customFormat="1" ht="10.199999999999999">
      <c r="A77" s="57" t="s">
        <v>214</v>
      </c>
      <c r="B77" s="57"/>
      <c r="C77" s="57"/>
      <c r="D77" s="57"/>
      <c r="E77" s="57"/>
      <c r="F77" s="57"/>
      <c r="G77" s="57"/>
      <c r="H77" s="57"/>
      <c r="I77" s="57"/>
      <c r="J77" s="57"/>
      <c r="K77" s="57"/>
      <c r="L77" s="57"/>
      <c r="M77" s="57"/>
      <c r="N77" s="57"/>
      <c r="O77" s="225"/>
      <c r="P77" s="225"/>
      <c r="Q77" s="225"/>
      <c r="R77" s="225"/>
      <c r="S77" s="225"/>
      <c r="T77" s="225"/>
      <c r="U77" s="225"/>
      <c r="V77" s="225"/>
      <c r="W77" s="225"/>
      <c r="X77" s="225"/>
      <c r="Y77" s="225"/>
      <c r="Z77" s="225"/>
      <c r="AA77" s="225"/>
      <c r="AB77" s="225"/>
      <c r="AC77" s="225"/>
      <c r="AD77" s="225"/>
      <c r="AE77" s="225"/>
      <c r="AF77" s="225"/>
      <c r="AG77" s="225"/>
      <c r="AH77" s="225"/>
      <c r="AI77" s="225"/>
      <c r="AJ77" s="225"/>
      <c r="AK77" s="225"/>
      <c r="AL77" s="225"/>
      <c r="AM77" s="225"/>
      <c r="AN77" s="225"/>
      <c r="AO77" s="225"/>
      <c r="AP77" s="225"/>
      <c r="AQ77" s="225"/>
      <c r="AR77" s="225"/>
      <c r="AS77" s="225"/>
      <c r="AT77" s="225"/>
      <c r="AU77" s="225"/>
      <c r="AV77" s="225"/>
      <c r="AW77" s="225"/>
      <c r="AX77" s="225"/>
      <c r="AY77" s="225"/>
      <c r="AZ77" s="225"/>
      <c r="BA77" s="225"/>
      <c r="BB77" s="225"/>
      <c r="BC77" s="225"/>
      <c r="BD77" s="225"/>
      <c r="BE77" s="225"/>
      <c r="BF77" s="225"/>
      <c r="BG77" s="225"/>
      <c r="BH77" s="225"/>
      <c r="BI77" s="225"/>
      <c r="BJ77" s="225"/>
    </row>
    <row r="78" spans="1:62" s="232" customFormat="1" ht="10.199999999999999">
      <c r="A78" s="57" t="s">
        <v>207</v>
      </c>
      <c r="B78" s="57"/>
      <c r="C78" s="57"/>
      <c r="D78" s="57"/>
      <c r="E78" s="57"/>
      <c r="F78" s="57"/>
      <c r="G78" s="57"/>
      <c r="H78" s="57"/>
      <c r="I78" s="57"/>
      <c r="J78" s="57"/>
      <c r="K78" s="57"/>
      <c r="L78" s="57"/>
      <c r="M78" s="57"/>
      <c r="N78" s="57"/>
      <c r="O78" s="225"/>
      <c r="P78" s="225"/>
      <c r="Q78" s="225"/>
      <c r="R78" s="225"/>
      <c r="S78" s="225"/>
      <c r="T78" s="225"/>
      <c r="U78" s="225"/>
      <c r="V78" s="225"/>
      <c r="W78" s="225"/>
      <c r="X78" s="225"/>
      <c r="Y78" s="225"/>
      <c r="Z78" s="225"/>
      <c r="AA78" s="225"/>
      <c r="AB78" s="225"/>
      <c r="AC78" s="225"/>
      <c r="AD78" s="225"/>
      <c r="AE78" s="225"/>
      <c r="AF78" s="225"/>
      <c r="AG78" s="225"/>
      <c r="AH78" s="225"/>
      <c r="AI78" s="225"/>
      <c r="AJ78" s="225"/>
      <c r="AK78" s="225"/>
      <c r="AL78" s="225"/>
      <c r="AM78" s="225"/>
      <c r="AN78" s="225"/>
      <c r="AO78" s="225"/>
      <c r="AP78" s="225"/>
      <c r="AQ78" s="225"/>
      <c r="AR78" s="225"/>
      <c r="AS78" s="225"/>
      <c r="AT78" s="225"/>
      <c r="AU78" s="225"/>
      <c r="AV78" s="225"/>
      <c r="AW78" s="225"/>
      <c r="AX78" s="225"/>
      <c r="AY78" s="225"/>
      <c r="AZ78" s="225"/>
      <c r="BA78" s="225"/>
      <c r="BB78" s="225"/>
      <c r="BC78" s="225"/>
      <c r="BD78" s="225"/>
      <c r="BE78" s="225"/>
      <c r="BF78" s="225"/>
      <c r="BG78" s="225"/>
      <c r="BH78" s="225"/>
      <c r="BI78" s="225"/>
      <c r="BJ78" s="225"/>
    </row>
    <row r="79" spans="1:62" s="232" customFormat="1" ht="10.199999999999999">
      <c r="A79" s="57" t="s">
        <v>205</v>
      </c>
      <c r="B79" s="122"/>
      <c r="C79" s="122"/>
      <c r="D79" s="122"/>
      <c r="E79" s="122"/>
      <c r="F79" s="122"/>
      <c r="G79" s="122"/>
      <c r="H79" s="122"/>
      <c r="I79" s="122"/>
      <c r="J79" s="122"/>
      <c r="K79" s="122"/>
      <c r="L79" s="122"/>
      <c r="M79" s="122"/>
      <c r="N79" s="122"/>
      <c r="O79" s="225"/>
      <c r="P79" s="225"/>
      <c r="Q79" s="225"/>
      <c r="R79" s="225"/>
      <c r="S79" s="225"/>
      <c r="T79" s="225"/>
      <c r="U79" s="225"/>
      <c r="V79" s="225"/>
      <c r="W79" s="225"/>
      <c r="X79" s="225"/>
      <c r="Y79" s="225"/>
      <c r="Z79" s="225"/>
      <c r="AA79" s="225"/>
      <c r="AB79" s="225"/>
      <c r="AC79" s="225"/>
      <c r="AD79" s="225"/>
      <c r="AE79" s="225"/>
      <c r="AF79" s="225"/>
      <c r="AG79" s="225"/>
      <c r="AH79" s="225"/>
      <c r="AI79" s="225"/>
      <c r="AJ79" s="225"/>
      <c r="AK79" s="225"/>
      <c r="AL79" s="225"/>
      <c r="AM79" s="225"/>
      <c r="AN79" s="225"/>
      <c r="AO79" s="225"/>
      <c r="AP79" s="225"/>
      <c r="AQ79" s="225"/>
      <c r="AR79" s="225"/>
      <c r="AS79" s="225"/>
      <c r="AT79" s="225"/>
      <c r="AU79" s="225"/>
      <c r="AV79" s="225"/>
      <c r="AW79" s="225"/>
      <c r="AX79" s="225"/>
      <c r="AY79" s="225"/>
      <c r="AZ79" s="225"/>
      <c r="BA79" s="225"/>
      <c r="BB79" s="225"/>
      <c r="BC79" s="225"/>
      <c r="BD79" s="225"/>
      <c r="BE79" s="225"/>
      <c r="BF79" s="225"/>
      <c r="BG79" s="225"/>
      <c r="BH79" s="225"/>
      <c r="BI79" s="225"/>
      <c r="BJ79" s="225"/>
    </row>
    <row r="80" spans="1:62" s="227" customFormat="1" ht="10.199999999999999">
      <c r="A80" s="122" t="s">
        <v>206</v>
      </c>
      <c r="AA80" s="228"/>
      <c r="AB80" s="228"/>
      <c r="AC80" s="228"/>
      <c r="AD80" s="228"/>
      <c r="AE80" s="228"/>
      <c r="AF80" s="228"/>
      <c r="AG80" s="228"/>
      <c r="AH80" s="228"/>
      <c r="AI80" s="228"/>
      <c r="AJ80" s="228"/>
      <c r="AK80" s="228"/>
      <c r="AL80" s="228"/>
    </row>
    <row r="81" spans="1:26" s="227" customFormat="1" ht="10.199999999999999">
      <c r="A81" s="147" t="s">
        <v>216</v>
      </c>
    </row>
    <row r="82" spans="1:26" ht="10.199999999999999">
      <c r="A82" s="58" t="s">
        <v>85</v>
      </c>
    </row>
    <row r="83" spans="1:26" ht="10.199999999999999">
      <c r="A83" s="123"/>
    </row>
    <row r="84" spans="1:26" ht="22.5" customHeight="1">
      <c r="A84" s="389" t="s">
        <v>212</v>
      </c>
      <c r="B84" s="389"/>
      <c r="C84" s="389"/>
      <c r="D84" s="389"/>
      <c r="E84" s="389"/>
      <c r="F84" s="389"/>
      <c r="G84" s="389"/>
      <c r="H84" s="389"/>
      <c r="I84" s="389"/>
      <c r="J84" s="389"/>
      <c r="K84" s="389"/>
      <c r="L84" s="389"/>
      <c r="M84" s="389"/>
      <c r="N84" s="389"/>
      <c r="O84" s="389"/>
      <c r="P84" s="389"/>
      <c r="Q84" s="389"/>
      <c r="R84" s="389"/>
      <c r="S84" s="389"/>
      <c r="T84" s="389"/>
      <c r="U84" s="389"/>
      <c r="V84" s="389"/>
      <c r="W84" s="389"/>
      <c r="X84" s="389"/>
      <c r="Y84" s="389"/>
      <c r="Z84" s="389"/>
    </row>
  </sheetData>
  <mergeCells count="70">
    <mergeCell ref="A8:BG8"/>
    <mergeCell ref="A7:AA7"/>
    <mergeCell ref="A10:A12"/>
    <mergeCell ref="B10:B12"/>
    <mergeCell ref="C11:D11"/>
    <mergeCell ref="C12:D12"/>
    <mergeCell ref="E11:F11"/>
    <mergeCell ref="E12:F12"/>
    <mergeCell ref="G11:H11"/>
    <mergeCell ref="G12:H12"/>
    <mergeCell ref="K11:L11"/>
    <mergeCell ref="K12:L12"/>
    <mergeCell ref="O11:P11"/>
    <mergeCell ref="O12:P12"/>
    <mergeCell ref="Q11:R11"/>
    <mergeCell ref="Q12:R12"/>
    <mergeCell ref="I11:J11"/>
    <mergeCell ref="AO12:AP12"/>
    <mergeCell ref="AA11:AB11"/>
    <mergeCell ref="AA12:AB12"/>
    <mergeCell ref="AC11:AD11"/>
    <mergeCell ref="M11:N11"/>
    <mergeCell ref="AE12:AF12"/>
    <mergeCell ref="U11:V11"/>
    <mergeCell ref="AG11:AH11"/>
    <mergeCell ref="S11:T11"/>
    <mergeCell ref="S12:T12"/>
    <mergeCell ref="AE11:AF11"/>
    <mergeCell ref="W11:X11"/>
    <mergeCell ref="W12:X12"/>
    <mergeCell ref="AC12:AD12"/>
    <mergeCell ref="Y11:Z11"/>
    <mergeCell ref="BI11:BJ11"/>
    <mergeCell ref="AK11:AL11"/>
    <mergeCell ref="AW11:AX11"/>
    <mergeCell ref="BA11:BB11"/>
    <mergeCell ref="BA12:BB12"/>
    <mergeCell ref="BC11:BD11"/>
    <mergeCell ref="BC12:BD12"/>
    <mergeCell ref="AQ11:AR11"/>
    <mergeCell ref="AQ12:AR12"/>
    <mergeCell ref="AU11:AV11"/>
    <mergeCell ref="AU12:AV12"/>
    <mergeCell ref="AY11:AZ11"/>
    <mergeCell ref="BG11:BH11"/>
    <mergeCell ref="BG12:BH12"/>
    <mergeCell ref="BE11:BF11"/>
    <mergeCell ref="AY12:AZ12"/>
    <mergeCell ref="A84:Z84"/>
    <mergeCell ref="AY10:BJ10"/>
    <mergeCell ref="M12:N12"/>
    <mergeCell ref="U12:V12"/>
    <mergeCell ref="Y12:Z12"/>
    <mergeCell ref="AG12:AH12"/>
    <mergeCell ref="AK12:AL12"/>
    <mergeCell ref="AS12:AT12"/>
    <mergeCell ref="AW12:AX12"/>
    <mergeCell ref="BE12:BF12"/>
    <mergeCell ref="BI12:BJ12"/>
    <mergeCell ref="C10:N10"/>
    <mergeCell ref="O10:Z10"/>
    <mergeCell ref="AA10:AL10"/>
    <mergeCell ref="AM10:AX10"/>
    <mergeCell ref="I12:J12"/>
    <mergeCell ref="AS11:AT11"/>
    <mergeCell ref="AI11:AJ11"/>
    <mergeCell ref="AI12:AJ12"/>
    <mergeCell ref="AM11:AN11"/>
    <mergeCell ref="AM12:AN12"/>
    <mergeCell ref="AO11:AP11"/>
  </mergeCells>
  <conditionalFormatting sqref="B78:BJ82 A74:BJ77 A78">
    <cfRule type="expression" dxfId="9" priority="65">
      <formula>A74&lt;&gt;#REF!</formula>
    </cfRule>
  </conditionalFormatting>
  <conditionalFormatting sqref="A79:A83">
    <cfRule type="expression" dxfId="8" priority="67">
      <formula>A79&lt;&gt;#REF!</formula>
    </cfRule>
  </conditionalFormatting>
  <conditionalFormatting sqref="B72:BJ73 A6:BJ71">
    <cfRule type="expression" dxfId="7" priority="69">
      <formula>A6&lt;&gt;#REF!</formula>
    </cfRule>
  </conditionalFormatting>
  <hyperlinks>
    <hyperlink ref="A1" r:id="rId1" display="https://doi.org/10.1787/eag-2018-en"/>
    <hyperlink ref="A4" r:id="rId2"/>
  </hyperlinks>
  <printOptions horizontalCentered="1"/>
  <pageMargins left="0.23622047244094491" right="0.23622047244094491" top="0.74803149606299213" bottom="0.74803149606299213" header="0.31496062992125984" footer="0.31496062992125984"/>
  <pageSetup paperSize="9" scale="21" orientation="landscape" r:id="rId3"/>
  <headerFooter alignWithMargins="0"/>
  <legacy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tabColor rgb="FFFF0000"/>
    <pageSetUpPr fitToPage="1"/>
  </sheetPr>
  <dimension ref="A1:DP90"/>
  <sheetViews>
    <sheetView zoomScaleNormal="100" zoomScalePageLayoutView="90" workbookViewId="0">
      <pane xSplit="2" ySplit="12" topLeftCell="C13" activePane="bottomRight" state="frozen"/>
      <selection sqref="A1:XFD1048576"/>
      <selection pane="topRight" sqref="A1:XFD1048576"/>
      <selection pane="bottomLeft" sqref="A1:XFD1048576"/>
      <selection pane="bottomRight"/>
    </sheetView>
  </sheetViews>
  <sheetFormatPr defaultColWidth="9" defaultRowHeight="10.199999999999999"/>
  <cols>
    <col min="1" max="1" width="25.625" style="63" customWidth="1"/>
    <col min="2" max="2" width="3.125" style="63" bestFit="1" customWidth="1"/>
    <col min="3" max="3" width="4.25" style="63" customWidth="1"/>
    <col min="4" max="4" width="2.625" style="63" customWidth="1"/>
    <col min="5" max="5" width="4.25" style="63" customWidth="1"/>
    <col min="6" max="6" width="2.625" style="63" customWidth="1"/>
    <col min="7" max="7" width="4.25" style="63" customWidth="1"/>
    <col min="8" max="8" width="2.625" style="63" customWidth="1"/>
    <col min="9" max="9" width="4.25" style="63" customWidth="1"/>
    <col min="10" max="10" width="2.625" style="63" customWidth="1"/>
    <col min="11" max="11" width="4.25" style="63" customWidth="1"/>
    <col min="12" max="12" width="2.625" style="63" customWidth="1"/>
    <col min="13" max="13" width="4.25" style="63" customWidth="1"/>
    <col min="14" max="14" width="2.625" style="63" customWidth="1"/>
    <col min="15" max="15" width="4.25" style="63" customWidth="1"/>
    <col min="16" max="16" width="2.625" style="63" customWidth="1"/>
    <col min="17" max="17" width="4.5" style="63" customWidth="1"/>
    <col min="18" max="18" width="2.625" style="63" customWidth="1"/>
    <col min="19" max="19" width="4.5" style="63" customWidth="1"/>
    <col min="20" max="20" width="2.625" style="63" customWidth="1"/>
    <col min="21" max="21" width="4.5" style="223" customWidth="1"/>
    <col min="22" max="22" width="2.625" style="223" customWidth="1"/>
    <col min="23" max="23" width="4.375" style="223" customWidth="1"/>
    <col min="24" max="24" width="2.625" style="223" customWidth="1"/>
    <col min="25" max="25" width="4.75" style="223" customWidth="1"/>
    <col min="26" max="26" width="2.625" style="223" customWidth="1"/>
    <col min="27" max="27" width="4.75" style="223" customWidth="1"/>
    <col min="28" max="28" width="2.625" style="223" customWidth="1"/>
    <col min="29" max="29" width="4.75" style="223" customWidth="1"/>
    <col min="30" max="30" width="2.625" style="223" customWidth="1"/>
    <col min="31" max="31" width="4" style="63" customWidth="1"/>
    <col min="32" max="32" width="2.625" style="63" customWidth="1"/>
    <col min="33" max="33" width="4.25" style="63" customWidth="1"/>
    <col min="34" max="34" width="2.625" style="63" customWidth="1"/>
    <col min="35" max="35" width="4.25" style="63" customWidth="1"/>
    <col min="36" max="36" width="2.625" style="63" customWidth="1"/>
    <col min="37" max="37" width="4.25" style="63" customWidth="1"/>
    <col min="38" max="38" width="2.625" style="63" customWidth="1"/>
    <col min="39" max="39" width="4.25" style="63" customWidth="1"/>
    <col min="40" max="40" width="2.625" style="63" customWidth="1"/>
    <col min="41" max="41" width="4.25" style="63" customWidth="1"/>
    <col min="42" max="42" width="2.625" style="63" customWidth="1"/>
    <col min="43" max="43" width="4.5" style="63" customWidth="1"/>
    <col min="44" max="44" width="2.625" style="63" customWidth="1"/>
    <col min="45" max="45" width="4.25" style="63" customWidth="1"/>
    <col min="46" max="46" width="2.5" style="63" bestFit="1" customWidth="1"/>
    <col min="47" max="47" width="4.25" style="63" customWidth="1"/>
    <col min="48" max="48" width="2.625" style="63" customWidth="1"/>
    <col min="49" max="49" width="4.625" style="223" customWidth="1"/>
    <col min="50" max="50" width="2.625" style="223" customWidth="1"/>
    <col min="51" max="51" width="4.125" style="223" customWidth="1"/>
    <col min="52" max="52" width="2.625" style="223" customWidth="1"/>
    <col min="53" max="53" width="4.25" style="223" bestFit="1" customWidth="1"/>
    <col min="54" max="54" width="2.625" style="223" customWidth="1"/>
    <col min="55" max="55" width="4.25" style="223" bestFit="1" customWidth="1"/>
    <col min="56" max="56" width="2.625" style="223" customWidth="1"/>
    <col min="57" max="57" width="4.25" style="223" bestFit="1" customWidth="1"/>
    <col min="58" max="58" width="2.625" style="223" customWidth="1"/>
    <col min="59" max="59" width="4.25" style="63" customWidth="1"/>
    <col min="60" max="60" width="2.625" style="63" customWidth="1"/>
    <col min="61" max="61" width="4.25" style="63" customWidth="1"/>
    <col min="62" max="62" width="2.625" style="63" customWidth="1"/>
    <col min="63" max="63" width="4.25" style="63" customWidth="1"/>
    <col min="64" max="64" width="2.625" style="63" customWidth="1"/>
    <col min="65" max="65" width="4.25" style="63" customWidth="1"/>
    <col min="66" max="66" width="2.625" style="63" customWidth="1"/>
    <col min="67" max="67" width="4.25" style="63" customWidth="1"/>
    <col min="68" max="68" width="2.625" style="63" customWidth="1"/>
    <col min="69" max="69" width="4.25" style="63" customWidth="1"/>
    <col min="70" max="70" width="2.625" style="63" customWidth="1"/>
    <col min="71" max="71" width="4.5" style="63" customWidth="1"/>
    <col min="72" max="72" width="2.625" style="63" customWidth="1"/>
    <col min="73" max="73" width="4.25" style="63" customWidth="1"/>
    <col min="74" max="74" width="2.625" style="63" customWidth="1"/>
    <col min="75" max="75" width="4.25" style="63" customWidth="1"/>
    <col min="76" max="76" width="2.625" style="63" customWidth="1"/>
    <col min="77" max="77" width="5.25" style="63" customWidth="1"/>
    <col min="78" max="78" width="2.625" style="63" customWidth="1"/>
    <col min="79" max="79" width="4.125" style="63" customWidth="1"/>
    <col min="80" max="80" width="2.625" style="63" customWidth="1"/>
    <col min="81" max="81" width="4.25" style="63" bestFit="1" customWidth="1"/>
    <col min="82" max="82" width="2.625" style="63" customWidth="1"/>
    <col min="83" max="83" width="4.25" style="63" bestFit="1" customWidth="1"/>
    <col min="84" max="84" width="2.625" style="63" customWidth="1"/>
    <col min="85" max="85" width="4.25" style="63" bestFit="1" customWidth="1"/>
    <col min="86" max="86" width="2.625" style="63" customWidth="1"/>
    <col min="87" max="87" width="4" style="63" customWidth="1"/>
    <col min="88" max="88" width="2.625" style="63" customWidth="1"/>
    <col min="89" max="89" width="4.25" style="63" customWidth="1"/>
    <col min="90" max="90" width="2.625" style="63" customWidth="1"/>
    <col min="91" max="91" width="4.25" style="63" customWidth="1"/>
    <col min="92" max="92" width="2.625" style="63" customWidth="1"/>
    <col min="93" max="93" width="4.25" style="63" customWidth="1"/>
    <col min="94" max="94" width="2.625" style="63" customWidth="1"/>
    <col min="95" max="95" width="4.25" style="63" customWidth="1"/>
    <col min="96" max="96" width="2.625" style="63" customWidth="1"/>
    <col min="97" max="97" width="4.25" style="63" customWidth="1"/>
    <col min="98" max="98" width="2.625" style="63" customWidth="1"/>
    <col min="99" max="99" width="4.25" style="63" bestFit="1" customWidth="1"/>
    <col min="100" max="100" width="2.625" style="63" customWidth="1"/>
    <col min="101" max="101" width="4.25" style="63" customWidth="1"/>
    <col min="102" max="102" width="2.625" style="63" customWidth="1"/>
    <col min="103" max="103" width="4.25" style="63" customWidth="1"/>
    <col min="104" max="104" width="2.625" style="63" customWidth="1"/>
    <col min="105" max="105" width="4.25" style="63" bestFit="1" customWidth="1"/>
    <col min="106" max="106" width="2.625" style="63" customWidth="1"/>
    <col min="107" max="107" width="4.625" style="63" customWidth="1"/>
    <col min="108" max="108" width="2.625" style="63" customWidth="1"/>
    <col min="109" max="109" width="4.25" style="63" bestFit="1" customWidth="1"/>
    <col min="110" max="110" width="2.625" style="63" customWidth="1"/>
    <col min="111" max="111" width="4.25" style="63" bestFit="1" customWidth="1"/>
    <col min="112" max="112" width="2.625" style="63" customWidth="1"/>
    <col min="113" max="113" width="5.25" style="63" customWidth="1"/>
    <col min="114" max="114" width="2.625" style="63" customWidth="1"/>
    <col min="115" max="119" width="9" style="91"/>
    <col min="120" max="16384" width="9" style="63"/>
  </cols>
  <sheetData>
    <row r="1" spans="1:119" s="487" customFormat="1" ht="13.2">
      <c r="A1" s="488" t="s">
        <v>235</v>
      </c>
      <c r="U1" s="486"/>
      <c r="V1" s="486"/>
      <c r="W1" s="486"/>
      <c r="X1" s="486"/>
      <c r="Y1" s="486"/>
      <c r="Z1" s="486"/>
      <c r="AA1" s="486"/>
      <c r="AB1" s="486"/>
      <c r="AC1" s="486"/>
      <c r="AD1" s="486"/>
      <c r="AW1" s="486"/>
      <c r="AX1" s="486"/>
      <c r="AY1" s="486"/>
      <c r="AZ1" s="486"/>
      <c r="BA1" s="486"/>
      <c r="BB1" s="486"/>
      <c r="BC1" s="486"/>
      <c r="BD1" s="486"/>
      <c r="BE1" s="486"/>
      <c r="BF1" s="486"/>
      <c r="DK1" s="485"/>
      <c r="DL1" s="485"/>
      <c r="DM1" s="485"/>
      <c r="DN1" s="485"/>
      <c r="DO1" s="485"/>
    </row>
    <row r="2" spans="1:119" s="487" customFormat="1" ht="13.2">
      <c r="A2" s="487" t="s">
        <v>236</v>
      </c>
      <c r="B2" s="487" t="s">
        <v>237</v>
      </c>
      <c r="U2" s="486"/>
      <c r="V2" s="486"/>
      <c r="W2" s="486"/>
      <c r="X2" s="486"/>
      <c r="Y2" s="486"/>
      <c r="Z2" s="486"/>
      <c r="AA2" s="486"/>
      <c r="AB2" s="486"/>
      <c r="AC2" s="486"/>
      <c r="AD2" s="486"/>
      <c r="AW2" s="486"/>
      <c r="AX2" s="486"/>
      <c r="AY2" s="486"/>
      <c r="AZ2" s="486"/>
      <c r="BA2" s="486"/>
      <c r="BB2" s="486"/>
      <c r="BC2" s="486"/>
      <c r="BD2" s="486"/>
      <c r="BE2" s="486"/>
      <c r="BF2" s="486"/>
      <c r="DK2" s="485"/>
      <c r="DL2" s="485"/>
      <c r="DM2" s="485"/>
      <c r="DN2" s="485"/>
      <c r="DO2" s="485"/>
    </row>
    <row r="3" spans="1:119" s="487" customFormat="1" ht="13.2">
      <c r="A3" s="487" t="s">
        <v>238</v>
      </c>
      <c r="U3" s="486"/>
      <c r="V3" s="486"/>
      <c r="W3" s="486"/>
      <c r="X3" s="486"/>
      <c r="Y3" s="486"/>
      <c r="Z3" s="486"/>
      <c r="AA3" s="486"/>
      <c r="AB3" s="486"/>
      <c r="AC3" s="486"/>
      <c r="AD3" s="486"/>
      <c r="AW3" s="486"/>
      <c r="AX3" s="486"/>
      <c r="AY3" s="486"/>
      <c r="AZ3" s="486"/>
      <c r="BA3" s="486"/>
      <c r="BB3" s="486"/>
      <c r="BC3" s="486"/>
      <c r="BD3" s="486"/>
      <c r="BE3" s="486"/>
      <c r="BF3" s="486"/>
      <c r="DK3" s="485"/>
      <c r="DL3" s="485"/>
      <c r="DM3" s="485"/>
      <c r="DN3" s="485"/>
      <c r="DO3" s="485"/>
    </row>
    <row r="4" spans="1:119" s="487" customFormat="1" ht="13.2">
      <c r="A4" s="488" t="s">
        <v>239</v>
      </c>
      <c r="U4" s="486"/>
      <c r="V4" s="486"/>
      <c r="W4" s="486"/>
      <c r="X4" s="486"/>
      <c r="Y4" s="486"/>
      <c r="Z4" s="486"/>
      <c r="AA4" s="486"/>
      <c r="AB4" s="486"/>
      <c r="AC4" s="486"/>
      <c r="AD4" s="486"/>
      <c r="AW4" s="486"/>
      <c r="AX4" s="486"/>
      <c r="AY4" s="486"/>
      <c r="AZ4" s="486"/>
      <c r="BA4" s="486"/>
      <c r="BB4" s="486"/>
      <c r="BC4" s="486"/>
      <c r="BD4" s="486"/>
      <c r="BE4" s="486"/>
      <c r="BF4" s="486"/>
      <c r="DK4" s="485"/>
      <c r="DL4" s="485"/>
      <c r="DM4" s="485"/>
      <c r="DN4" s="485"/>
      <c r="DO4" s="485"/>
    </row>
    <row r="5" spans="1:119" s="487" customFormat="1" ht="13.2">
      <c r="U5" s="486"/>
      <c r="V5" s="486"/>
      <c r="W5" s="486"/>
      <c r="X5" s="486"/>
      <c r="Y5" s="486"/>
      <c r="Z5" s="486"/>
      <c r="AA5" s="486"/>
      <c r="AB5" s="486"/>
      <c r="AC5" s="486"/>
      <c r="AD5" s="486"/>
      <c r="AW5" s="486"/>
      <c r="AX5" s="486"/>
      <c r="AY5" s="486"/>
      <c r="AZ5" s="486"/>
      <c r="BA5" s="486"/>
      <c r="BB5" s="486"/>
      <c r="BC5" s="486"/>
      <c r="BD5" s="486"/>
      <c r="BE5" s="486"/>
      <c r="BF5" s="486"/>
      <c r="DK5" s="485"/>
      <c r="DL5" s="485"/>
      <c r="DM5" s="485"/>
      <c r="DN5" s="485"/>
      <c r="DO5" s="485"/>
    </row>
    <row r="6" spans="1:119">
      <c r="A6" s="198" t="s">
        <v>147</v>
      </c>
      <c r="B6" s="198"/>
      <c r="C6" s="198"/>
      <c r="D6" s="198"/>
      <c r="E6" s="198"/>
      <c r="F6" s="198"/>
      <c r="G6" s="198"/>
      <c r="H6" s="198"/>
      <c r="I6" s="198"/>
      <c r="J6" s="198"/>
      <c r="K6" s="198"/>
      <c r="L6" s="198"/>
      <c r="M6" s="198"/>
      <c r="N6" s="198"/>
      <c r="O6" s="198"/>
      <c r="P6" s="198"/>
      <c r="Q6" s="198"/>
      <c r="R6" s="198"/>
      <c r="S6" s="198"/>
      <c r="T6" s="198"/>
      <c r="U6" s="198"/>
      <c r="V6" s="198"/>
      <c r="W6" s="198"/>
      <c r="X6" s="198"/>
      <c r="Y6" s="198"/>
      <c r="Z6" s="198"/>
      <c r="AA6" s="198"/>
      <c r="AB6" s="198"/>
      <c r="AC6" s="198"/>
      <c r="AD6" s="198"/>
      <c r="AE6" s="198"/>
      <c r="AF6" s="198"/>
      <c r="AG6" s="198"/>
      <c r="AH6" s="198"/>
      <c r="AI6" s="198"/>
      <c r="AJ6" s="198"/>
      <c r="AK6" s="198"/>
      <c r="AL6" s="198"/>
      <c r="AM6" s="198"/>
      <c r="AN6" s="198"/>
      <c r="AO6" s="198"/>
      <c r="AP6" s="198"/>
      <c r="AQ6" s="198"/>
      <c r="AR6" s="198"/>
      <c r="AS6" s="198"/>
      <c r="AT6" s="26"/>
      <c r="AU6" s="26"/>
      <c r="AV6" s="26"/>
      <c r="AW6" s="27"/>
      <c r="AX6" s="27"/>
      <c r="AY6" s="27"/>
      <c r="AZ6" s="27"/>
      <c r="BA6" s="27"/>
      <c r="BB6" s="27"/>
      <c r="BC6" s="27"/>
      <c r="BD6" s="27"/>
      <c r="BE6" s="27"/>
      <c r="BF6" s="27"/>
      <c r="BG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c r="CT6" s="26"/>
      <c r="CU6" s="26"/>
      <c r="CV6" s="26"/>
      <c r="CW6" s="26"/>
      <c r="CX6" s="26"/>
      <c r="CY6" s="26"/>
      <c r="CZ6" s="26"/>
      <c r="DA6" s="26"/>
      <c r="DB6" s="26"/>
      <c r="DC6" s="26"/>
      <c r="DD6" s="26"/>
      <c r="DE6" s="26"/>
      <c r="DF6" s="26"/>
      <c r="DG6" s="26"/>
      <c r="DH6" s="26"/>
      <c r="DI6" s="26"/>
      <c r="DJ6" s="26"/>
    </row>
    <row r="7" spans="1:119">
      <c r="A7" s="416" t="s">
        <v>200</v>
      </c>
      <c r="B7" s="416"/>
      <c r="C7" s="416"/>
      <c r="D7" s="416"/>
      <c r="E7" s="416"/>
      <c r="F7" s="416"/>
      <c r="G7" s="416"/>
      <c r="H7" s="416"/>
      <c r="I7" s="416"/>
      <c r="J7" s="416"/>
      <c r="K7" s="416"/>
      <c r="L7" s="416"/>
      <c r="M7" s="416"/>
      <c r="N7" s="204"/>
      <c r="U7" s="63"/>
      <c r="V7" s="63"/>
      <c r="W7" s="63"/>
      <c r="X7" s="63"/>
      <c r="Y7" s="63"/>
      <c r="Z7" s="63"/>
      <c r="AA7" s="63"/>
      <c r="AB7" s="63"/>
      <c r="AC7" s="63"/>
      <c r="AD7" s="63"/>
      <c r="AW7" s="63"/>
      <c r="AX7" s="63"/>
      <c r="AY7" s="63"/>
      <c r="AZ7" s="63"/>
      <c r="BA7" s="63"/>
      <c r="BB7" s="63"/>
      <c r="BC7" s="63"/>
      <c r="BD7" s="63"/>
      <c r="BE7" s="63"/>
      <c r="BF7" s="63"/>
      <c r="BK7" s="41"/>
      <c r="BL7" s="41"/>
      <c r="BM7" s="41"/>
      <c r="BN7" s="41"/>
      <c r="BO7" s="41"/>
      <c r="BP7" s="41"/>
      <c r="BQ7" s="41"/>
      <c r="BR7" s="41"/>
      <c r="BS7" s="41"/>
      <c r="BT7" s="41"/>
      <c r="BU7" s="41"/>
      <c r="BV7" s="41"/>
      <c r="BW7" s="41"/>
      <c r="BX7" s="41"/>
      <c r="BY7" s="41"/>
      <c r="BZ7" s="41"/>
      <c r="CA7" s="41"/>
      <c r="CB7" s="41"/>
      <c r="CC7" s="142"/>
      <c r="CD7" s="41"/>
      <c r="CE7" s="142"/>
      <c r="CF7" s="41"/>
      <c r="CG7" s="142"/>
      <c r="CH7" s="41"/>
      <c r="CI7" s="41"/>
      <c r="CJ7" s="41"/>
      <c r="CK7" s="41"/>
      <c r="CL7" s="41"/>
      <c r="CM7" s="41"/>
      <c r="CN7" s="41"/>
      <c r="CO7" s="41"/>
      <c r="CP7" s="41"/>
      <c r="CQ7" s="41"/>
      <c r="CR7" s="41"/>
      <c r="CS7" s="41"/>
      <c r="CT7" s="41"/>
      <c r="CU7" s="41"/>
      <c r="CV7" s="41"/>
      <c r="CW7" s="41"/>
      <c r="CX7" s="41"/>
      <c r="CY7" s="41"/>
      <c r="CZ7" s="41"/>
      <c r="DA7" s="41"/>
      <c r="DB7" s="41"/>
      <c r="DC7" s="41"/>
      <c r="DD7" s="41"/>
      <c r="DE7" s="41"/>
      <c r="DF7" s="41"/>
      <c r="DG7" s="41"/>
      <c r="DH7" s="41"/>
      <c r="DI7" s="41"/>
      <c r="DJ7" s="41"/>
    </row>
    <row r="8" spans="1:119">
      <c r="A8" s="417" t="s">
        <v>70</v>
      </c>
      <c r="B8" s="417"/>
      <c r="C8" s="417"/>
      <c r="D8" s="417"/>
      <c r="E8" s="417"/>
      <c r="F8" s="417"/>
      <c r="G8" s="417"/>
      <c r="H8" s="417"/>
      <c r="I8" s="417"/>
      <c r="J8" s="417"/>
      <c r="K8" s="417"/>
      <c r="L8" s="417"/>
      <c r="M8" s="417"/>
      <c r="N8" s="417"/>
      <c r="O8" s="417"/>
      <c r="P8" s="417"/>
      <c r="Q8" s="417"/>
      <c r="R8" s="417"/>
      <c r="S8" s="417"/>
      <c r="T8" s="417"/>
      <c r="U8" s="417"/>
      <c r="V8" s="417"/>
      <c r="W8" s="417"/>
      <c r="X8" s="417"/>
      <c r="Y8" s="417"/>
      <c r="Z8" s="417"/>
      <c r="AA8" s="417"/>
      <c r="AB8" s="417"/>
      <c r="AC8" s="417"/>
      <c r="AD8" s="417"/>
      <c r="AE8" s="417"/>
      <c r="AF8" s="417"/>
      <c r="AG8" s="417"/>
      <c r="AH8" s="417"/>
      <c r="AI8" s="417"/>
      <c r="AJ8" s="417"/>
      <c r="AK8" s="417"/>
      <c r="AL8" s="417"/>
      <c r="AM8" s="417"/>
      <c r="AN8" s="417"/>
      <c r="AO8" s="417"/>
      <c r="AP8" s="417"/>
      <c r="AQ8" s="417"/>
      <c r="AR8" s="417"/>
      <c r="AS8" s="417"/>
      <c r="AT8" s="417"/>
      <c r="AU8" s="417"/>
      <c r="AV8" s="417"/>
      <c r="AW8" s="417"/>
      <c r="AX8" s="417"/>
      <c r="AY8" s="417"/>
      <c r="AZ8" s="417"/>
      <c r="BA8" s="417"/>
      <c r="BB8" s="417"/>
      <c r="BC8" s="417"/>
      <c r="BD8" s="417"/>
      <c r="BE8" s="417"/>
      <c r="BF8" s="417"/>
      <c r="BG8" s="417"/>
      <c r="BH8" s="417"/>
      <c r="BI8" s="417"/>
      <c r="BJ8" s="205"/>
      <c r="BK8" s="41"/>
      <c r="BL8" s="41"/>
      <c r="BM8" s="41"/>
      <c r="BN8" s="41"/>
      <c r="BO8" s="41"/>
      <c r="BP8" s="41"/>
      <c r="BQ8" s="41"/>
      <c r="BR8" s="41"/>
      <c r="BS8" s="41"/>
      <c r="BT8" s="41"/>
      <c r="BU8" s="41"/>
      <c r="BV8" s="41"/>
      <c r="BW8" s="41"/>
      <c r="BX8" s="41"/>
      <c r="BY8" s="41"/>
      <c r="BZ8" s="41"/>
      <c r="CA8" s="41"/>
      <c r="CB8" s="41"/>
      <c r="CC8" s="41"/>
      <c r="CD8" s="41"/>
      <c r="CE8" s="41"/>
      <c r="CF8" s="41"/>
      <c r="CG8" s="41"/>
      <c r="CH8" s="41"/>
      <c r="CI8" s="41"/>
      <c r="CJ8" s="41"/>
      <c r="CK8" s="41"/>
      <c r="CL8" s="41"/>
      <c r="CM8" s="41"/>
      <c r="CN8" s="41"/>
      <c r="CO8" s="41"/>
      <c r="CP8" s="41"/>
      <c r="CQ8" s="41"/>
      <c r="CR8" s="41"/>
      <c r="CS8" s="41"/>
      <c r="CT8" s="41"/>
      <c r="CU8" s="41"/>
      <c r="CV8" s="41"/>
      <c r="CW8" s="41"/>
      <c r="CX8" s="41"/>
      <c r="CY8" s="68"/>
      <c r="CZ8" s="68"/>
      <c r="DA8" s="68"/>
      <c r="DB8" s="68"/>
      <c r="DC8" s="68"/>
      <c r="DD8" s="68"/>
      <c r="DE8" s="68"/>
      <c r="DF8" s="68"/>
      <c r="DG8" s="68"/>
      <c r="DH8" s="68"/>
      <c r="DI8" s="68"/>
      <c r="DJ8" s="68"/>
    </row>
    <row r="9" spans="1:119" ht="15" customHeight="1" thickBot="1">
      <c r="A9" s="26"/>
      <c r="B9" s="26"/>
      <c r="C9" s="26"/>
      <c r="D9" s="26"/>
      <c r="E9" s="26"/>
      <c r="F9" s="26"/>
      <c r="G9" s="26"/>
      <c r="H9" s="26"/>
      <c r="I9" s="26"/>
      <c r="J9" s="26"/>
      <c r="K9" s="26"/>
      <c r="L9" s="26"/>
      <c r="M9" s="26"/>
      <c r="N9" s="26"/>
      <c r="O9" s="26"/>
      <c r="P9" s="26"/>
      <c r="Q9" s="26"/>
      <c r="R9" s="26"/>
      <c r="S9" s="26"/>
      <c r="T9" s="26"/>
      <c r="U9" s="26"/>
      <c r="V9" s="26"/>
      <c r="W9" s="26"/>
      <c r="X9" s="26"/>
      <c r="Y9" s="26"/>
      <c r="Z9" s="26"/>
      <c r="AA9" s="26"/>
      <c r="AB9" s="26"/>
      <c r="AC9" s="26"/>
      <c r="AD9" s="26"/>
      <c r="AE9" s="26"/>
      <c r="AF9" s="26"/>
      <c r="AG9" s="26"/>
      <c r="AH9" s="26"/>
      <c r="AI9" s="26"/>
      <c r="AJ9" s="26"/>
      <c r="AK9" s="26"/>
      <c r="AL9" s="26"/>
      <c r="AM9" s="26"/>
      <c r="AN9" s="26"/>
      <c r="AO9" s="26"/>
      <c r="AP9" s="26"/>
      <c r="AQ9" s="26"/>
      <c r="AR9" s="26"/>
      <c r="AS9" s="26"/>
      <c r="AT9" s="26"/>
      <c r="AU9" s="26"/>
      <c r="AV9" s="26"/>
      <c r="AW9" s="26"/>
      <c r="AX9" s="26"/>
      <c r="AY9" s="26"/>
      <c r="AZ9" s="26"/>
      <c r="BA9" s="26"/>
      <c r="BB9" s="26"/>
      <c r="BC9" s="26"/>
      <c r="BD9" s="26"/>
      <c r="BE9" s="26"/>
      <c r="BF9" s="26"/>
      <c r="BG9" s="26"/>
      <c r="BH9" s="26"/>
      <c r="BI9" s="26"/>
      <c r="BJ9" s="26"/>
      <c r="BK9" s="26"/>
      <c r="BL9" s="26"/>
      <c r="BM9" s="26"/>
      <c r="BN9" s="26"/>
      <c r="BO9" s="26"/>
      <c r="BP9" s="26"/>
      <c r="BQ9" s="26"/>
      <c r="BR9" s="26"/>
      <c r="BS9" s="26"/>
      <c r="BT9" s="26"/>
      <c r="BU9" s="26"/>
      <c r="BV9" s="26"/>
      <c r="BW9" s="26"/>
      <c r="BX9" s="26"/>
      <c r="BY9" s="26"/>
      <c r="BZ9" s="26"/>
      <c r="CA9" s="26"/>
      <c r="CB9" s="26"/>
      <c r="CC9" s="26"/>
      <c r="CD9" s="26"/>
      <c r="CE9" s="26"/>
      <c r="CF9" s="26"/>
      <c r="CG9" s="26"/>
      <c r="CH9" s="26"/>
      <c r="CI9" s="26"/>
      <c r="CJ9" s="26"/>
      <c r="CK9" s="26"/>
      <c r="CL9" s="26"/>
      <c r="CM9" s="26"/>
      <c r="CN9" s="26"/>
      <c r="CO9" s="26"/>
      <c r="CP9" s="26"/>
      <c r="CQ9" s="26"/>
      <c r="CR9" s="26"/>
      <c r="CS9" s="26"/>
      <c r="CT9" s="26"/>
      <c r="CU9" s="26"/>
      <c r="CV9" s="26"/>
      <c r="CW9" s="26"/>
      <c r="CX9" s="26"/>
      <c r="CY9" s="26"/>
      <c r="CZ9" s="26"/>
      <c r="DA9" s="26"/>
      <c r="DB9" s="26"/>
      <c r="DC9" s="26"/>
      <c r="DD9" s="26"/>
      <c r="DE9" s="26"/>
      <c r="DF9" s="26"/>
      <c r="DG9" s="26"/>
      <c r="DH9" s="26"/>
      <c r="DI9" s="26"/>
      <c r="DJ9" s="26"/>
    </row>
    <row r="10" spans="1:119" ht="13.5" customHeight="1" thickBot="1">
      <c r="A10" s="423"/>
      <c r="B10" s="418" t="s">
        <v>45</v>
      </c>
      <c r="C10" s="426" t="s">
        <v>79</v>
      </c>
      <c r="D10" s="427"/>
      <c r="E10" s="427"/>
      <c r="F10" s="427"/>
      <c r="G10" s="427"/>
      <c r="H10" s="427"/>
      <c r="I10" s="427"/>
      <c r="J10" s="427"/>
      <c r="K10" s="427"/>
      <c r="L10" s="427"/>
      <c r="M10" s="427"/>
      <c r="N10" s="427"/>
      <c r="O10" s="427"/>
      <c r="P10" s="427"/>
      <c r="Q10" s="427"/>
      <c r="R10" s="427"/>
      <c r="S10" s="427"/>
      <c r="T10" s="427"/>
      <c r="U10" s="427"/>
      <c r="V10" s="427"/>
      <c r="W10" s="427"/>
      <c r="X10" s="427"/>
      <c r="Y10" s="427"/>
      <c r="Z10" s="427"/>
      <c r="AA10" s="428"/>
      <c r="AB10" s="428"/>
      <c r="AC10" s="428"/>
      <c r="AD10" s="429"/>
      <c r="AE10" s="433" t="s">
        <v>56</v>
      </c>
      <c r="AF10" s="434"/>
      <c r="AG10" s="434"/>
      <c r="AH10" s="434"/>
      <c r="AI10" s="434"/>
      <c r="AJ10" s="434"/>
      <c r="AK10" s="434"/>
      <c r="AL10" s="434"/>
      <c r="AM10" s="434"/>
      <c r="AN10" s="434"/>
      <c r="AO10" s="434"/>
      <c r="AP10" s="434"/>
      <c r="AQ10" s="434"/>
      <c r="AR10" s="434"/>
      <c r="AS10" s="434"/>
      <c r="AT10" s="434"/>
      <c r="AU10" s="434"/>
      <c r="AV10" s="434"/>
      <c r="AW10" s="434"/>
      <c r="AX10" s="434"/>
      <c r="AY10" s="434"/>
      <c r="AZ10" s="434"/>
      <c r="BA10" s="434"/>
      <c r="BB10" s="434"/>
      <c r="BC10" s="434"/>
      <c r="BD10" s="434"/>
      <c r="BE10" s="434"/>
      <c r="BF10" s="435"/>
      <c r="BG10" s="436" t="s">
        <v>80</v>
      </c>
      <c r="BH10" s="437"/>
      <c r="BI10" s="437"/>
      <c r="BJ10" s="437"/>
      <c r="BK10" s="437"/>
      <c r="BL10" s="437"/>
      <c r="BM10" s="437"/>
      <c r="BN10" s="437"/>
      <c r="BO10" s="437"/>
      <c r="BP10" s="437"/>
      <c r="BQ10" s="437"/>
      <c r="BR10" s="437"/>
      <c r="BS10" s="437"/>
      <c r="BT10" s="437"/>
      <c r="BU10" s="437"/>
      <c r="BV10" s="437"/>
      <c r="BW10" s="437"/>
      <c r="BX10" s="437"/>
      <c r="BY10" s="437"/>
      <c r="BZ10" s="437"/>
      <c r="CA10" s="437"/>
      <c r="CB10" s="437"/>
      <c r="CC10" s="437"/>
      <c r="CD10" s="437"/>
      <c r="CE10" s="437"/>
      <c r="CF10" s="437"/>
      <c r="CG10" s="437"/>
      <c r="CH10" s="438"/>
      <c r="CI10" s="436" t="s">
        <v>81</v>
      </c>
      <c r="CJ10" s="437"/>
      <c r="CK10" s="437"/>
      <c r="CL10" s="437"/>
      <c r="CM10" s="437"/>
      <c r="CN10" s="437"/>
      <c r="CO10" s="437"/>
      <c r="CP10" s="437"/>
      <c r="CQ10" s="437"/>
      <c r="CR10" s="437"/>
      <c r="CS10" s="437"/>
      <c r="CT10" s="437"/>
      <c r="CU10" s="437"/>
      <c r="CV10" s="437"/>
      <c r="CW10" s="437"/>
      <c r="CX10" s="437"/>
      <c r="CY10" s="437"/>
      <c r="CZ10" s="437"/>
      <c r="DA10" s="437"/>
      <c r="DB10" s="437"/>
      <c r="DC10" s="437"/>
      <c r="DD10" s="437"/>
      <c r="DE10" s="437"/>
      <c r="DF10" s="437"/>
      <c r="DG10" s="437"/>
      <c r="DH10" s="437"/>
      <c r="DI10" s="437"/>
      <c r="DJ10" s="438"/>
    </row>
    <row r="11" spans="1:119" ht="19.5" customHeight="1">
      <c r="A11" s="424"/>
      <c r="B11" s="419"/>
      <c r="C11" s="421">
        <v>2000</v>
      </c>
      <c r="D11" s="409"/>
      <c r="E11" s="409">
        <v>2005</v>
      </c>
      <c r="F11" s="409"/>
      <c r="G11" s="409">
        <v>2006</v>
      </c>
      <c r="H11" s="409"/>
      <c r="I11" s="409">
        <v>2007</v>
      </c>
      <c r="J11" s="409"/>
      <c r="K11" s="409">
        <v>2008</v>
      </c>
      <c r="L11" s="409"/>
      <c r="M11" s="409">
        <v>2009</v>
      </c>
      <c r="N11" s="409"/>
      <c r="O11" s="409">
        <v>2010</v>
      </c>
      <c r="P11" s="409"/>
      <c r="Q11" s="409">
        <v>2011</v>
      </c>
      <c r="R11" s="409"/>
      <c r="S11" s="409">
        <v>2012</v>
      </c>
      <c r="T11" s="409"/>
      <c r="U11" s="409">
        <v>2013</v>
      </c>
      <c r="V11" s="409"/>
      <c r="W11" s="409">
        <v>2014</v>
      </c>
      <c r="X11" s="409"/>
      <c r="Y11" s="409">
        <v>2015</v>
      </c>
      <c r="Z11" s="405"/>
      <c r="AA11" s="409">
        <v>2016</v>
      </c>
      <c r="AB11" s="409"/>
      <c r="AC11" s="406">
        <v>2017</v>
      </c>
      <c r="AD11" s="430"/>
      <c r="AE11" s="415">
        <v>2000</v>
      </c>
      <c r="AF11" s="408"/>
      <c r="AG11" s="407">
        <v>2005</v>
      </c>
      <c r="AH11" s="408"/>
      <c r="AI11" s="405">
        <v>2006</v>
      </c>
      <c r="AJ11" s="406"/>
      <c r="AK11" s="405">
        <v>2007</v>
      </c>
      <c r="AL11" s="406"/>
      <c r="AM11" s="405">
        <v>2008</v>
      </c>
      <c r="AN11" s="406"/>
      <c r="AO11" s="405">
        <v>2009</v>
      </c>
      <c r="AP11" s="406"/>
      <c r="AQ11" s="407">
        <v>2010</v>
      </c>
      <c r="AR11" s="408"/>
      <c r="AS11" s="405">
        <v>2011</v>
      </c>
      <c r="AT11" s="406"/>
      <c r="AU11" s="405">
        <v>2012</v>
      </c>
      <c r="AV11" s="406"/>
      <c r="AW11" s="405">
        <v>2013</v>
      </c>
      <c r="AX11" s="406"/>
      <c r="AY11" s="405">
        <v>2014</v>
      </c>
      <c r="AZ11" s="406"/>
      <c r="BA11" s="407">
        <v>2015</v>
      </c>
      <c r="BB11" s="408"/>
      <c r="BC11" s="405">
        <v>2016</v>
      </c>
      <c r="BD11" s="406"/>
      <c r="BE11" s="407">
        <v>2017</v>
      </c>
      <c r="BF11" s="432"/>
      <c r="BG11" s="415">
        <v>2000</v>
      </c>
      <c r="BH11" s="408"/>
      <c r="BI11" s="407">
        <v>2005</v>
      </c>
      <c r="BJ11" s="408"/>
      <c r="BK11" s="405">
        <v>2006</v>
      </c>
      <c r="BL11" s="406"/>
      <c r="BM11" s="405">
        <v>2007</v>
      </c>
      <c r="BN11" s="406"/>
      <c r="BO11" s="405">
        <v>2008</v>
      </c>
      <c r="BP11" s="406"/>
      <c r="BQ11" s="405">
        <v>2009</v>
      </c>
      <c r="BR11" s="406"/>
      <c r="BS11" s="407">
        <v>2010</v>
      </c>
      <c r="BT11" s="408"/>
      <c r="BU11" s="405">
        <v>2011</v>
      </c>
      <c r="BV11" s="406"/>
      <c r="BW11" s="405">
        <v>2012</v>
      </c>
      <c r="BX11" s="406"/>
      <c r="BY11" s="405">
        <v>2013</v>
      </c>
      <c r="BZ11" s="406"/>
      <c r="CA11" s="405">
        <v>2014</v>
      </c>
      <c r="CB11" s="406"/>
      <c r="CC11" s="407">
        <v>2015</v>
      </c>
      <c r="CD11" s="408"/>
      <c r="CE11" s="405">
        <v>2016</v>
      </c>
      <c r="CF11" s="406"/>
      <c r="CG11" s="407">
        <v>2017</v>
      </c>
      <c r="CH11" s="432"/>
      <c r="CI11" s="415">
        <v>2000</v>
      </c>
      <c r="CJ11" s="408"/>
      <c r="CK11" s="407">
        <v>2005</v>
      </c>
      <c r="CL11" s="408"/>
      <c r="CM11" s="405">
        <v>2006</v>
      </c>
      <c r="CN11" s="406"/>
      <c r="CO11" s="405">
        <v>2007</v>
      </c>
      <c r="CP11" s="406"/>
      <c r="CQ11" s="405">
        <v>2008</v>
      </c>
      <c r="CR11" s="406"/>
      <c r="CS11" s="405">
        <v>2009</v>
      </c>
      <c r="CT11" s="406"/>
      <c r="CU11" s="407">
        <v>2010</v>
      </c>
      <c r="CV11" s="408"/>
      <c r="CW11" s="405">
        <v>2011</v>
      </c>
      <c r="CX11" s="406"/>
      <c r="CY11" s="405">
        <v>2012</v>
      </c>
      <c r="CZ11" s="406"/>
      <c r="DA11" s="405">
        <v>2013</v>
      </c>
      <c r="DB11" s="406"/>
      <c r="DC11" s="405">
        <v>2014</v>
      </c>
      <c r="DD11" s="406"/>
      <c r="DE11" s="407">
        <v>2015</v>
      </c>
      <c r="DF11" s="408"/>
      <c r="DG11" s="405">
        <v>2016</v>
      </c>
      <c r="DH11" s="406"/>
      <c r="DI11" s="407">
        <v>2017</v>
      </c>
      <c r="DJ11" s="432"/>
    </row>
    <row r="12" spans="1:119" ht="12.75" customHeight="1" thickBot="1">
      <c r="A12" s="425"/>
      <c r="B12" s="420"/>
      <c r="C12" s="422">
        <v>1</v>
      </c>
      <c r="D12" s="413"/>
      <c r="E12" s="413">
        <v>2</v>
      </c>
      <c r="F12" s="413"/>
      <c r="G12" s="413">
        <v>3</v>
      </c>
      <c r="H12" s="413"/>
      <c r="I12" s="413">
        <v>4</v>
      </c>
      <c r="J12" s="413"/>
      <c r="K12" s="413">
        <v>5</v>
      </c>
      <c r="L12" s="413"/>
      <c r="M12" s="413">
        <v>6</v>
      </c>
      <c r="N12" s="413"/>
      <c r="O12" s="413">
        <v>7</v>
      </c>
      <c r="P12" s="413"/>
      <c r="Q12" s="413">
        <v>8</v>
      </c>
      <c r="R12" s="413"/>
      <c r="S12" s="413">
        <v>9</v>
      </c>
      <c r="T12" s="413"/>
      <c r="U12" s="413">
        <v>10</v>
      </c>
      <c r="V12" s="413"/>
      <c r="W12" s="413">
        <v>11</v>
      </c>
      <c r="X12" s="413"/>
      <c r="Y12" s="413">
        <v>12</v>
      </c>
      <c r="Z12" s="411"/>
      <c r="AA12" s="413">
        <v>13</v>
      </c>
      <c r="AB12" s="413"/>
      <c r="AC12" s="412">
        <v>14</v>
      </c>
      <c r="AD12" s="431"/>
      <c r="AE12" s="414">
        <v>15</v>
      </c>
      <c r="AF12" s="404"/>
      <c r="AG12" s="403">
        <v>16</v>
      </c>
      <c r="AH12" s="404"/>
      <c r="AI12" s="411">
        <v>17</v>
      </c>
      <c r="AJ12" s="412"/>
      <c r="AK12" s="411">
        <v>18</v>
      </c>
      <c r="AL12" s="412"/>
      <c r="AM12" s="411">
        <v>19</v>
      </c>
      <c r="AN12" s="412"/>
      <c r="AO12" s="411">
        <v>20</v>
      </c>
      <c r="AP12" s="412"/>
      <c r="AQ12" s="403">
        <v>21</v>
      </c>
      <c r="AR12" s="404"/>
      <c r="AS12" s="411">
        <v>22</v>
      </c>
      <c r="AT12" s="412"/>
      <c r="AU12" s="411">
        <v>23</v>
      </c>
      <c r="AV12" s="412"/>
      <c r="AW12" s="411">
        <v>24</v>
      </c>
      <c r="AX12" s="412"/>
      <c r="AY12" s="411">
        <v>25</v>
      </c>
      <c r="AZ12" s="412"/>
      <c r="BA12" s="403">
        <v>26</v>
      </c>
      <c r="BB12" s="404"/>
      <c r="BC12" s="411">
        <v>27</v>
      </c>
      <c r="BD12" s="412"/>
      <c r="BE12" s="403">
        <v>28</v>
      </c>
      <c r="BF12" s="410"/>
      <c r="BG12" s="414">
        <v>29</v>
      </c>
      <c r="BH12" s="404"/>
      <c r="BI12" s="403">
        <v>30</v>
      </c>
      <c r="BJ12" s="404"/>
      <c r="BK12" s="411">
        <v>31</v>
      </c>
      <c r="BL12" s="412"/>
      <c r="BM12" s="411">
        <v>32</v>
      </c>
      <c r="BN12" s="412"/>
      <c r="BO12" s="411">
        <v>33</v>
      </c>
      <c r="BP12" s="412"/>
      <c r="BQ12" s="411">
        <v>34</v>
      </c>
      <c r="BR12" s="412"/>
      <c r="BS12" s="403">
        <v>35</v>
      </c>
      <c r="BT12" s="404"/>
      <c r="BU12" s="411">
        <v>36</v>
      </c>
      <c r="BV12" s="412"/>
      <c r="BW12" s="411">
        <v>37</v>
      </c>
      <c r="BX12" s="412"/>
      <c r="BY12" s="411">
        <v>38</v>
      </c>
      <c r="BZ12" s="412"/>
      <c r="CA12" s="411">
        <v>39</v>
      </c>
      <c r="CB12" s="412"/>
      <c r="CC12" s="403">
        <v>40</v>
      </c>
      <c r="CD12" s="404"/>
      <c r="CE12" s="411">
        <v>41</v>
      </c>
      <c r="CF12" s="412"/>
      <c r="CG12" s="403">
        <v>42</v>
      </c>
      <c r="CH12" s="410"/>
      <c r="CI12" s="414">
        <v>43</v>
      </c>
      <c r="CJ12" s="404"/>
      <c r="CK12" s="403">
        <v>44</v>
      </c>
      <c r="CL12" s="404"/>
      <c r="CM12" s="411">
        <v>45</v>
      </c>
      <c r="CN12" s="412"/>
      <c r="CO12" s="411">
        <v>46</v>
      </c>
      <c r="CP12" s="412"/>
      <c r="CQ12" s="411">
        <v>47</v>
      </c>
      <c r="CR12" s="412"/>
      <c r="CS12" s="411">
        <v>48</v>
      </c>
      <c r="CT12" s="412"/>
      <c r="CU12" s="403">
        <v>49</v>
      </c>
      <c r="CV12" s="404"/>
      <c r="CW12" s="411">
        <v>50</v>
      </c>
      <c r="CX12" s="412"/>
      <c r="CY12" s="411">
        <v>51</v>
      </c>
      <c r="CZ12" s="412"/>
      <c r="DA12" s="411">
        <v>52</v>
      </c>
      <c r="DB12" s="412"/>
      <c r="DC12" s="411">
        <v>53</v>
      </c>
      <c r="DD12" s="412"/>
      <c r="DE12" s="403">
        <v>54</v>
      </c>
      <c r="DF12" s="404"/>
      <c r="DG12" s="411">
        <v>55</v>
      </c>
      <c r="DH12" s="412"/>
      <c r="DI12" s="403">
        <v>56</v>
      </c>
      <c r="DJ12" s="410"/>
    </row>
    <row r="13" spans="1:119">
      <c r="A13" s="40" t="s">
        <v>52</v>
      </c>
      <c r="B13" s="72"/>
      <c r="C13" s="178"/>
      <c r="D13" s="177"/>
      <c r="E13" s="176"/>
      <c r="F13" s="177"/>
      <c r="G13" s="176"/>
      <c r="H13" s="177"/>
      <c r="I13" s="176"/>
      <c r="J13" s="177"/>
      <c r="K13" s="176"/>
      <c r="L13" s="177"/>
      <c r="M13" s="176"/>
      <c r="N13" s="177"/>
      <c r="O13" s="176"/>
      <c r="P13" s="177"/>
      <c r="Q13" s="176"/>
      <c r="R13" s="177"/>
      <c r="S13" s="176"/>
      <c r="T13" s="177"/>
      <c r="U13" s="176"/>
      <c r="V13" s="177"/>
      <c r="W13" s="176"/>
      <c r="X13" s="177"/>
      <c r="Y13" s="176"/>
      <c r="Z13" s="171"/>
      <c r="AA13" s="176"/>
      <c r="AB13" s="177"/>
      <c r="AC13" s="172"/>
      <c r="AD13" s="179"/>
      <c r="AE13" s="178"/>
      <c r="AF13" s="177"/>
      <c r="AG13" s="176"/>
      <c r="AH13" s="177"/>
      <c r="AI13" s="176"/>
      <c r="AJ13" s="177"/>
      <c r="AK13" s="176"/>
      <c r="AL13" s="177"/>
      <c r="AM13" s="176"/>
      <c r="AN13" s="177"/>
      <c r="AO13" s="176"/>
      <c r="AP13" s="177"/>
      <c r="AQ13" s="176"/>
      <c r="AR13" s="177"/>
      <c r="AS13" s="176"/>
      <c r="AT13" s="177"/>
      <c r="AU13" s="176"/>
      <c r="AV13" s="177"/>
      <c r="AW13" s="176"/>
      <c r="AX13" s="177"/>
      <c r="AY13" s="171"/>
      <c r="AZ13" s="171"/>
      <c r="BA13" s="176"/>
      <c r="BB13" s="171"/>
      <c r="BC13" s="176"/>
      <c r="BD13" s="177"/>
      <c r="BE13" s="172"/>
      <c r="BF13" s="179"/>
      <c r="BG13" s="178"/>
      <c r="BH13" s="177"/>
      <c r="BI13" s="176"/>
      <c r="BJ13" s="177"/>
      <c r="BK13" s="176"/>
      <c r="BL13" s="177"/>
      <c r="BM13" s="176"/>
      <c r="BN13" s="177"/>
      <c r="BO13" s="176"/>
      <c r="BP13" s="177"/>
      <c r="BQ13" s="176"/>
      <c r="BR13" s="177"/>
      <c r="BS13" s="176"/>
      <c r="BT13" s="177"/>
      <c r="BU13" s="176"/>
      <c r="BV13" s="177"/>
      <c r="BW13" s="176"/>
      <c r="BX13" s="177"/>
      <c r="BY13" s="176"/>
      <c r="BZ13" s="177"/>
      <c r="CA13" s="171"/>
      <c r="CB13" s="171"/>
      <c r="CC13" s="176"/>
      <c r="CD13" s="171"/>
      <c r="CE13" s="176"/>
      <c r="CF13" s="177"/>
      <c r="CG13" s="172"/>
      <c r="CH13" s="179"/>
      <c r="CI13" s="178"/>
      <c r="CJ13" s="177"/>
      <c r="CK13" s="176"/>
      <c r="CL13" s="177"/>
      <c r="CM13" s="176"/>
      <c r="CN13" s="177"/>
      <c r="CO13" s="176"/>
      <c r="CP13" s="177"/>
      <c r="CQ13" s="176"/>
      <c r="CR13" s="177"/>
      <c r="CS13" s="176"/>
      <c r="CT13" s="177"/>
      <c r="CU13" s="176"/>
      <c r="CV13" s="177"/>
      <c r="CW13" s="176"/>
      <c r="CX13" s="177"/>
      <c r="CY13" s="176"/>
      <c r="CZ13" s="177"/>
      <c r="DA13" s="176"/>
      <c r="DB13" s="177"/>
      <c r="DC13" s="171"/>
      <c r="DD13" s="171"/>
      <c r="DE13" s="176"/>
      <c r="DF13" s="171"/>
      <c r="DG13" s="176"/>
      <c r="DH13" s="177"/>
      <c r="DI13" s="172"/>
      <c r="DJ13" s="179"/>
      <c r="DK13" s="90"/>
      <c r="DL13" s="90"/>
      <c r="DM13" s="90"/>
      <c r="DN13" s="90"/>
      <c r="DO13" s="90"/>
    </row>
    <row r="14" spans="1:119">
      <c r="A14" s="217" t="s">
        <v>148</v>
      </c>
      <c r="B14" s="72"/>
      <c r="C14" s="128"/>
      <c r="D14" s="129"/>
      <c r="E14" s="130"/>
      <c r="F14" s="129"/>
      <c r="G14" s="130"/>
      <c r="H14" s="129"/>
      <c r="I14" s="130"/>
      <c r="J14" s="129"/>
      <c r="K14" s="130"/>
      <c r="L14" s="129"/>
      <c r="M14" s="130"/>
      <c r="N14" s="129"/>
      <c r="O14" s="130"/>
      <c r="P14" s="129"/>
      <c r="Q14" s="130"/>
      <c r="R14" s="129"/>
      <c r="S14" s="130"/>
      <c r="T14" s="129"/>
      <c r="U14" s="130"/>
      <c r="V14" s="129"/>
      <c r="W14" s="130"/>
      <c r="X14" s="129"/>
      <c r="Y14" s="130"/>
      <c r="Z14" s="132"/>
      <c r="AA14" s="130"/>
      <c r="AB14" s="129"/>
      <c r="AC14" s="133"/>
      <c r="AD14" s="131"/>
      <c r="AE14" s="128"/>
      <c r="AF14" s="129"/>
      <c r="AG14" s="130"/>
      <c r="AH14" s="129"/>
      <c r="AI14" s="130"/>
      <c r="AJ14" s="129"/>
      <c r="AK14" s="130"/>
      <c r="AL14" s="129"/>
      <c r="AM14" s="130"/>
      <c r="AN14" s="129"/>
      <c r="AO14" s="130"/>
      <c r="AP14" s="129"/>
      <c r="AQ14" s="130"/>
      <c r="AR14" s="129"/>
      <c r="AS14" s="130"/>
      <c r="AT14" s="129"/>
      <c r="AU14" s="130"/>
      <c r="AV14" s="129"/>
      <c r="AW14" s="130"/>
      <c r="AX14" s="129"/>
      <c r="AY14" s="132"/>
      <c r="AZ14" s="132"/>
      <c r="BA14" s="130"/>
      <c r="BB14" s="132"/>
      <c r="BC14" s="130"/>
      <c r="BD14" s="129"/>
      <c r="BE14" s="133"/>
      <c r="BF14" s="131"/>
      <c r="BG14" s="128"/>
      <c r="BH14" s="129"/>
      <c r="BI14" s="130"/>
      <c r="BJ14" s="129"/>
      <c r="BK14" s="130"/>
      <c r="BL14" s="129"/>
      <c r="BM14" s="130"/>
      <c r="BN14" s="129"/>
      <c r="BO14" s="130"/>
      <c r="BP14" s="129"/>
      <c r="BQ14" s="130"/>
      <c r="BR14" s="129"/>
      <c r="BS14" s="130"/>
      <c r="BT14" s="129"/>
      <c r="BU14" s="130"/>
      <c r="BV14" s="129"/>
      <c r="BW14" s="130"/>
      <c r="BX14" s="129"/>
      <c r="BY14" s="130"/>
      <c r="BZ14" s="129"/>
      <c r="CA14" s="132"/>
      <c r="CB14" s="132"/>
      <c r="CC14" s="130"/>
      <c r="CD14" s="132"/>
      <c r="CE14" s="130"/>
      <c r="CF14" s="129"/>
      <c r="CG14" s="133"/>
      <c r="CH14" s="131"/>
      <c r="CI14" s="128"/>
      <c r="CJ14" s="129"/>
      <c r="CK14" s="130"/>
      <c r="CL14" s="129"/>
      <c r="CM14" s="130"/>
      <c r="CN14" s="129"/>
      <c r="CO14" s="130"/>
      <c r="CP14" s="129"/>
      <c r="CQ14" s="130"/>
      <c r="CR14" s="129"/>
      <c r="CS14" s="130"/>
      <c r="CT14" s="129"/>
      <c r="CU14" s="130"/>
      <c r="CV14" s="129"/>
      <c r="CW14" s="130"/>
      <c r="CX14" s="129"/>
      <c r="CY14" s="130"/>
      <c r="CZ14" s="129"/>
      <c r="DA14" s="130"/>
      <c r="DB14" s="129"/>
      <c r="DC14" s="132"/>
      <c r="DD14" s="132"/>
      <c r="DE14" s="130"/>
      <c r="DF14" s="132"/>
      <c r="DG14" s="130"/>
      <c r="DH14" s="129"/>
      <c r="DI14" s="133"/>
      <c r="DJ14" s="131"/>
      <c r="DK14" s="90"/>
      <c r="DL14" s="90"/>
      <c r="DM14" s="90"/>
      <c r="DN14" s="90"/>
      <c r="DO14" s="90"/>
    </row>
    <row r="15" spans="1:119">
      <c r="A15" s="162" t="s">
        <v>18</v>
      </c>
      <c r="B15" s="149" t="s">
        <v>188</v>
      </c>
      <c r="C15" s="154" t="s">
        <v>188</v>
      </c>
      <c r="D15" s="75" t="s">
        <v>0</v>
      </c>
      <c r="E15" s="85" t="s">
        <v>188</v>
      </c>
      <c r="F15" s="75" t="s">
        <v>0</v>
      </c>
      <c r="G15" s="85" t="s">
        <v>188</v>
      </c>
      <c r="H15" s="75" t="s">
        <v>0</v>
      </c>
      <c r="I15" s="85" t="s">
        <v>188</v>
      </c>
      <c r="J15" s="75" t="s">
        <v>0</v>
      </c>
      <c r="K15" s="85" t="s">
        <v>188</v>
      </c>
      <c r="L15" s="75" t="s">
        <v>0</v>
      </c>
      <c r="M15" s="85" t="s">
        <v>188</v>
      </c>
      <c r="N15" s="75" t="s">
        <v>0</v>
      </c>
      <c r="O15" s="85" t="s">
        <v>188</v>
      </c>
      <c r="P15" s="75" t="s">
        <v>0</v>
      </c>
      <c r="Q15" s="85">
        <v>884.87661509435566</v>
      </c>
      <c r="R15" s="75" t="s">
        <v>188</v>
      </c>
      <c r="S15" s="85">
        <v>883.66121040565122</v>
      </c>
      <c r="T15" s="75" t="s">
        <v>188</v>
      </c>
      <c r="U15" s="85">
        <v>904.15803934255746</v>
      </c>
      <c r="V15" s="75" t="s">
        <v>188</v>
      </c>
      <c r="W15" s="85">
        <v>885.1834716796875</v>
      </c>
      <c r="X15" s="75" t="s">
        <v>188</v>
      </c>
      <c r="Y15" s="85">
        <v>882.14930748358938</v>
      </c>
      <c r="Z15" s="155" t="s">
        <v>188</v>
      </c>
      <c r="AA15" s="85">
        <v>859.55435528768476</v>
      </c>
      <c r="AB15" s="75" t="s">
        <v>188</v>
      </c>
      <c r="AC15" s="173">
        <v>903.24666835803009</v>
      </c>
      <c r="AD15" s="76" t="s">
        <v>188</v>
      </c>
      <c r="AE15" s="154">
        <v>882.3523207156378</v>
      </c>
      <c r="AF15" s="75" t="s">
        <v>188</v>
      </c>
      <c r="AG15" s="85">
        <v>888.3</v>
      </c>
      <c r="AH15" s="75" t="s">
        <v>188</v>
      </c>
      <c r="AI15" s="85">
        <v>884.33203620653933</v>
      </c>
      <c r="AJ15" s="75" t="s">
        <v>188</v>
      </c>
      <c r="AK15" s="85">
        <v>876.93201525006134</v>
      </c>
      <c r="AL15" s="75" t="s">
        <v>188</v>
      </c>
      <c r="AM15" s="85">
        <v>872.55573246467816</v>
      </c>
      <c r="AN15" s="75" t="s">
        <v>188</v>
      </c>
      <c r="AO15" s="85">
        <v>874.37937257073736</v>
      </c>
      <c r="AP15" s="75" t="s">
        <v>188</v>
      </c>
      <c r="AQ15" s="85">
        <v>868.15076317785497</v>
      </c>
      <c r="AR15" s="75" t="s">
        <v>188</v>
      </c>
      <c r="AS15" s="85">
        <v>872.54543042107434</v>
      </c>
      <c r="AT15" s="75" t="s">
        <v>188</v>
      </c>
      <c r="AU15" s="85">
        <v>871.28203605847273</v>
      </c>
      <c r="AV15" s="75" t="s">
        <v>188</v>
      </c>
      <c r="AW15" s="85">
        <v>879.2071048614398</v>
      </c>
      <c r="AX15" s="75" t="s">
        <v>188</v>
      </c>
      <c r="AY15" s="85">
        <v>871.96319580078125</v>
      </c>
      <c r="AZ15" s="155" t="s">
        <v>188</v>
      </c>
      <c r="BA15" s="85">
        <v>865.76543607988424</v>
      </c>
      <c r="BB15" s="155" t="s">
        <v>188</v>
      </c>
      <c r="BC15" s="85">
        <v>862.45696602377177</v>
      </c>
      <c r="BD15" s="75" t="s">
        <v>188</v>
      </c>
      <c r="BE15" s="173">
        <v>865.26860492495666</v>
      </c>
      <c r="BF15" s="76" t="s">
        <v>188</v>
      </c>
      <c r="BG15" s="154">
        <v>810.5462590238925</v>
      </c>
      <c r="BH15" s="75" t="s">
        <v>188</v>
      </c>
      <c r="BI15" s="85">
        <v>810.16</v>
      </c>
      <c r="BJ15" s="75" t="s">
        <v>188</v>
      </c>
      <c r="BK15" s="85">
        <v>818.47443839448385</v>
      </c>
      <c r="BL15" s="75" t="s">
        <v>188</v>
      </c>
      <c r="BM15" s="85">
        <v>814.54895505378954</v>
      </c>
      <c r="BN15" s="75" t="s">
        <v>188</v>
      </c>
      <c r="BO15" s="85">
        <v>811.81839395160296</v>
      </c>
      <c r="BP15" s="75" t="s">
        <v>188</v>
      </c>
      <c r="BQ15" s="85">
        <v>812.29371554084037</v>
      </c>
      <c r="BR15" s="75" t="s">
        <v>188</v>
      </c>
      <c r="BS15" s="85">
        <v>819.16514988188646</v>
      </c>
      <c r="BT15" s="75" t="s">
        <v>188</v>
      </c>
      <c r="BU15" s="85">
        <v>810.80545552168564</v>
      </c>
      <c r="BV15" s="75" t="s">
        <v>188</v>
      </c>
      <c r="BW15" s="85">
        <v>808.58900629680284</v>
      </c>
      <c r="BX15" s="75" t="s">
        <v>188</v>
      </c>
      <c r="BY15" s="85">
        <v>821.30037769266175</v>
      </c>
      <c r="BZ15" s="75" t="s">
        <v>188</v>
      </c>
      <c r="CA15" s="85">
        <v>811.628173828125</v>
      </c>
      <c r="CB15" s="155" t="s">
        <v>188</v>
      </c>
      <c r="CC15" s="85">
        <v>805.97951000679268</v>
      </c>
      <c r="CD15" s="155" t="s">
        <v>188</v>
      </c>
      <c r="CE15" s="85">
        <v>795.38401184808663</v>
      </c>
      <c r="CF15" s="75" t="s">
        <v>188</v>
      </c>
      <c r="CG15" s="173">
        <v>797.28161882472796</v>
      </c>
      <c r="CH15" s="76" t="s">
        <v>188</v>
      </c>
      <c r="CI15" s="154">
        <v>803.42575461001866</v>
      </c>
      <c r="CJ15" s="75" t="s">
        <v>188</v>
      </c>
      <c r="CK15" s="85">
        <v>810.16</v>
      </c>
      <c r="CL15" s="75" t="s">
        <v>188</v>
      </c>
      <c r="CM15" s="85">
        <v>817.04836013405566</v>
      </c>
      <c r="CN15" s="75" t="s">
        <v>188</v>
      </c>
      <c r="CO15" s="85">
        <v>813.15904925703671</v>
      </c>
      <c r="CP15" s="75" t="s">
        <v>188</v>
      </c>
      <c r="CQ15" s="85">
        <v>810.43789620718712</v>
      </c>
      <c r="CR15" s="75" t="s">
        <v>188</v>
      </c>
      <c r="CS15" s="85">
        <v>797.05471809233723</v>
      </c>
      <c r="CT15" s="75" t="s">
        <v>188</v>
      </c>
      <c r="CU15" s="85">
        <v>803.25932950685478</v>
      </c>
      <c r="CV15" s="75" t="s">
        <v>188</v>
      </c>
      <c r="CW15" s="85">
        <v>802.16714210851887</v>
      </c>
      <c r="CX15" s="75" t="s">
        <v>188</v>
      </c>
      <c r="CY15" s="85">
        <v>801.32556376256252</v>
      </c>
      <c r="CZ15" s="75" t="s">
        <v>188</v>
      </c>
      <c r="DA15" s="85">
        <v>812.32369594459863</v>
      </c>
      <c r="DB15" s="75" t="s">
        <v>188</v>
      </c>
      <c r="DC15" s="85">
        <v>804.01312255859375</v>
      </c>
      <c r="DD15" s="155" t="s">
        <v>188</v>
      </c>
      <c r="DE15" s="85">
        <v>804.48306569139413</v>
      </c>
      <c r="DF15" s="155" t="s">
        <v>188</v>
      </c>
      <c r="DG15" s="85">
        <v>795.84434356352972</v>
      </c>
      <c r="DH15" s="75" t="s">
        <v>188</v>
      </c>
      <c r="DI15" s="173">
        <v>797.28161882472796</v>
      </c>
      <c r="DJ15" s="76" t="s">
        <v>188</v>
      </c>
      <c r="DK15" s="90"/>
      <c r="DL15" s="90"/>
      <c r="DM15" s="90"/>
      <c r="DN15" s="90"/>
      <c r="DO15" s="90"/>
    </row>
    <row r="16" spans="1:119">
      <c r="A16" s="162" t="s">
        <v>1</v>
      </c>
      <c r="B16" s="149">
        <v>1</v>
      </c>
      <c r="C16" s="154" t="s">
        <v>188</v>
      </c>
      <c r="D16" s="75" t="s">
        <v>0</v>
      </c>
      <c r="E16" s="85">
        <v>774</v>
      </c>
      <c r="F16" s="75" t="s">
        <v>188</v>
      </c>
      <c r="G16" s="85">
        <v>774</v>
      </c>
      <c r="H16" s="75" t="s">
        <v>188</v>
      </c>
      <c r="I16" s="85">
        <v>774</v>
      </c>
      <c r="J16" s="75" t="s">
        <v>188</v>
      </c>
      <c r="K16" s="85">
        <v>779.4</v>
      </c>
      <c r="L16" s="75" t="s">
        <v>188</v>
      </c>
      <c r="M16" s="85">
        <v>779.4</v>
      </c>
      <c r="N16" s="75" t="s">
        <v>188</v>
      </c>
      <c r="O16" s="85">
        <v>779.4</v>
      </c>
      <c r="P16" s="75" t="s">
        <v>188</v>
      </c>
      <c r="Q16" s="85">
        <v>779.4</v>
      </c>
      <c r="R16" s="75" t="s">
        <v>188</v>
      </c>
      <c r="S16" s="85">
        <v>779.4</v>
      </c>
      <c r="T16" s="75" t="s">
        <v>188</v>
      </c>
      <c r="U16" s="85">
        <v>779.4</v>
      </c>
      <c r="V16" s="75" t="s">
        <v>188</v>
      </c>
      <c r="W16" s="85" t="s">
        <v>188</v>
      </c>
      <c r="X16" s="75" t="s">
        <v>0</v>
      </c>
      <c r="Y16" s="85" t="s">
        <v>188</v>
      </c>
      <c r="Z16" s="155" t="s">
        <v>0</v>
      </c>
      <c r="AA16" s="85" t="s">
        <v>188</v>
      </c>
      <c r="AB16" s="75" t="s">
        <v>0</v>
      </c>
      <c r="AC16" s="173" t="s">
        <v>188</v>
      </c>
      <c r="AD16" s="76" t="s">
        <v>0</v>
      </c>
      <c r="AE16" s="154" t="s">
        <v>188</v>
      </c>
      <c r="AF16" s="75" t="s">
        <v>0</v>
      </c>
      <c r="AG16" s="85">
        <v>774</v>
      </c>
      <c r="AH16" s="75" t="s">
        <v>188</v>
      </c>
      <c r="AI16" s="85">
        <v>774</v>
      </c>
      <c r="AJ16" s="75" t="s">
        <v>188</v>
      </c>
      <c r="AK16" s="85">
        <v>774</v>
      </c>
      <c r="AL16" s="75" t="s">
        <v>188</v>
      </c>
      <c r="AM16" s="85">
        <v>779.4</v>
      </c>
      <c r="AN16" s="75" t="s">
        <v>188</v>
      </c>
      <c r="AO16" s="85">
        <v>779.4</v>
      </c>
      <c r="AP16" s="75" t="s">
        <v>188</v>
      </c>
      <c r="AQ16" s="85">
        <v>779.4</v>
      </c>
      <c r="AR16" s="75" t="s">
        <v>188</v>
      </c>
      <c r="AS16" s="85">
        <v>779.4</v>
      </c>
      <c r="AT16" s="75" t="s">
        <v>188</v>
      </c>
      <c r="AU16" s="85">
        <v>779.4</v>
      </c>
      <c r="AV16" s="75" t="s">
        <v>188</v>
      </c>
      <c r="AW16" s="85">
        <v>779.4</v>
      </c>
      <c r="AX16" s="75" t="s">
        <v>188</v>
      </c>
      <c r="AY16" s="85">
        <v>779.4</v>
      </c>
      <c r="AZ16" s="155" t="s">
        <v>188</v>
      </c>
      <c r="BA16" s="85">
        <v>779.4</v>
      </c>
      <c r="BB16" s="155" t="s">
        <v>188</v>
      </c>
      <c r="BC16" s="85">
        <v>779.4</v>
      </c>
      <c r="BD16" s="75" t="s">
        <v>188</v>
      </c>
      <c r="BE16" s="173">
        <v>779.4</v>
      </c>
      <c r="BF16" s="76" t="s">
        <v>188</v>
      </c>
      <c r="BG16" s="154" t="s">
        <v>188</v>
      </c>
      <c r="BH16" s="75" t="s">
        <v>0</v>
      </c>
      <c r="BI16" s="85">
        <v>606.6</v>
      </c>
      <c r="BJ16" s="75" t="s">
        <v>188</v>
      </c>
      <c r="BK16" s="85">
        <v>606.6</v>
      </c>
      <c r="BL16" s="75" t="s">
        <v>188</v>
      </c>
      <c r="BM16" s="85">
        <v>606.6</v>
      </c>
      <c r="BN16" s="75" t="s">
        <v>188</v>
      </c>
      <c r="BO16" s="85">
        <v>606.6</v>
      </c>
      <c r="BP16" s="75" t="s">
        <v>188</v>
      </c>
      <c r="BQ16" s="85">
        <v>606.6</v>
      </c>
      <c r="BR16" s="75" t="s">
        <v>188</v>
      </c>
      <c r="BS16" s="85">
        <v>606.6</v>
      </c>
      <c r="BT16" s="75" t="s">
        <v>188</v>
      </c>
      <c r="BU16" s="85">
        <v>606.6</v>
      </c>
      <c r="BV16" s="75" t="s">
        <v>188</v>
      </c>
      <c r="BW16" s="85">
        <v>606.6</v>
      </c>
      <c r="BX16" s="75" t="s">
        <v>188</v>
      </c>
      <c r="BY16" s="85">
        <v>606.6</v>
      </c>
      <c r="BZ16" s="75" t="s">
        <v>188</v>
      </c>
      <c r="CA16" s="85">
        <v>606.6</v>
      </c>
      <c r="CB16" s="155" t="s">
        <v>188</v>
      </c>
      <c r="CC16" s="85">
        <v>606.6</v>
      </c>
      <c r="CD16" s="155" t="s">
        <v>188</v>
      </c>
      <c r="CE16" s="85">
        <v>606.6</v>
      </c>
      <c r="CF16" s="75" t="s">
        <v>188</v>
      </c>
      <c r="CG16" s="173">
        <v>606.6</v>
      </c>
      <c r="CH16" s="76" t="s">
        <v>188</v>
      </c>
      <c r="CI16" s="154" t="s">
        <v>188</v>
      </c>
      <c r="CJ16" s="75" t="s">
        <v>0</v>
      </c>
      <c r="CK16" s="85">
        <v>588.6</v>
      </c>
      <c r="CL16" s="75" t="s">
        <v>188</v>
      </c>
      <c r="CM16" s="85">
        <v>588.6</v>
      </c>
      <c r="CN16" s="75" t="s">
        <v>188</v>
      </c>
      <c r="CO16" s="85">
        <v>588.6</v>
      </c>
      <c r="CP16" s="75" t="s">
        <v>188</v>
      </c>
      <c r="CQ16" s="85">
        <v>588.6</v>
      </c>
      <c r="CR16" s="75" t="s">
        <v>188</v>
      </c>
      <c r="CS16" s="85">
        <v>588.6</v>
      </c>
      <c r="CT16" s="75" t="s">
        <v>188</v>
      </c>
      <c r="CU16" s="85">
        <v>588.6</v>
      </c>
      <c r="CV16" s="75" t="s">
        <v>188</v>
      </c>
      <c r="CW16" s="85">
        <v>588.6</v>
      </c>
      <c r="CX16" s="75" t="s">
        <v>188</v>
      </c>
      <c r="CY16" s="85">
        <v>588.6</v>
      </c>
      <c r="CZ16" s="75" t="s">
        <v>188</v>
      </c>
      <c r="DA16" s="85">
        <v>588.6</v>
      </c>
      <c r="DB16" s="75" t="s">
        <v>188</v>
      </c>
      <c r="DC16" s="85">
        <v>588.6</v>
      </c>
      <c r="DD16" s="155" t="s">
        <v>188</v>
      </c>
      <c r="DE16" s="85">
        <v>588.6</v>
      </c>
      <c r="DF16" s="155" t="s">
        <v>188</v>
      </c>
      <c r="DG16" s="85">
        <v>588.6</v>
      </c>
      <c r="DH16" s="75" t="s">
        <v>188</v>
      </c>
      <c r="DI16" s="173">
        <v>588.6</v>
      </c>
      <c r="DJ16" s="76" t="s">
        <v>188</v>
      </c>
      <c r="DK16" s="90"/>
      <c r="DL16" s="90"/>
      <c r="DM16" s="90"/>
      <c r="DN16" s="90"/>
      <c r="DO16" s="90"/>
    </row>
    <row r="17" spans="1:119">
      <c r="A17" s="38" t="s">
        <v>46</v>
      </c>
      <c r="B17" s="153" t="s">
        <v>188</v>
      </c>
      <c r="C17" s="84" t="s">
        <v>188</v>
      </c>
      <c r="D17" s="77" t="s">
        <v>0</v>
      </c>
      <c r="E17" s="81" t="s">
        <v>188</v>
      </c>
      <c r="F17" s="77" t="s">
        <v>0</v>
      </c>
      <c r="G17" s="81" t="s">
        <v>188</v>
      </c>
      <c r="H17" s="77" t="s">
        <v>0</v>
      </c>
      <c r="I17" s="81" t="s">
        <v>188</v>
      </c>
      <c r="J17" s="77" t="s">
        <v>0</v>
      </c>
      <c r="K17" s="81" t="s">
        <v>188</v>
      </c>
      <c r="L17" s="77" t="s">
        <v>0</v>
      </c>
      <c r="M17" s="81" t="s">
        <v>188</v>
      </c>
      <c r="N17" s="77" t="s">
        <v>0</v>
      </c>
      <c r="O17" s="81" t="s">
        <v>188</v>
      </c>
      <c r="P17" s="77" t="s">
        <v>0</v>
      </c>
      <c r="Q17" s="81" t="s">
        <v>188</v>
      </c>
      <c r="R17" s="77" t="s">
        <v>0</v>
      </c>
      <c r="S17" s="81" t="s">
        <v>188</v>
      </c>
      <c r="T17" s="77" t="s">
        <v>0</v>
      </c>
      <c r="U17" s="81" t="s">
        <v>188</v>
      </c>
      <c r="V17" s="77" t="s">
        <v>0</v>
      </c>
      <c r="W17" s="81" t="s">
        <v>188</v>
      </c>
      <c r="X17" s="77" t="s">
        <v>0</v>
      </c>
      <c r="Y17" s="81" t="s">
        <v>188</v>
      </c>
      <c r="Z17" s="124" t="s">
        <v>0</v>
      </c>
      <c r="AA17" s="81" t="s">
        <v>188</v>
      </c>
      <c r="AB17" s="77" t="s">
        <v>0</v>
      </c>
      <c r="AC17" s="83" t="s">
        <v>188</v>
      </c>
      <c r="AD17" s="78" t="s">
        <v>0</v>
      </c>
      <c r="AE17" s="84" t="s">
        <v>188</v>
      </c>
      <c r="AF17" s="77" t="s">
        <v>0</v>
      </c>
      <c r="AG17" s="81" t="s">
        <v>188</v>
      </c>
      <c r="AH17" s="77" t="s">
        <v>0</v>
      </c>
      <c r="AI17" s="81" t="s">
        <v>188</v>
      </c>
      <c r="AJ17" s="77" t="s">
        <v>0</v>
      </c>
      <c r="AK17" s="81" t="s">
        <v>188</v>
      </c>
      <c r="AL17" s="77" t="s">
        <v>0</v>
      </c>
      <c r="AM17" s="81" t="s">
        <v>188</v>
      </c>
      <c r="AN17" s="77" t="s">
        <v>0</v>
      </c>
      <c r="AO17" s="81" t="s">
        <v>188</v>
      </c>
      <c r="AP17" s="77" t="s">
        <v>0</v>
      </c>
      <c r="AQ17" s="81">
        <v>799.31287902532461</v>
      </c>
      <c r="AR17" s="77" t="s">
        <v>188</v>
      </c>
      <c r="AS17" s="81">
        <v>799.26561465399845</v>
      </c>
      <c r="AT17" s="77" t="s">
        <v>188</v>
      </c>
      <c r="AU17" s="81">
        <v>799</v>
      </c>
      <c r="AV17" s="77" t="s">
        <v>188</v>
      </c>
      <c r="AW17" s="81">
        <v>795.85984021321906</v>
      </c>
      <c r="AX17" s="77" t="s">
        <v>188</v>
      </c>
      <c r="AY17" s="81">
        <v>796</v>
      </c>
      <c r="AZ17" s="124" t="s">
        <v>188</v>
      </c>
      <c r="BA17" s="81">
        <v>797.0465772097516</v>
      </c>
      <c r="BB17" s="124" t="s">
        <v>188</v>
      </c>
      <c r="BC17" s="81">
        <v>797.7713045847172</v>
      </c>
      <c r="BD17" s="77" t="s">
        <v>188</v>
      </c>
      <c r="BE17" s="83">
        <v>797.7713045847172</v>
      </c>
      <c r="BF17" s="78" t="s">
        <v>188</v>
      </c>
      <c r="BG17" s="84" t="s">
        <v>188</v>
      </c>
      <c r="BH17" s="77" t="s">
        <v>0</v>
      </c>
      <c r="BI17" s="81" t="s">
        <v>188</v>
      </c>
      <c r="BJ17" s="77" t="s">
        <v>0</v>
      </c>
      <c r="BK17" s="81" t="s">
        <v>188</v>
      </c>
      <c r="BL17" s="77" t="s">
        <v>0</v>
      </c>
      <c r="BM17" s="81" t="s">
        <v>188</v>
      </c>
      <c r="BN17" s="77" t="s">
        <v>0</v>
      </c>
      <c r="BO17" s="81" t="s">
        <v>188</v>
      </c>
      <c r="BP17" s="77" t="s">
        <v>0</v>
      </c>
      <c r="BQ17" s="81" t="s">
        <v>188</v>
      </c>
      <c r="BR17" s="77" t="s">
        <v>0</v>
      </c>
      <c r="BS17" s="81">
        <v>740.37248948707486</v>
      </c>
      <c r="BT17" s="77" t="s">
        <v>188</v>
      </c>
      <c r="BU17" s="81">
        <v>743.2081627193121</v>
      </c>
      <c r="BV17" s="77" t="s">
        <v>188</v>
      </c>
      <c r="BW17" s="81">
        <v>744</v>
      </c>
      <c r="BX17" s="77" t="s">
        <v>188</v>
      </c>
      <c r="BY17" s="81">
        <v>743.3138320772282</v>
      </c>
      <c r="BZ17" s="77" t="s">
        <v>188</v>
      </c>
      <c r="CA17" s="81">
        <v>743</v>
      </c>
      <c r="CB17" s="124" t="s">
        <v>188</v>
      </c>
      <c r="CC17" s="81">
        <v>741.85086828599924</v>
      </c>
      <c r="CD17" s="124" t="s">
        <v>188</v>
      </c>
      <c r="CE17" s="81">
        <v>744.53291935095456</v>
      </c>
      <c r="CF17" s="77" t="s">
        <v>188</v>
      </c>
      <c r="CG17" s="83">
        <v>744.53291935095456</v>
      </c>
      <c r="CH17" s="78" t="s">
        <v>188</v>
      </c>
      <c r="CI17" s="84" t="s">
        <v>188</v>
      </c>
      <c r="CJ17" s="77" t="s">
        <v>0</v>
      </c>
      <c r="CK17" s="81" t="s">
        <v>188</v>
      </c>
      <c r="CL17" s="77" t="s">
        <v>0</v>
      </c>
      <c r="CM17" s="81" t="s">
        <v>188</v>
      </c>
      <c r="CN17" s="77" t="s">
        <v>0</v>
      </c>
      <c r="CO17" s="81" t="s">
        <v>188</v>
      </c>
      <c r="CP17" s="77" t="s">
        <v>0</v>
      </c>
      <c r="CQ17" s="81" t="s">
        <v>188</v>
      </c>
      <c r="CR17" s="77" t="s">
        <v>0</v>
      </c>
      <c r="CS17" s="81" t="s">
        <v>188</v>
      </c>
      <c r="CT17" s="77" t="s">
        <v>0</v>
      </c>
      <c r="CU17" s="81">
        <v>744.16762923545662</v>
      </c>
      <c r="CV17" s="77" t="s">
        <v>188</v>
      </c>
      <c r="CW17" s="81">
        <v>747.00307808324283</v>
      </c>
      <c r="CX17" s="77" t="s">
        <v>188</v>
      </c>
      <c r="CY17" s="81">
        <v>747</v>
      </c>
      <c r="CZ17" s="77" t="s">
        <v>188</v>
      </c>
      <c r="DA17" s="81">
        <v>744.6364228419859</v>
      </c>
      <c r="DB17" s="77" t="s">
        <v>188</v>
      </c>
      <c r="DC17" s="81">
        <v>744</v>
      </c>
      <c r="DD17" s="124" t="s">
        <v>188</v>
      </c>
      <c r="DE17" s="81">
        <v>742.97257759814067</v>
      </c>
      <c r="DF17" s="124" t="s">
        <v>188</v>
      </c>
      <c r="DG17" s="81">
        <v>745.7403076282186</v>
      </c>
      <c r="DH17" s="77" t="s">
        <v>188</v>
      </c>
      <c r="DI17" s="83">
        <v>745.7403076282186</v>
      </c>
      <c r="DJ17" s="78" t="s">
        <v>188</v>
      </c>
      <c r="DK17" s="90"/>
      <c r="DL17" s="90"/>
      <c r="DM17" s="90"/>
      <c r="DN17" s="90"/>
      <c r="DO17" s="90"/>
    </row>
    <row r="18" spans="1:119">
      <c r="A18" s="38" t="s">
        <v>37</v>
      </c>
      <c r="B18" s="153" t="s">
        <v>188</v>
      </c>
      <c r="C18" s="84" t="s">
        <v>188</v>
      </c>
      <c r="D18" s="77" t="s">
        <v>0</v>
      </c>
      <c r="E18" s="81" t="s">
        <v>188</v>
      </c>
      <c r="F18" s="77" t="s">
        <v>0</v>
      </c>
      <c r="G18" s="81" t="s">
        <v>188</v>
      </c>
      <c r="H18" s="77" t="s">
        <v>0</v>
      </c>
      <c r="I18" s="81" t="s">
        <v>188</v>
      </c>
      <c r="J18" s="77" t="s">
        <v>0</v>
      </c>
      <c r="K18" s="81" t="s">
        <v>188</v>
      </c>
      <c r="L18" s="77" t="s">
        <v>0</v>
      </c>
      <c r="M18" s="81" t="s">
        <v>188</v>
      </c>
      <c r="N18" s="77" t="s">
        <v>0</v>
      </c>
      <c r="O18" s="81" t="s">
        <v>188</v>
      </c>
      <c r="P18" s="77" t="s">
        <v>0</v>
      </c>
      <c r="Q18" s="81">
        <v>1119.9821806270472</v>
      </c>
      <c r="R18" s="77" t="s">
        <v>188</v>
      </c>
      <c r="S18" s="81">
        <v>1103.3428291800001</v>
      </c>
      <c r="T18" s="77" t="s">
        <v>188</v>
      </c>
      <c r="U18" s="81">
        <v>1128.5561782679981</v>
      </c>
      <c r="V18" s="77" t="s">
        <v>188</v>
      </c>
      <c r="W18" s="81">
        <v>1145.813437100991</v>
      </c>
      <c r="X18" s="77" t="s">
        <v>188</v>
      </c>
      <c r="Y18" s="81">
        <v>1157.3599999999999</v>
      </c>
      <c r="Z18" s="124" t="s">
        <v>188</v>
      </c>
      <c r="AA18" s="81">
        <v>1158.4305392705303</v>
      </c>
      <c r="AB18" s="77" t="s">
        <v>188</v>
      </c>
      <c r="AC18" s="83">
        <v>1063.5552077238151</v>
      </c>
      <c r="AD18" s="78" t="s">
        <v>188</v>
      </c>
      <c r="AE18" s="84" t="s">
        <v>188</v>
      </c>
      <c r="AF18" s="77" t="s">
        <v>0</v>
      </c>
      <c r="AG18" s="81">
        <v>1127.6856074766356</v>
      </c>
      <c r="AH18" s="77" t="s">
        <v>188</v>
      </c>
      <c r="AI18" s="81">
        <v>1100.9854350567466</v>
      </c>
      <c r="AJ18" s="77" t="s">
        <v>188</v>
      </c>
      <c r="AK18" s="81">
        <v>1086.8470588235293</v>
      </c>
      <c r="AL18" s="77" t="s">
        <v>188</v>
      </c>
      <c r="AM18" s="81">
        <v>1101.223564631669</v>
      </c>
      <c r="AN18" s="77" t="s">
        <v>188</v>
      </c>
      <c r="AO18" s="81">
        <v>1108.797834586466</v>
      </c>
      <c r="AP18" s="77" t="s">
        <v>188</v>
      </c>
      <c r="AQ18" s="81">
        <v>1104.7932526294901</v>
      </c>
      <c r="AR18" s="77" t="s">
        <v>188</v>
      </c>
      <c r="AS18" s="81">
        <v>1119.9821806270472</v>
      </c>
      <c r="AT18" s="77" t="s">
        <v>188</v>
      </c>
      <c r="AU18" s="81">
        <v>1103.3428291800001</v>
      </c>
      <c r="AV18" s="77" t="s">
        <v>188</v>
      </c>
      <c r="AW18" s="81">
        <v>1128.5561782679981</v>
      </c>
      <c r="AX18" s="77" t="s">
        <v>188</v>
      </c>
      <c r="AY18" s="81">
        <v>1145.813437100991</v>
      </c>
      <c r="AZ18" s="124" t="s">
        <v>188</v>
      </c>
      <c r="BA18" s="81">
        <v>1157.3599999999999</v>
      </c>
      <c r="BB18" s="124" t="s">
        <v>188</v>
      </c>
      <c r="BC18" s="81">
        <v>1158.4305392705303</v>
      </c>
      <c r="BD18" s="77" t="s">
        <v>188</v>
      </c>
      <c r="BE18" s="83">
        <v>1063.5552077238151</v>
      </c>
      <c r="BF18" s="78" t="s">
        <v>188</v>
      </c>
      <c r="BG18" s="84" t="s">
        <v>188</v>
      </c>
      <c r="BH18" s="77" t="s">
        <v>0</v>
      </c>
      <c r="BI18" s="81">
        <v>1127.6856074766356</v>
      </c>
      <c r="BJ18" s="77" t="s">
        <v>188</v>
      </c>
      <c r="BK18" s="81">
        <v>1100.9854350567466</v>
      </c>
      <c r="BL18" s="77" t="s">
        <v>188</v>
      </c>
      <c r="BM18" s="81">
        <v>1086.8470588235293</v>
      </c>
      <c r="BN18" s="77" t="s">
        <v>188</v>
      </c>
      <c r="BO18" s="81">
        <v>1101.223564631669</v>
      </c>
      <c r="BP18" s="77" t="s">
        <v>188</v>
      </c>
      <c r="BQ18" s="81">
        <v>1108.797834586466</v>
      </c>
      <c r="BR18" s="77" t="s">
        <v>188</v>
      </c>
      <c r="BS18" s="81">
        <v>1104.7932526294901</v>
      </c>
      <c r="BT18" s="77" t="s">
        <v>188</v>
      </c>
      <c r="BU18" s="81">
        <v>1119.9821806270472</v>
      </c>
      <c r="BV18" s="77" t="s">
        <v>188</v>
      </c>
      <c r="BW18" s="81">
        <v>1103.3428291800001</v>
      </c>
      <c r="BX18" s="77" t="s">
        <v>188</v>
      </c>
      <c r="BY18" s="81">
        <v>1128.5561782679981</v>
      </c>
      <c r="BZ18" s="77" t="s">
        <v>188</v>
      </c>
      <c r="CA18" s="81">
        <v>1145.813437100991</v>
      </c>
      <c r="CB18" s="124" t="s">
        <v>188</v>
      </c>
      <c r="CC18" s="81">
        <v>1157.3599999999999</v>
      </c>
      <c r="CD18" s="124" t="s">
        <v>188</v>
      </c>
      <c r="CE18" s="81">
        <v>1158.4305392705303</v>
      </c>
      <c r="CF18" s="77" t="s">
        <v>188</v>
      </c>
      <c r="CG18" s="83">
        <v>1063.5552077238151</v>
      </c>
      <c r="CH18" s="78" t="s">
        <v>188</v>
      </c>
      <c r="CI18" s="84" t="s">
        <v>188</v>
      </c>
      <c r="CJ18" s="77" t="s">
        <v>0</v>
      </c>
      <c r="CK18" s="81">
        <v>1127.6856074766356</v>
      </c>
      <c r="CL18" s="77" t="s">
        <v>188</v>
      </c>
      <c r="CM18" s="81">
        <v>1100.9854350567466</v>
      </c>
      <c r="CN18" s="77" t="s">
        <v>188</v>
      </c>
      <c r="CO18" s="81">
        <v>1086.8470588235293</v>
      </c>
      <c r="CP18" s="77" t="s">
        <v>188</v>
      </c>
      <c r="CQ18" s="81">
        <v>1101.223564631669</v>
      </c>
      <c r="CR18" s="77" t="s">
        <v>188</v>
      </c>
      <c r="CS18" s="81">
        <v>1108.797834586466</v>
      </c>
      <c r="CT18" s="77" t="s">
        <v>188</v>
      </c>
      <c r="CU18" s="81">
        <v>1104.7932526294901</v>
      </c>
      <c r="CV18" s="77" t="s">
        <v>188</v>
      </c>
      <c r="CW18" s="81">
        <v>1119.9821806270472</v>
      </c>
      <c r="CX18" s="77" t="s">
        <v>188</v>
      </c>
      <c r="CY18" s="81">
        <v>1103.3428291800001</v>
      </c>
      <c r="CZ18" s="77" t="s">
        <v>188</v>
      </c>
      <c r="DA18" s="81">
        <v>1128.5561782679981</v>
      </c>
      <c r="DB18" s="77" t="s">
        <v>188</v>
      </c>
      <c r="DC18" s="81">
        <v>1145.813437100991</v>
      </c>
      <c r="DD18" s="124" t="s">
        <v>188</v>
      </c>
      <c r="DE18" s="81">
        <v>1157.3599999999999</v>
      </c>
      <c r="DF18" s="124" t="s">
        <v>188</v>
      </c>
      <c r="DG18" s="81">
        <v>1158.4305392705303</v>
      </c>
      <c r="DH18" s="77" t="s">
        <v>188</v>
      </c>
      <c r="DI18" s="83">
        <v>1063.5552077238151</v>
      </c>
      <c r="DJ18" s="78" t="s">
        <v>188</v>
      </c>
      <c r="DK18" s="90"/>
      <c r="DL18" s="90"/>
      <c r="DM18" s="90"/>
      <c r="DN18" s="90"/>
      <c r="DO18" s="90"/>
    </row>
    <row r="19" spans="1:119">
      <c r="A19" s="162" t="s">
        <v>28</v>
      </c>
      <c r="B19" s="149" t="s">
        <v>188</v>
      </c>
      <c r="C19" s="154" t="s">
        <v>188</v>
      </c>
      <c r="D19" s="75" t="s">
        <v>0</v>
      </c>
      <c r="E19" s="85" t="s">
        <v>188</v>
      </c>
      <c r="F19" s="75" t="s">
        <v>0</v>
      </c>
      <c r="G19" s="85" t="s">
        <v>188</v>
      </c>
      <c r="H19" s="75" t="s">
        <v>0</v>
      </c>
      <c r="I19" s="85" t="s">
        <v>188</v>
      </c>
      <c r="J19" s="75" t="s">
        <v>0</v>
      </c>
      <c r="K19" s="85" t="s">
        <v>188</v>
      </c>
      <c r="L19" s="75" t="s">
        <v>0</v>
      </c>
      <c r="M19" s="85" t="s">
        <v>188</v>
      </c>
      <c r="N19" s="75" t="s">
        <v>0</v>
      </c>
      <c r="O19" s="85" t="s">
        <v>188</v>
      </c>
      <c r="P19" s="75" t="s">
        <v>0</v>
      </c>
      <c r="Q19" s="85">
        <v>1184.2</v>
      </c>
      <c r="R19" s="75" t="s">
        <v>188</v>
      </c>
      <c r="S19" s="85">
        <v>1165.6000000000001</v>
      </c>
      <c r="T19" s="75" t="s">
        <v>188</v>
      </c>
      <c r="U19" s="85">
        <v>1165.6000000000001</v>
      </c>
      <c r="V19" s="75" t="s">
        <v>188</v>
      </c>
      <c r="W19" s="85">
        <v>1159.4000000000001</v>
      </c>
      <c r="X19" s="75" t="s">
        <v>188</v>
      </c>
      <c r="Y19" s="85">
        <v>1159.4000000000001</v>
      </c>
      <c r="Z19" s="155" t="s">
        <v>188</v>
      </c>
      <c r="AA19" s="85">
        <v>1333</v>
      </c>
      <c r="AB19" s="75" t="s">
        <v>188</v>
      </c>
      <c r="AC19" s="173">
        <v>1333</v>
      </c>
      <c r="AD19" s="76" t="s">
        <v>188</v>
      </c>
      <c r="AE19" s="154" t="s">
        <v>188</v>
      </c>
      <c r="AF19" s="75" t="s">
        <v>0</v>
      </c>
      <c r="AG19" s="85">
        <v>813.4</v>
      </c>
      <c r="AH19" s="75" t="s">
        <v>188</v>
      </c>
      <c r="AI19" s="85">
        <v>853.6</v>
      </c>
      <c r="AJ19" s="75" t="s">
        <v>188</v>
      </c>
      <c r="AK19" s="85">
        <v>849.2</v>
      </c>
      <c r="AL19" s="75" t="s">
        <v>188</v>
      </c>
      <c r="AM19" s="85">
        <v>849.2</v>
      </c>
      <c r="AN19" s="75" t="s">
        <v>188</v>
      </c>
      <c r="AO19" s="85">
        <v>831.6</v>
      </c>
      <c r="AP19" s="75" t="s">
        <v>188</v>
      </c>
      <c r="AQ19" s="85">
        <v>862.40000000000009</v>
      </c>
      <c r="AR19" s="75" t="s">
        <v>188</v>
      </c>
      <c r="AS19" s="85">
        <v>840.40000000000009</v>
      </c>
      <c r="AT19" s="75" t="s">
        <v>188</v>
      </c>
      <c r="AU19" s="85">
        <v>827.2</v>
      </c>
      <c r="AV19" s="75" t="s">
        <v>188</v>
      </c>
      <c r="AW19" s="85">
        <v>827.2</v>
      </c>
      <c r="AX19" s="75" t="s">
        <v>188</v>
      </c>
      <c r="AY19" s="85">
        <v>822.80000000000007</v>
      </c>
      <c r="AZ19" s="155" t="s">
        <v>188</v>
      </c>
      <c r="BA19" s="85">
        <v>822.80000000000007</v>
      </c>
      <c r="BB19" s="155" t="s">
        <v>188</v>
      </c>
      <c r="BC19" s="85">
        <v>617.1</v>
      </c>
      <c r="BD19" s="75" t="s">
        <v>188</v>
      </c>
      <c r="BE19" s="173">
        <v>617.1</v>
      </c>
      <c r="BF19" s="76" t="s">
        <v>188</v>
      </c>
      <c r="BG19" s="154">
        <v>650.1</v>
      </c>
      <c r="BH19" s="75" t="s">
        <v>188</v>
      </c>
      <c r="BI19" s="85">
        <v>646.79999999999995</v>
      </c>
      <c r="BJ19" s="75" t="s">
        <v>188</v>
      </c>
      <c r="BK19" s="85">
        <v>640.20000000000005</v>
      </c>
      <c r="BL19" s="75" t="s">
        <v>188</v>
      </c>
      <c r="BM19" s="85">
        <v>636.9</v>
      </c>
      <c r="BN19" s="75" t="s">
        <v>188</v>
      </c>
      <c r="BO19" s="85">
        <v>636.9</v>
      </c>
      <c r="BP19" s="75" t="s">
        <v>188</v>
      </c>
      <c r="BQ19" s="85">
        <v>623.69999999999993</v>
      </c>
      <c r="BR19" s="75" t="s">
        <v>188</v>
      </c>
      <c r="BS19" s="85">
        <v>646.79999999999995</v>
      </c>
      <c r="BT19" s="75" t="s">
        <v>188</v>
      </c>
      <c r="BU19" s="85">
        <v>630.29999999999995</v>
      </c>
      <c r="BV19" s="75" t="s">
        <v>188</v>
      </c>
      <c r="BW19" s="85">
        <v>620.4</v>
      </c>
      <c r="BX19" s="75" t="s">
        <v>188</v>
      </c>
      <c r="BY19" s="85">
        <v>620.4</v>
      </c>
      <c r="BZ19" s="75" t="s">
        <v>188</v>
      </c>
      <c r="CA19" s="85">
        <v>617.1</v>
      </c>
      <c r="CB19" s="155" t="s">
        <v>188</v>
      </c>
      <c r="CC19" s="85">
        <v>617.1</v>
      </c>
      <c r="CD19" s="155" t="s">
        <v>188</v>
      </c>
      <c r="CE19" s="85">
        <v>617.1</v>
      </c>
      <c r="CF19" s="75" t="s">
        <v>188</v>
      </c>
      <c r="CG19" s="173">
        <v>617.1</v>
      </c>
      <c r="CH19" s="76" t="s">
        <v>188</v>
      </c>
      <c r="CI19" s="154">
        <v>620.54999999999995</v>
      </c>
      <c r="CJ19" s="75" t="s">
        <v>188</v>
      </c>
      <c r="CK19" s="85">
        <v>617.4</v>
      </c>
      <c r="CL19" s="75" t="s">
        <v>188</v>
      </c>
      <c r="CM19" s="85">
        <v>611.1</v>
      </c>
      <c r="CN19" s="75" t="s">
        <v>188</v>
      </c>
      <c r="CO19" s="85">
        <v>607.95000000000005</v>
      </c>
      <c r="CP19" s="75" t="s">
        <v>188</v>
      </c>
      <c r="CQ19" s="85">
        <v>607.94999999999993</v>
      </c>
      <c r="CR19" s="75" t="s">
        <v>188</v>
      </c>
      <c r="CS19" s="85">
        <v>595.35</v>
      </c>
      <c r="CT19" s="75" t="s">
        <v>188</v>
      </c>
      <c r="CU19" s="85">
        <v>617.4</v>
      </c>
      <c r="CV19" s="75" t="s">
        <v>188</v>
      </c>
      <c r="CW19" s="85">
        <v>601.65</v>
      </c>
      <c r="CX19" s="75" t="s">
        <v>188</v>
      </c>
      <c r="CY19" s="85">
        <v>592.20000000000005</v>
      </c>
      <c r="CZ19" s="75" t="s">
        <v>188</v>
      </c>
      <c r="DA19" s="85">
        <v>592.20000000000005</v>
      </c>
      <c r="DB19" s="75" t="s">
        <v>188</v>
      </c>
      <c r="DC19" s="85">
        <v>589.05000000000007</v>
      </c>
      <c r="DD19" s="155" t="s">
        <v>188</v>
      </c>
      <c r="DE19" s="85">
        <v>589.05000000000007</v>
      </c>
      <c r="DF19" s="155" t="s">
        <v>188</v>
      </c>
      <c r="DG19" s="85">
        <v>589.04999999999995</v>
      </c>
      <c r="DH19" s="75" t="s">
        <v>188</v>
      </c>
      <c r="DI19" s="173">
        <v>589.04999999999995</v>
      </c>
      <c r="DJ19" s="76" t="s">
        <v>188</v>
      </c>
      <c r="DK19" s="90"/>
      <c r="DL19" s="90"/>
      <c r="DM19" s="90"/>
      <c r="DN19" s="90"/>
      <c r="DO19" s="90"/>
    </row>
    <row r="20" spans="1:119">
      <c r="A20" s="162" t="s">
        <v>2</v>
      </c>
      <c r="B20" s="149" t="s">
        <v>195</v>
      </c>
      <c r="C20" s="154" t="s">
        <v>188</v>
      </c>
      <c r="D20" s="75" t="s">
        <v>0</v>
      </c>
      <c r="E20" s="85" t="s">
        <v>188</v>
      </c>
      <c r="F20" s="75" t="s">
        <v>0</v>
      </c>
      <c r="G20" s="85" t="s">
        <v>188</v>
      </c>
      <c r="H20" s="75" t="s">
        <v>0</v>
      </c>
      <c r="I20" s="85" t="s">
        <v>188</v>
      </c>
      <c r="J20" s="75" t="s">
        <v>0</v>
      </c>
      <c r="K20" s="85" t="s">
        <v>188</v>
      </c>
      <c r="L20" s="75" t="s">
        <v>0</v>
      </c>
      <c r="M20" s="85" t="s">
        <v>188</v>
      </c>
      <c r="N20" s="75" t="s">
        <v>23</v>
      </c>
      <c r="O20" s="85" t="s">
        <v>188</v>
      </c>
      <c r="P20" s="75" t="s">
        <v>23</v>
      </c>
      <c r="Q20" s="85" t="s">
        <v>188</v>
      </c>
      <c r="R20" s="75" t="s">
        <v>23</v>
      </c>
      <c r="S20" s="85" t="s">
        <v>188</v>
      </c>
      <c r="T20" s="75" t="s">
        <v>23</v>
      </c>
      <c r="U20" s="85" t="s">
        <v>188</v>
      </c>
      <c r="V20" s="75" t="s">
        <v>23</v>
      </c>
      <c r="W20" s="85">
        <v>1417</v>
      </c>
      <c r="X20" s="75" t="s">
        <v>188</v>
      </c>
      <c r="Y20" s="85">
        <v>1417</v>
      </c>
      <c r="Z20" s="155" t="s">
        <v>188</v>
      </c>
      <c r="AA20" s="85" t="s">
        <v>188</v>
      </c>
      <c r="AB20" s="75" t="s">
        <v>0</v>
      </c>
      <c r="AC20" s="173" t="s">
        <v>188</v>
      </c>
      <c r="AD20" s="76" t="s">
        <v>23</v>
      </c>
      <c r="AE20" s="154">
        <v>640</v>
      </c>
      <c r="AF20" s="75" t="s">
        <v>188</v>
      </c>
      <c r="AG20" s="85">
        <v>640</v>
      </c>
      <c r="AH20" s="75" t="s">
        <v>188</v>
      </c>
      <c r="AI20" s="85">
        <v>648</v>
      </c>
      <c r="AJ20" s="75" t="s">
        <v>188</v>
      </c>
      <c r="AK20" s="85">
        <v>648</v>
      </c>
      <c r="AL20" s="75" t="s">
        <v>188</v>
      </c>
      <c r="AM20" s="85">
        <v>648</v>
      </c>
      <c r="AN20" s="75" t="s">
        <v>188</v>
      </c>
      <c r="AO20" s="85">
        <v>648</v>
      </c>
      <c r="AP20" s="75" t="s">
        <v>188</v>
      </c>
      <c r="AQ20" s="85">
        <v>650</v>
      </c>
      <c r="AR20" s="75" t="s">
        <v>188</v>
      </c>
      <c r="AS20" s="85">
        <v>650</v>
      </c>
      <c r="AT20" s="75" t="s">
        <v>188</v>
      </c>
      <c r="AU20" s="85">
        <v>659</v>
      </c>
      <c r="AV20" s="75" t="s">
        <v>188</v>
      </c>
      <c r="AW20" s="85">
        <v>662</v>
      </c>
      <c r="AX20" s="75" t="s">
        <v>188</v>
      </c>
      <c r="AY20" s="85">
        <v>663</v>
      </c>
      <c r="AZ20" s="155" t="s">
        <v>188</v>
      </c>
      <c r="BA20" s="85">
        <v>784</v>
      </c>
      <c r="BB20" s="155" t="s">
        <v>186</v>
      </c>
      <c r="BC20" s="85" t="s">
        <v>188</v>
      </c>
      <c r="BD20" s="75" t="s">
        <v>23</v>
      </c>
      <c r="BE20" s="173" t="s">
        <v>188</v>
      </c>
      <c r="BF20" s="76" t="s">
        <v>23</v>
      </c>
      <c r="BG20" s="154">
        <v>640</v>
      </c>
      <c r="BH20" s="75" t="s">
        <v>188</v>
      </c>
      <c r="BI20" s="85">
        <v>640</v>
      </c>
      <c r="BJ20" s="75" t="s">
        <v>188</v>
      </c>
      <c r="BK20" s="85">
        <v>648</v>
      </c>
      <c r="BL20" s="75" t="s">
        <v>188</v>
      </c>
      <c r="BM20" s="85">
        <v>648</v>
      </c>
      <c r="BN20" s="75" t="s">
        <v>188</v>
      </c>
      <c r="BO20" s="85">
        <v>648</v>
      </c>
      <c r="BP20" s="75" t="s">
        <v>188</v>
      </c>
      <c r="BQ20" s="85">
        <v>648</v>
      </c>
      <c r="BR20" s="75" t="s">
        <v>188</v>
      </c>
      <c r="BS20" s="85">
        <v>650</v>
      </c>
      <c r="BT20" s="75" t="s">
        <v>188</v>
      </c>
      <c r="BU20" s="85">
        <v>650</v>
      </c>
      <c r="BV20" s="75" t="s">
        <v>188</v>
      </c>
      <c r="BW20" s="85">
        <v>659</v>
      </c>
      <c r="BX20" s="75" t="s">
        <v>188</v>
      </c>
      <c r="BY20" s="85">
        <v>662</v>
      </c>
      <c r="BZ20" s="75" t="s">
        <v>188</v>
      </c>
      <c r="CA20" s="85">
        <v>663</v>
      </c>
      <c r="CB20" s="155" t="s">
        <v>188</v>
      </c>
      <c r="CC20" s="85">
        <v>784</v>
      </c>
      <c r="CD20" s="155" t="s">
        <v>186</v>
      </c>
      <c r="CE20" s="85" t="s">
        <v>188</v>
      </c>
      <c r="CF20" s="75" t="s">
        <v>23</v>
      </c>
      <c r="CG20" s="173" t="s">
        <v>188</v>
      </c>
      <c r="CH20" s="76" t="s">
        <v>23</v>
      </c>
      <c r="CI20" s="154" t="s">
        <v>188</v>
      </c>
      <c r="CJ20" s="75" t="s">
        <v>0</v>
      </c>
      <c r="CK20" s="85" t="s">
        <v>188</v>
      </c>
      <c r="CL20" s="75" t="s">
        <v>0</v>
      </c>
      <c r="CM20" s="85">
        <v>364</v>
      </c>
      <c r="CN20" s="75" t="s">
        <v>188</v>
      </c>
      <c r="CO20" s="85">
        <v>364</v>
      </c>
      <c r="CP20" s="75" t="s">
        <v>188</v>
      </c>
      <c r="CQ20" s="85">
        <v>364</v>
      </c>
      <c r="CR20" s="75" t="s">
        <v>188</v>
      </c>
      <c r="CS20" s="85">
        <v>377</v>
      </c>
      <c r="CT20" s="75" t="s">
        <v>188</v>
      </c>
      <c r="CU20" s="85">
        <v>377</v>
      </c>
      <c r="CV20" s="75" t="s">
        <v>188</v>
      </c>
      <c r="CW20" s="85">
        <v>369</v>
      </c>
      <c r="CX20" s="75" t="s">
        <v>188</v>
      </c>
      <c r="CY20" s="85">
        <v>369</v>
      </c>
      <c r="CZ20" s="75" t="s">
        <v>188</v>
      </c>
      <c r="DA20" s="85">
        <v>369</v>
      </c>
      <c r="DB20" s="75" t="s">
        <v>188</v>
      </c>
      <c r="DC20" s="85">
        <v>386</v>
      </c>
      <c r="DD20" s="155" t="s">
        <v>188</v>
      </c>
      <c r="DE20" s="85">
        <v>386</v>
      </c>
      <c r="DF20" s="155" t="s">
        <v>188</v>
      </c>
      <c r="DG20" s="85">
        <v>394</v>
      </c>
      <c r="DH20" s="75" t="s">
        <v>188</v>
      </c>
      <c r="DI20" s="173">
        <v>405</v>
      </c>
      <c r="DJ20" s="76" t="s">
        <v>188</v>
      </c>
      <c r="DK20" s="90"/>
      <c r="DL20" s="90"/>
      <c r="DM20" s="90"/>
      <c r="DN20" s="90"/>
      <c r="DO20" s="90"/>
    </row>
    <row r="21" spans="1:119">
      <c r="A21" s="38" t="s">
        <v>41</v>
      </c>
      <c r="B21" s="153" t="s">
        <v>188</v>
      </c>
      <c r="C21" s="84" t="s">
        <v>188</v>
      </c>
      <c r="D21" s="77" t="s">
        <v>0</v>
      </c>
      <c r="E21" s="81" t="s">
        <v>188</v>
      </c>
      <c r="F21" s="77" t="s">
        <v>0</v>
      </c>
      <c r="G21" s="81" t="s">
        <v>188</v>
      </c>
      <c r="H21" s="77" t="s">
        <v>0</v>
      </c>
      <c r="I21" s="81" t="s">
        <v>188</v>
      </c>
      <c r="J21" s="77" t="s">
        <v>0</v>
      </c>
      <c r="K21" s="81" t="s">
        <v>188</v>
      </c>
      <c r="L21" s="77" t="s">
        <v>0</v>
      </c>
      <c r="M21" s="81" t="s">
        <v>188</v>
      </c>
      <c r="N21" s="77" t="s">
        <v>0</v>
      </c>
      <c r="O21" s="81" t="s">
        <v>188</v>
      </c>
      <c r="P21" s="77" t="s">
        <v>0</v>
      </c>
      <c r="Q21" s="81">
        <v>1320</v>
      </c>
      <c r="R21" s="77" t="s">
        <v>188</v>
      </c>
      <c r="S21" s="81">
        <v>1320</v>
      </c>
      <c r="T21" s="77" t="s">
        <v>188</v>
      </c>
      <c r="U21" s="81">
        <v>1320</v>
      </c>
      <c r="V21" s="77" t="s">
        <v>188</v>
      </c>
      <c r="W21" s="81">
        <v>1320</v>
      </c>
      <c r="X21" s="77" t="s">
        <v>188</v>
      </c>
      <c r="Y21" s="81">
        <v>1320</v>
      </c>
      <c r="Z21" s="124" t="s">
        <v>188</v>
      </c>
      <c r="AA21" s="81">
        <v>1320</v>
      </c>
      <c r="AB21" s="77" t="s">
        <v>188</v>
      </c>
      <c r="AC21" s="83">
        <v>1320</v>
      </c>
      <c r="AD21" s="78" t="s">
        <v>188</v>
      </c>
      <c r="AE21" s="84">
        <v>630</v>
      </c>
      <c r="AF21" s="77" t="s">
        <v>188</v>
      </c>
      <c r="AG21" s="81">
        <v>630</v>
      </c>
      <c r="AH21" s="77" t="s">
        <v>188</v>
      </c>
      <c r="AI21" s="81">
        <v>630</v>
      </c>
      <c r="AJ21" s="77" t="s">
        <v>188</v>
      </c>
      <c r="AK21" s="81">
        <v>630</v>
      </c>
      <c r="AL21" s="77" t="s">
        <v>188</v>
      </c>
      <c r="AM21" s="81">
        <v>630</v>
      </c>
      <c r="AN21" s="77" t="s">
        <v>188</v>
      </c>
      <c r="AO21" s="81">
        <v>630</v>
      </c>
      <c r="AP21" s="77" t="s">
        <v>188</v>
      </c>
      <c r="AQ21" s="81">
        <v>630</v>
      </c>
      <c r="AR21" s="77" t="s">
        <v>188</v>
      </c>
      <c r="AS21" s="81">
        <v>619.20000000000005</v>
      </c>
      <c r="AT21" s="77" t="s">
        <v>188</v>
      </c>
      <c r="AU21" s="81">
        <v>619.20000000000005</v>
      </c>
      <c r="AV21" s="77" t="s">
        <v>188</v>
      </c>
      <c r="AW21" s="81">
        <v>619.20000000000005</v>
      </c>
      <c r="AX21" s="77" t="s">
        <v>188</v>
      </c>
      <c r="AY21" s="81">
        <v>619.20000000000005</v>
      </c>
      <c r="AZ21" s="124" t="s">
        <v>188</v>
      </c>
      <c r="BA21" s="81">
        <v>619.20000000000005</v>
      </c>
      <c r="BB21" s="124" t="s">
        <v>188</v>
      </c>
      <c r="BC21" s="81">
        <v>584.79999999999995</v>
      </c>
      <c r="BD21" s="77" t="s">
        <v>188</v>
      </c>
      <c r="BE21" s="83">
        <v>584.79999999999995</v>
      </c>
      <c r="BF21" s="78" t="s">
        <v>188</v>
      </c>
      <c r="BG21" s="84">
        <v>630</v>
      </c>
      <c r="BH21" s="77" t="s">
        <v>188</v>
      </c>
      <c r="BI21" s="81">
        <v>630</v>
      </c>
      <c r="BJ21" s="77" t="s">
        <v>188</v>
      </c>
      <c r="BK21" s="81">
        <v>630</v>
      </c>
      <c r="BL21" s="77" t="s">
        <v>188</v>
      </c>
      <c r="BM21" s="81">
        <v>630</v>
      </c>
      <c r="BN21" s="77" t="s">
        <v>188</v>
      </c>
      <c r="BO21" s="81">
        <v>630</v>
      </c>
      <c r="BP21" s="77" t="s">
        <v>188</v>
      </c>
      <c r="BQ21" s="81">
        <v>630</v>
      </c>
      <c r="BR21" s="77" t="s">
        <v>188</v>
      </c>
      <c r="BS21" s="81">
        <v>630</v>
      </c>
      <c r="BT21" s="77" t="s">
        <v>188</v>
      </c>
      <c r="BU21" s="81">
        <v>619.20000000000005</v>
      </c>
      <c r="BV21" s="77" t="s">
        <v>188</v>
      </c>
      <c r="BW21" s="81">
        <v>619.20000000000005</v>
      </c>
      <c r="BX21" s="77" t="s">
        <v>188</v>
      </c>
      <c r="BY21" s="81">
        <v>619.20000000000005</v>
      </c>
      <c r="BZ21" s="77" t="s">
        <v>188</v>
      </c>
      <c r="CA21" s="81">
        <v>619.20000000000005</v>
      </c>
      <c r="CB21" s="124" t="s">
        <v>188</v>
      </c>
      <c r="CC21" s="81">
        <v>619.20000000000005</v>
      </c>
      <c r="CD21" s="124" t="s">
        <v>188</v>
      </c>
      <c r="CE21" s="81">
        <v>602</v>
      </c>
      <c r="CF21" s="77" t="s">
        <v>188</v>
      </c>
      <c r="CG21" s="83">
        <v>602</v>
      </c>
      <c r="CH21" s="78" t="s">
        <v>188</v>
      </c>
      <c r="CI21" s="84">
        <v>577.5</v>
      </c>
      <c r="CJ21" s="77" t="s">
        <v>188</v>
      </c>
      <c r="CK21" s="81">
        <v>577.5</v>
      </c>
      <c r="CL21" s="77" t="s">
        <v>188</v>
      </c>
      <c r="CM21" s="81">
        <v>577.5</v>
      </c>
      <c r="CN21" s="77" t="s">
        <v>188</v>
      </c>
      <c r="CO21" s="81">
        <v>577.5</v>
      </c>
      <c r="CP21" s="77" t="s">
        <v>188</v>
      </c>
      <c r="CQ21" s="81">
        <v>577.5</v>
      </c>
      <c r="CR21" s="77" t="s">
        <v>188</v>
      </c>
      <c r="CS21" s="81">
        <v>577.5</v>
      </c>
      <c r="CT21" s="77" t="s">
        <v>188</v>
      </c>
      <c r="CU21" s="81">
        <v>577.5</v>
      </c>
      <c r="CV21" s="77" t="s">
        <v>188</v>
      </c>
      <c r="CW21" s="81">
        <v>567.6</v>
      </c>
      <c r="CX21" s="77" t="s">
        <v>188</v>
      </c>
      <c r="CY21" s="81">
        <v>567.6</v>
      </c>
      <c r="CZ21" s="77" t="s">
        <v>188</v>
      </c>
      <c r="DA21" s="81">
        <v>567.6</v>
      </c>
      <c r="DB21" s="77" t="s">
        <v>188</v>
      </c>
      <c r="DC21" s="81">
        <v>567.6</v>
      </c>
      <c r="DD21" s="124" t="s">
        <v>188</v>
      </c>
      <c r="DE21" s="81">
        <v>567.6</v>
      </c>
      <c r="DF21" s="124" t="s">
        <v>188</v>
      </c>
      <c r="DG21" s="81">
        <v>567.6</v>
      </c>
      <c r="DH21" s="77" t="s">
        <v>188</v>
      </c>
      <c r="DI21" s="83">
        <v>567.6</v>
      </c>
      <c r="DJ21" s="78" t="s">
        <v>188</v>
      </c>
      <c r="DK21" s="90"/>
      <c r="DL21" s="90"/>
      <c r="DM21" s="90"/>
      <c r="DN21" s="90"/>
      <c r="DO21" s="90"/>
    </row>
    <row r="22" spans="1:119">
      <c r="A22" s="38" t="s">
        <v>3</v>
      </c>
      <c r="B22" s="153" t="s">
        <v>188</v>
      </c>
      <c r="C22" s="84" t="s">
        <v>188</v>
      </c>
      <c r="D22" s="77" t="s">
        <v>0</v>
      </c>
      <c r="E22" s="81" t="s">
        <v>188</v>
      </c>
      <c r="F22" s="77" t="s">
        <v>0</v>
      </c>
      <c r="G22" s="81" t="s">
        <v>188</v>
      </c>
      <c r="H22" s="77" t="s">
        <v>0</v>
      </c>
      <c r="I22" s="81" t="s">
        <v>188</v>
      </c>
      <c r="J22" s="77" t="s">
        <v>0</v>
      </c>
      <c r="K22" s="81" t="s">
        <v>188</v>
      </c>
      <c r="L22" s="77" t="s">
        <v>0</v>
      </c>
      <c r="M22" s="81" t="s">
        <v>188</v>
      </c>
      <c r="N22" s="77" t="s">
        <v>0</v>
      </c>
      <c r="O22" s="81" t="s">
        <v>188</v>
      </c>
      <c r="P22" s="77" t="s">
        <v>0</v>
      </c>
      <c r="Q22" s="81" t="s">
        <v>188</v>
      </c>
      <c r="R22" s="77" t="s">
        <v>0</v>
      </c>
      <c r="S22" s="81" t="s">
        <v>188</v>
      </c>
      <c r="T22" s="77" t="s">
        <v>0</v>
      </c>
      <c r="U22" s="81" t="s">
        <v>188</v>
      </c>
      <c r="V22" s="77" t="s">
        <v>0</v>
      </c>
      <c r="W22" s="81" t="s">
        <v>188</v>
      </c>
      <c r="X22" s="77" t="s">
        <v>0</v>
      </c>
      <c r="Y22" s="81" t="s">
        <v>188</v>
      </c>
      <c r="Z22" s="124" t="s">
        <v>0</v>
      </c>
      <c r="AA22" s="81" t="s">
        <v>188</v>
      </c>
      <c r="AB22" s="77" t="s">
        <v>0</v>
      </c>
      <c r="AC22" s="83" t="s">
        <v>188</v>
      </c>
      <c r="AD22" s="78" t="s">
        <v>0</v>
      </c>
      <c r="AE22" s="84">
        <v>655.5</v>
      </c>
      <c r="AF22" s="77" t="s">
        <v>188</v>
      </c>
      <c r="AG22" s="81">
        <v>676.8</v>
      </c>
      <c r="AH22" s="77" t="s">
        <v>188</v>
      </c>
      <c r="AI22" s="81">
        <v>677</v>
      </c>
      <c r="AJ22" s="77" t="s">
        <v>188</v>
      </c>
      <c r="AK22" s="81">
        <v>676.8</v>
      </c>
      <c r="AL22" s="77" t="s">
        <v>188</v>
      </c>
      <c r="AM22" s="81">
        <v>676.80000000000007</v>
      </c>
      <c r="AN22" s="77" t="s">
        <v>188</v>
      </c>
      <c r="AO22" s="81">
        <v>676.80000000000007</v>
      </c>
      <c r="AP22" s="77" t="s">
        <v>188</v>
      </c>
      <c r="AQ22" s="81">
        <v>680.4</v>
      </c>
      <c r="AR22" s="77" t="s">
        <v>188</v>
      </c>
      <c r="AS22" s="81">
        <v>680.4</v>
      </c>
      <c r="AT22" s="77" t="s">
        <v>188</v>
      </c>
      <c r="AU22" s="81">
        <v>673.2</v>
      </c>
      <c r="AV22" s="77" t="s">
        <v>188</v>
      </c>
      <c r="AW22" s="81">
        <v>673.2</v>
      </c>
      <c r="AX22" s="77" t="s">
        <v>188</v>
      </c>
      <c r="AY22" s="81">
        <v>673.2</v>
      </c>
      <c r="AZ22" s="124" t="s">
        <v>188</v>
      </c>
      <c r="BA22" s="81">
        <v>676.80000000000007</v>
      </c>
      <c r="BB22" s="124" t="s">
        <v>188</v>
      </c>
      <c r="BC22" s="81">
        <v>680.4</v>
      </c>
      <c r="BD22" s="77" t="s">
        <v>188</v>
      </c>
      <c r="BE22" s="83">
        <v>673.2</v>
      </c>
      <c r="BF22" s="78" t="s">
        <v>188</v>
      </c>
      <c r="BG22" s="84">
        <v>570</v>
      </c>
      <c r="BH22" s="77" t="s">
        <v>188</v>
      </c>
      <c r="BI22" s="81">
        <v>592.20000000000005</v>
      </c>
      <c r="BJ22" s="77" t="s">
        <v>188</v>
      </c>
      <c r="BK22" s="81">
        <v>592.20000000000005</v>
      </c>
      <c r="BL22" s="77" t="s">
        <v>188</v>
      </c>
      <c r="BM22" s="81">
        <v>592.20000000000005</v>
      </c>
      <c r="BN22" s="77" t="s">
        <v>188</v>
      </c>
      <c r="BO22" s="81">
        <v>592.19999999999993</v>
      </c>
      <c r="BP22" s="77" t="s">
        <v>188</v>
      </c>
      <c r="BQ22" s="81">
        <v>592.19999999999993</v>
      </c>
      <c r="BR22" s="77" t="s">
        <v>188</v>
      </c>
      <c r="BS22" s="81">
        <v>595.35</v>
      </c>
      <c r="BT22" s="77" t="s">
        <v>188</v>
      </c>
      <c r="BU22" s="81">
        <v>595.35</v>
      </c>
      <c r="BV22" s="77" t="s">
        <v>188</v>
      </c>
      <c r="BW22" s="81">
        <v>589.04999999999995</v>
      </c>
      <c r="BX22" s="77" t="s">
        <v>188</v>
      </c>
      <c r="BY22" s="81">
        <v>589.04999999999995</v>
      </c>
      <c r="BZ22" s="77" t="s">
        <v>188</v>
      </c>
      <c r="CA22" s="81">
        <v>589.04999999999995</v>
      </c>
      <c r="CB22" s="124" t="s">
        <v>188</v>
      </c>
      <c r="CC22" s="81">
        <v>592.19999999999993</v>
      </c>
      <c r="CD22" s="124" t="s">
        <v>188</v>
      </c>
      <c r="CE22" s="81">
        <v>595.35</v>
      </c>
      <c r="CF22" s="77" t="s">
        <v>188</v>
      </c>
      <c r="CG22" s="83">
        <v>589.04999999999995</v>
      </c>
      <c r="CH22" s="78" t="s">
        <v>188</v>
      </c>
      <c r="CI22" s="84">
        <v>527.25</v>
      </c>
      <c r="CJ22" s="77" t="s">
        <v>188</v>
      </c>
      <c r="CK22" s="81">
        <v>550.08800000000008</v>
      </c>
      <c r="CL22" s="77" t="s">
        <v>188</v>
      </c>
      <c r="CM22" s="81">
        <v>550.08800000000008</v>
      </c>
      <c r="CN22" s="77" t="s">
        <v>188</v>
      </c>
      <c r="CO22" s="81">
        <v>550.08800000000008</v>
      </c>
      <c r="CP22" s="77" t="s">
        <v>188</v>
      </c>
      <c r="CQ22" s="81">
        <v>550.08800000000008</v>
      </c>
      <c r="CR22" s="77" t="s">
        <v>188</v>
      </c>
      <c r="CS22" s="81">
        <v>550.08800000000008</v>
      </c>
      <c r="CT22" s="77" t="s">
        <v>188</v>
      </c>
      <c r="CU22" s="81">
        <v>553.01400000000001</v>
      </c>
      <c r="CV22" s="77" t="s">
        <v>188</v>
      </c>
      <c r="CW22" s="81">
        <v>553.01400000000001</v>
      </c>
      <c r="CX22" s="77" t="s">
        <v>188</v>
      </c>
      <c r="CY22" s="81">
        <v>547.16200000000003</v>
      </c>
      <c r="CZ22" s="77" t="s">
        <v>188</v>
      </c>
      <c r="DA22" s="81">
        <v>547.16200000000003</v>
      </c>
      <c r="DB22" s="77" t="s">
        <v>188</v>
      </c>
      <c r="DC22" s="81">
        <v>547.16200000000003</v>
      </c>
      <c r="DD22" s="124" t="s">
        <v>188</v>
      </c>
      <c r="DE22" s="81">
        <v>550.08800000000008</v>
      </c>
      <c r="DF22" s="124" t="s">
        <v>188</v>
      </c>
      <c r="DG22" s="81">
        <v>553.01400000000001</v>
      </c>
      <c r="DH22" s="77" t="s">
        <v>188</v>
      </c>
      <c r="DI22" s="83">
        <v>547.16200000000003</v>
      </c>
      <c r="DJ22" s="78" t="s">
        <v>188</v>
      </c>
      <c r="DK22" s="90"/>
      <c r="DL22" s="90"/>
      <c r="DM22" s="90"/>
      <c r="DN22" s="90"/>
      <c r="DO22" s="90"/>
    </row>
    <row r="23" spans="1:119">
      <c r="A23" s="162" t="s">
        <v>4</v>
      </c>
      <c r="B23" s="149" t="s">
        <v>188</v>
      </c>
      <c r="C23" s="154">
        <v>924</v>
      </c>
      <c r="D23" s="75" t="s">
        <v>188</v>
      </c>
      <c r="E23" s="85">
        <v>924</v>
      </c>
      <c r="F23" s="75" t="s">
        <v>188</v>
      </c>
      <c r="G23" s="85">
        <v>924</v>
      </c>
      <c r="H23" s="75" t="s">
        <v>188</v>
      </c>
      <c r="I23" s="85">
        <v>924</v>
      </c>
      <c r="J23" s="75" t="s">
        <v>188</v>
      </c>
      <c r="K23" s="85">
        <v>924</v>
      </c>
      <c r="L23" s="75" t="s">
        <v>188</v>
      </c>
      <c r="M23" s="85">
        <v>924</v>
      </c>
      <c r="N23" s="75" t="s">
        <v>188</v>
      </c>
      <c r="O23" s="85">
        <v>924</v>
      </c>
      <c r="P23" s="75" t="s">
        <v>188</v>
      </c>
      <c r="Q23" s="85">
        <v>924</v>
      </c>
      <c r="R23" s="75" t="s">
        <v>188</v>
      </c>
      <c r="S23" s="85">
        <v>923.99759999999992</v>
      </c>
      <c r="T23" s="75" t="s">
        <v>188</v>
      </c>
      <c r="U23" s="85">
        <v>924</v>
      </c>
      <c r="V23" s="75" t="s">
        <v>188</v>
      </c>
      <c r="W23" s="85">
        <v>924</v>
      </c>
      <c r="X23" s="75" t="s">
        <v>188</v>
      </c>
      <c r="Y23" s="85">
        <v>899.99994599999991</v>
      </c>
      <c r="Z23" s="155" t="s">
        <v>188</v>
      </c>
      <c r="AA23" s="85">
        <v>900</v>
      </c>
      <c r="AB23" s="75" t="s">
        <v>188</v>
      </c>
      <c r="AC23" s="173">
        <v>900</v>
      </c>
      <c r="AD23" s="76" t="s">
        <v>188</v>
      </c>
      <c r="AE23" s="154">
        <v>924</v>
      </c>
      <c r="AF23" s="75" t="s">
        <v>188</v>
      </c>
      <c r="AG23" s="85">
        <v>924</v>
      </c>
      <c r="AH23" s="75" t="s">
        <v>188</v>
      </c>
      <c r="AI23" s="85">
        <v>924</v>
      </c>
      <c r="AJ23" s="75" t="s">
        <v>188</v>
      </c>
      <c r="AK23" s="85">
        <v>924</v>
      </c>
      <c r="AL23" s="75" t="s">
        <v>188</v>
      </c>
      <c r="AM23" s="85">
        <v>924</v>
      </c>
      <c r="AN23" s="75" t="s">
        <v>188</v>
      </c>
      <c r="AO23" s="85">
        <v>924</v>
      </c>
      <c r="AP23" s="75" t="s">
        <v>188</v>
      </c>
      <c r="AQ23" s="85">
        <v>924</v>
      </c>
      <c r="AR23" s="75" t="s">
        <v>188</v>
      </c>
      <c r="AS23" s="85">
        <v>924</v>
      </c>
      <c r="AT23" s="75" t="s">
        <v>188</v>
      </c>
      <c r="AU23" s="85">
        <v>923.99759999999992</v>
      </c>
      <c r="AV23" s="75" t="s">
        <v>188</v>
      </c>
      <c r="AW23" s="85">
        <v>924</v>
      </c>
      <c r="AX23" s="75" t="s">
        <v>188</v>
      </c>
      <c r="AY23" s="85">
        <v>924</v>
      </c>
      <c r="AZ23" s="155" t="s">
        <v>188</v>
      </c>
      <c r="BA23" s="85">
        <v>899.99994599999991</v>
      </c>
      <c r="BB23" s="155" t="s">
        <v>188</v>
      </c>
      <c r="BC23" s="85">
        <v>900</v>
      </c>
      <c r="BD23" s="75" t="s">
        <v>188</v>
      </c>
      <c r="BE23" s="173">
        <v>900</v>
      </c>
      <c r="BF23" s="76" t="s">
        <v>188</v>
      </c>
      <c r="BG23" s="154">
        <v>648</v>
      </c>
      <c r="BH23" s="75" t="s">
        <v>188</v>
      </c>
      <c r="BI23" s="85">
        <v>648</v>
      </c>
      <c r="BJ23" s="75" t="s">
        <v>188</v>
      </c>
      <c r="BK23" s="85">
        <v>648</v>
      </c>
      <c r="BL23" s="75" t="s">
        <v>188</v>
      </c>
      <c r="BM23" s="85">
        <v>648</v>
      </c>
      <c r="BN23" s="75" t="s">
        <v>188</v>
      </c>
      <c r="BO23" s="85">
        <v>648</v>
      </c>
      <c r="BP23" s="75" t="s">
        <v>188</v>
      </c>
      <c r="BQ23" s="85">
        <v>648</v>
      </c>
      <c r="BR23" s="75" t="s">
        <v>188</v>
      </c>
      <c r="BS23" s="85">
        <v>648</v>
      </c>
      <c r="BT23" s="75" t="s">
        <v>188</v>
      </c>
      <c r="BU23" s="85">
        <v>648</v>
      </c>
      <c r="BV23" s="75" t="s">
        <v>188</v>
      </c>
      <c r="BW23" s="85">
        <v>648</v>
      </c>
      <c r="BX23" s="75" t="s">
        <v>188</v>
      </c>
      <c r="BY23" s="85">
        <v>648</v>
      </c>
      <c r="BZ23" s="75" t="s">
        <v>188</v>
      </c>
      <c r="CA23" s="85">
        <v>648</v>
      </c>
      <c r="CB23" s="155" t="s">
        <v>188</v>
      </c>
      <c r="CC23" s="85">
        <v>648</v>
      </c>
      <c r="CD23" s="155" t="s">
        <v>188</v>
      </c>
      <c r="CE23" s="85">
        <v>684</v>
      </c>
      <c r="CF23" s="75" t="s">
        <v>188</v>
      </c>
      <c r="CG23" s="173">
        <v>684</v>
      </c>
      <c r="CH23" s="76" t="s">
        <v>188</v>
      </c>
      <c r="CI23" s="154">
        <v>648</v>
      </c>
      <c r="CJ23" s="75" t="s">
        <v>188</v>
      </c>
      <c r="CK23" s="85">
        <v>648</v>
      </c>
      <c r="CL23" s="75" t="s">
        <v>188</v>
      </c>
      <c r="CM23" s="85">
        <v>648</v>
      </c>
      <c r="CN23" s="75" t="s">
        <v>188</v>
      </c>
      <c r="CO23" s="85">
        <v>648</v>
      </c>
      <c r="CP23" s="75" t="s">
        <v>188</v>
      </c>
      <c r="CQ23" s="85">
        <v>648</v>
      </c>
      <c r="CR23" s="75" t="s">
        <v>188</v>
      </c>
      <c r="CS23" s="85">
        <v>648</v>
      </c>
      <c r="CT23" s="75" t="s">
        <v>188</v>
      </c>
      <c r="CU23" s="85">
        <v>648</v>
      </c>
      <c r="CV23" s="75" t="s">
        <v>188</v>
      </c>
      <c r="CW23" s="85">
        <v>648</v>
      </c>
      <c r="CX23" s="75" t="s">
        <v>188</v>
      </c>
      <c r="CY23" s="85">
        <v>648</v>
      </c>
      <c r="CZ23" s="75" t="s">
        <v>188</v>
      </c>
      <c r="DA23" s="85">
        <v>648</v>
      </c>
      <c r="DB23" s="75" t="s">
        <v>188</v>
      </c>
      <c r="DC23" s="85">
        <v>648</v>
      </c>
      <c r="DD23" s="155" t="s">
        <v>188</v>
      </c>
      <c r="DE23" s="85">
        <v>648</v>
      </c>
      <c r="DF23" s="155" t="s">
        <v>188</v>
      </c>
      <c r="DG23" s="85">
        <v>684</v>
      </c>
      <c r="DH23" s="75" t="s">
        <v>188</v>
      </c>
      <c r="DI23" s="173">
        <v>684</v>
      </c>
      <c r="DJ23" s="76" t="s">
        <v>188</v>
      </c>
      <c r="DK23" s="90"/>
      <c r="DL23" s="90"/>
      <c r="DM23" s="90"/>
      <c r="DN23" s="90"/>
      <c r="DO23" s="90"/>
    </row>
    <row r="24" spans="1:119">
      <c r="A24" s="162" t="s">
        <v>5</v>
      </c>
      <c r="B24" s="149" t="s">
        <v>188</v>
      </c>
      <c r="C24" s="154">
        <v>752.11500000000001</v>
      </c>
      <c r="D24" s="75" t="s">
        <v>188</v>
      </c>
      <c r="E24" s="85">
        <v>784.86808461025248</v>
      </c>
      <c r="F24" s="75" t="s">
        <v>188</v>
      </c>
      <c r="G24" s="85">
        <v>817.9436725018229</v>
      </c>
      <c r="H24" s="75" t="s">
        <v>188</v>
      </c>
      <c r="I24" s="85">
        <v>814.98395757072774</v>
      </c>
      <c r="J24" s="75" t="s">
        <v>188</v>
      </c>
      <c r="K24" s="85">
        <v>814.6682626578837</v>
      </c>
      <c r="L24" s="75" t="s">
        <v>188</v>
      </c>
      <c r="M24" s="85">
        <v>805.00614945742723</v>
      </c>
      <c r="N24" s="75" t="s">
        <v>188</v>
      </c>
      <c r="O24" s="85">
        <v>801.91773834045193</v>
      </c>
      <c r="P24" s="75" t="s">
        <v>188</v>
      </c>
      <c r="Q24" s="85">
        <v>800.32240110438738</v>
      </c>
      <c r="R24" s="75" t="s">
        <v>188</v>
      </c>
      <c r="S24" s="85">
        <v>796.26118063809395</v>
      </c>
      <c r="T24" s="75" t="s">
        <v>188</v>
      </c>
      <c r="U24" s="85">
        <v>833.78566285998295</v>
      </c>
      <c r="V24" s="75" t="s">
        <v>188</v>
      </c>
      <c r="W24" s="85">
        <v>1482</v>
      </c>
      <c r="X24" s="75" t="s">
        <v>186</v>
      </c>
      <c r="Y24" s="85">
        <v>1482</v>
      </c>
      <c r="Z24" s="155" t="s">
        <v>188</v>
      </c>
      <c r="AA24" s="85">
        <v>1755</v>
      </c>
      <c r="AB24" s="75" t="s">
        <v>188</v>
      </c>
      <c r="AC24" s="173">
        <v>1755</v>
      </c>
      <c r="AD24" s="76" t="s">
        <v>188</v>
      </c>
      <c r="AE24" s="154">
        <v>783.17555500281605</v>
      </c>
      <c r="AF24" s="75" t="s">
        <v>188</v>
      </c>
      <c r="AG24" s="85">
        <v>807.5425156112442</v>
      </c>
      <c r="AH24" s="75" t="s">
        <v>188</v>
      </c>
      <c r="AI24" s="85">
        <v>809.95917974354575</v>
      </c>
      <c r="AJ24" s="75" t="s">
        <v>188</v>
      </c>
      <c r="AK24" s="85">
        <v>805.9877634024183</v>
      </c>
      <c r="AL24" s="75" t="s">
        <v>188</v>
      </c>
      <c r="AM24" s="85">
        <v>804.81951088031633</v>
      </c>
      <c r="AN24" s="75" t="s">
        <v>188</v>
      </c>
      <c r="AO24" s="85">
        <v>804.92987124312242</v>
      </c>
      <c r="AP24" s="75" t="s">
        <v>188</v>
      </c>
      <c r="AQ24" s="85">
        <v>804.85895524141802</v>
      </c>
      <c r="AR24" s="75" t="s">
        <v>188</v>
      </c>
      <c r="AS24" s="85">
        <v>804.1185368317922</v>
      </c>
      <c r="AT24" s="75" t="s">
        <v>188</v>
      </c>
      <c r="AU24" s="85">
        <v>804.34644252385613</v>
      </c>
      <c r="AV24" s="75" t="s">
        <v>188</v>
      </c>
      <c r="AW24" s="85">
        <v>799.97540603100174</v>
      </c>
      <c r="AX24" s="75" t="s">
        <v>188</v>
      </c>
      <c r="AY24" s="85">
        <v>799.80084762370905</v>
      </c>
      <c r="AZ24" s="155" t="s">
        <v>188</v>
      </c>
      <c r="BA24" s="85">
        <v>799.32447280794293</v>
      </c>
      <c r="BB24" s="155" t="s">
        <v>188</v>
      </c>
      <c r="BC24" s="85">
        <v>801.54521916602994</v>
      </c>
      <c r="BD24" s="75" t="s">
        <v>188</v>
      </c>
      <c r="BE24" s="173">
        <v>800.53658579721048</v>
      </c>
      <c r="BF24" s="76" t="s">
        <v>188</v>
      </c>
      <c r="BG24" s="154">
        <v>732.28478493854118</v>
      </c>
      <c r="BH24" s="75" t="s">
        <v>188</v>
      </c>
      <c r="BI24" s="85">
        <v>758.46457271593624</v>
      </c>
      <c r="BJ24" s="75" t="s">
        <v>188</v>
      </c>
      <c r="BK24" s="85">
        <v>757.91361139302137</v>
      </c>
      <c r="BL24" s="75" t="s">
        <v>188</v>
      </c>
      <c r="BM24" s="85">
        <v>758.08783770966886</v>
      </c>
      <c r="BN24" s="75" t="s">
        <v>188</v>
      </c>
      <c r="BO24" s="85">
        <v>756.42666422627394</v>
      </c>
      <c r="BP24" s="75" t="s">
        <v>188</v>
      </c>
      <c r="BQ24" s="85">
        <v>756.45787695111778</v>
      </c>
      <c r="BR24" s="75" t="s">
        <v>188</v>
      </c>
      <c r="BS24" s="85">
        <v>755.91746732997592</v>
      </c>
      <c r="BT24" s="75" t="s">
        <v>188</v>
      </c>
      <c r="BU24" s="85">
        <v>756.7603427379114</v>
      </c>
      <c r="BV24" s="75" t="s">
        <v>188</v>
      </c>
      <c r="BW24" s="85">
        <v>755.29321263809254</v>
      </c>
      <c r="BX24" s="75" t="s">
        <v>188</v>
      </c>
      <c r="BY24" s="85">
        <v>751.88889310964714</v>
      </c>
      <c r="BZ24" s="75" t="s">
        <v>188</v>
      </c>
      <c r="CA24" s="85">
        <v>750.08736073805994</v>
      </c>
      <c r="CB24" s="155" t="s">
        <v>188</v>
      </c>
      <c r="CC24" s="85">
        <v>750.08736073805994</v>
      </c>
      <c r="CD24" s="155" t="s">
        <v>188</v>
      </c>
      <c r="CE24" s="85">
        <v>748.8337608968435</v>
      </c>
      <c r="CF24" s="75" t="s">
        <v>188</v>
      </c>
      <c r="CG24" s="173">
        <v>747.40942004589363</v>
      </c>
      <c r="CH24" s="76" t="s">
        <v>188</v>
      </c>
      <c r="CI24" s="154">
        <v>689.8439959400456</v>
      </c>
      <c r="CJ24" s="75" t="s">
        <v>188</v>
      </c>
      <c r="CK24" s="85">
        <v>714</v>
      </c>
      <c r="CL24" s="75" t="s">
        <v>188</v>
      </c>
      <c r="CM24" s="85">
        <v>713.67453353343751</v>
      </c>
      <c r="CN24" s="75" t="s">
        <v>188</v>
      </c>
      <c r="CO24" s="85">
        <v>714.01024987193875</v>
      </c>
      <c r="CP24" s="75" t="s">
        <v>188</v>
      </c>
      <c r="CQ24" s="85">
        <v>714.59107551299144</v>
      </c>
      <c r="CR24" s="75" t="s">
        <v>188</v>
      </c>
      <c r="CS24" s="85">
        <v>712.8214841770282</v>
      </c>
      <c r="CT24" s="75" t="s">
        <v>188</v>
      </c>
      <c r="CU24" s="85">
        <v>713.24752683760801</v>
      </c>
      <c r="CV24" s="75" t="s">
        <v>188</v>
      </c>
      <c r="CW24" s="85">
        <v>714.81554090833197</v>
      </c>
      <c r="CX24" s="75" t="s">
        <v>188</v>
      </c>
      <c r="CY24" s="85">
        <v>717.50925437401293</v>
      </c>
      <c r="CZ24" s="75" t="s">
        <v>188</v>
      </c>
      <c r="DA24" s="85">
        <v>714.81111034731327</v>
      </c>
      <c r="DB24" s="75" t="s">
        <v>188</v>
      </c>
      <c r="DC24" s="85">
        <v>713.88746675206471</v>
      </c>
      <c r="DD24" s="155" t="s">
        <v>188</v>
      </c>
      <c r="DE24" s="85">
        <v>713.88746675206471</v>
      </c>
      <c r="DF24" s="155" t="s">
        <v>188</v>
      </c>
      <c r="DG24" s="85">
        <v>716.3686127811676</v>
      </c>
      <c r="DH24" s="75" t="s">
        <v>188</v>
      </c>
      <c r="DI24" s="173">
        <v>719.32343858851857</v>
      </c>
      <c r="DJ24" s="76" t="s">
        <v>188</v>
      </c>
      <c r="DK24" s="90"/>
      <c r="DL24" s="90"/>
      <c r="DM24" s="90"/>
      <c r="DN24" s="90"/>
      <c r="DO24" s="90"/>
    </row>
    <row r="25" spans="1:119">
      <c r="A25" s="38" t="s">
        <v>6</v>
      </c>
      <c r="B25" s="153" t="s">
        <v>188</v>
      </c>
      <c r="C25" s="84" t="s">
        <v>188</v>
      </c>
      <c r="D25" s="77" t="s">
        <v>0</v>
      </c>
      <c r="E25" s="81" t="s">
        <v>188</v>
      </c>
      <c r="F25" s="77" t="s">
        <v>0</v>
      </c>
      <c r="G25" s="81" t="s">
        <v>188</v>
      </c>
      <c r="H25" s="77" t="s">
        <v>0</v>
      </c>
      <c r="I25" s="81" t="s">
        <v>188</v>
      </c>
      <c r="J25" s="77" t="s">
        <v>0</v>
      </c>
      <c r="K25" s="81">
        <v>712</v>
      </c>
      <c r="L25" s="77" t="s">
        <v>188</v>
      </c>
      <c r="M25" s="81">
        <v>708</v>
      </c>
      <c r="N25" s="77" t="s">
        <v>188</v>
      </c>
      <c r="O25" s="81">
        <v>708</v>
      </c>
      <c r="P25" s="77" t="s">
        <v>188</v>
      </c>
      <c r="Q25" s="81">
        <v>708</v>
      </c>
      <c r="R25" s="77" t="s">
        <v>188</v>
      </c>
      <c r="S25" s="81">
        <v>684</v>
      </c>
      <c r="T25" s="77" t="s">
        <v>188</v>
      </c>
      <c r="U25" s="81">
        <v>684</v>
      </c>
      <c r="V25" s="77" t="s">
        <v>188</v>
      </c>
      <c r="W25" s="81">
        <v>684</v>
      </c>
      <c r="X25" s="77" t="s">
        <v>188</v>
      </c>
      <c r="Y25" s="81">
        <v>787.5</v>
      </c>
      <c r="Z25" s="124" t="s">
        <v>186</v>
      </c>
      <c r="AA25" s="81">
        <v>792</v>
      </c>
      <c r="AB25" s="77" t="s">
        <v>188</v>
      </c>
      <c r="AC25" s="83">
        <v>821.92</v>
      </c>
      <c r="AD25" s="78" t="s">
        <v>188</v>
      </c>
      <c r="AE25" s="84">
        <v>608.95685971117018</v>
      </c>
      <c r="AF25" s="77" t="s">
        <v>188</v>
      </c>
      <c r="AG25" s="81">
        <v>604.41091954023</v>
      </c>
      <c r="AH25" s="77" t="s">
        <v>188</v>
      </c>
      <c r="AI25" s="81">
        <v>604.41091954023</v>
      </c>
      <c r="AJ25" s="77" t="s">
        <v>188</v>
      </c>
      <c r="AK25" s="81">
        <v>590.10652777777773</v>
      </c>
      <c r="AL25" s="77" t="s">
        <v>188</v>
      </c>
      <c r="AM25" s="81">
        <v>592.74</v>
      </c>
      <c r="AN25" s="77" t="s">
        <v>188</v>
      </c>
      <c r="AO25" s="81">
        <v>589.41</v>
      </c>
      <c r="AP25" s="77" t="s">
        <v>188</v>
      </c>
      <c r="AQ25" s="81">
        <v>589.41</v>
      </c>
      <c r="AR25" s="77" t="s">
        <v>188</v>
      </c>
      <c r="AS25" s="81">
        <v>589.41</v>
      </c>
      <c r="AT25" s="77" t="s">
        <v>188</v>
      </c>
      <c r="AU25" s="81">
        <v>569.43000000000006</v>
      </c>
      <c r="AV25" s="77" t="s">
        <v>188</v>
      </c>
      <c r="AW25" s="81">
        <v>569.43000000000006</v>
      </c>
      <c r="AX25" s="77" t="s">
        <v>188</v>
      </c>
      <c r="AY25" s="81">
        <v>569.43000000000006</v>
      </c>
      <c r="AZ25" s="124" t="s">
        <v>188</v>
      </c>
      <c r="BA25" s="81">
        <v>630</v>
      </c>
      <c r="BB25" s="124" t="s">
        <v>186</v>
      </c>
      <c r="BC25" s="81">
        <v>660</v>
      </c>
      <c r="BD25" s="77" t="s">
        <v>186</v>
      </c>
      <c r="BE25" s="83">
        <v>660</v>
      </c>
      <c r="BF25" s="78" t="s">
        <v>188</v>
      </c>
      <c r="BG25" s="84">
        <v>426.02857142857147</v>
      </c>
      <c r="BH25" s="77" t="s">
        <v>188</v>
      </c>
      <c r="BI25" s="81">
        <v>434.22142857142859</v>
      </c>
      <c r="BJ25" s="77" t="s">
        <v>188</v>
      </c>
      <c r="BK25" s="81">
        <v>428.70666666666665</v>
      </c>
      <c r="BL25" s="77" t="s">
        <v>188</v>
      </c>
      <c r="BM25" s="81">
        <v>425.99333333333334</v>
      </c>
      <c r="BN25" s="77" t="s">
        <v>188</v>
      </c>
      <c r="BO25" s="81">
        <v>428.654</v>
      </c>
      <c r="BP25" s="77" t="s">
        <v>188</v>
      </c>
      <c r="BQ25" s="81">
        <v>425.94100000000003</v>
      </c>
      <c r="BR25" s="77" t="s">
        <v>188</v>
      </c>
      <c r="BS25" s="81">
        <v>415.089</v>
      </c>
      <c r="BT25" s="77" t="s">
        <v>188</v>
      </c>
      <c r="BU25" s="81">
        <v>415.089</v>
      </c>
      <c r="BV25" s="77" t="s">
        <v>188</v>
      </c>
      <c r="BW25" s="81">
        <v>415.11199999999997</v>
      </c>
      <c r="BX25" s="77" t="s">
        <v>188</v>
      </c>
      <c r="BY25" s="81">
        <v>415.11199999999997</v>
      </c>
      <c r="BZ25" s="77" t="s">
        <v>188</v>
      </c>
      <c r="CA25" s="81">
        <v>459.04</v>
      </c>
      <c r="CB25" s="124" t="s">
        <v>188</v>
      </c>
      <c r="CC25" s="81">
        <v>591.67999999999995</v>
      </c>
      <c r="CD25" s="124" t="s">
        <v>186</v>
      </c>
      <c r="CE25" s="81">
        <v>584.77499999999998</v>
      </c>
      <c r="CF25" s="77" t="s">
        <v>186</v>
      </c>
      <c r="CG25" s="83">
        <v>608.92500000000007</v>
      </c>
      <c r="CH25" s="78" t="s">
        <v>188</v>
      </c>
      <c r="CI25" s="84">
        <v>429.43825757575769</v>
      </c>
      <c r="CJ25" s="77" t="s">
        <v>188</v>
      </c>
      <c r="CK25" s="81">
        <v>430.44034090909099</v>
      </c>
      <c r="CL25" s="77" t="s">
        <v>188</v>
      </c>
      <c r="CM25" s="81">
        <v>420.56666666666666</v>
      </c>
      <c r="CN25" s="77" t="s">
        <v>188</v>
      </c>
      <c r="CO25" s="81">
        <v>423.28000000000003</v>
      </c>
      <c r="CP25" s="77" t="s">
        <v>188</v>
      </c>
      <c r="CQ25" s="81">
        <v>428.654</v>
      </c>
      <c r="CR25" s="77" t="s">
        <v>188</v>
      </c>
      <c r="CS25" s="81">
        <v>425.94100000000003</v>
      </c>
      <c r="CT25" s="77" t="s">
        <v>188</v>
      </c>
      <c r="CU25" s="81">
        <v>415.089</v>
      </c>
      <c r="CV25" s="77" t="s">
        <v>188</v>
      </c>
      <c r="CW25" s="81">
        <v>415.089</v>
      </c>
      <c r="CX25" s="77" t="s">
        <v>188</v>
      </c>
      <c r="CY25" s="81">
        <v>415.11199999999997</v>
      </c>
      <c r="CZ25" s="77" t="s">
        <v>188</v>
      </c>
      <c r="DA25" s="81">
        <v>415.11199999999997</v>
      </c>
      <c r="DB25" s="77" t="s">
        <v>188</v>
      </c>
      <c r="DC25" s="81">
        <v>459.04</v>
      </c>
      <c r="DD25" s="124" t="s">
        <v>188</v>
      </c>
      <c r="DE25" s="81">
        <v>599.78</v>
      </c>
      <c r="DF25" s="124" t="s">
        <v>186</v>
      </c>
      <c r="DG25" s="81">
        <v>592.88250000000005</v>
      </c>
      <c r="DH25" s="77" t="s">
        <v>186</v>
      </c>
      <c r="DI25" s="83">
        <v>593.91750000000002</v>
      </c>
      <c r="DJ25" s="78" t="s">
        <v>188</v>
      </c>
      <c r="DK25" s="90"/>
      <c r="DL25" s="90"/>
      <c r="DM25" s="90"/>
      <c r="DN25" s="90"/>
      <c r="DO25" s="90"/>
    </row>
    <row r="26" spans="1:119">
      <c r="A26" s="38" t="s">
        <v>17</v>
      </c>
      <c r="B26" s="153" t="s">
        <v>188</v>
      </c>
      <c r="C26" s="84" t="s">
        <v>188</v>
      </c>
      <c r="D26" s="77" t="s">
        <v>0</v>
      </c>
      <c r="E26" s="81" t="s">
        <v>188</v>
      </c>
      <c r="F26" s="77" t="s">
        <v>0</v>
      </c>
      <c r="G26" s="81" t="s">
        <v>188</v>
      </c>
      <c r="H26" s="77" t="s">
        <v>0</v>
      </c>
      <c r="I26" s="81" t="s">
        <v>188</v>
      </c>
      <c r="J26" s="77" t="s">
        <v>0</v>
      </c>
      <c r="K26" s="81" t="s">
        <v>188</v>
      </c>
      <c r="L26" s="77" t="s">
        <v>0</v>
      </c>
      <c r="M26" s="81" t="s">
        <v>188</v>
      </c>
      <c r="N26" s="77" t="s">
        <v>0</v>
      </c>
      <c r="O26" s="81" t="s">
        <v>188</v>
      </c>
      <c r="P26" s="77" t="s">
        <v>0</v>
      </c>
      <c r="Q26" s="81">
        <v>1363.2</v>
      </c>
      <c r="R26" s="77" t="s">
        <v>186</v>
      </c>
      <c r="S26" s="81">
        <v>1356.8000000000002</v>
      </c>
      <c r="T26" s="77" t="s">
        <v>188</v>
      </c>
      <c r="U26" s="81">
        <v>1318.4</v>
      </c>
      <c r="V26" s="77" t="s">
        <v>188</v>
      </c>
      <c r="W26" s="81">
        <v>1337.6000000000001</v>
      </c>
      <c r="X26" s="77" t="s">
        <v>188</v>
      </c>
      <c r="Y26" s="81">
        <v>1337.6000000000001</v>
      </c>
      <c r="Z26" s="124" t="s">
        <v>188</v>
      </c>
      <c r="AA26" s="81">
        <v>1356.8000000000002</v>
      </c>
      <c r="AB26" s="77" t="s">
        <v>188</v>
      </c>
      <c r="AC26" s="83">
        <v>1344</v>
      </c>
      <c r="AD26" s="78" t="s">
        <v>188</v>
      </c>
      <c r="AE26" s="84">
        <v>583</v>
      </c>
      <c r="AF26" s="77" t="s">
        <v>188</v>
      </c>
      <c r="AG26" s="81">
        <v>583</v>
      </c>
      <c r="AH26" s="77" t="s">
        <v>188</v>
      </c>
      <c r="AI26" s="81">
        <v>583</v>
      </c>
      <c r="AJ26" s="77" t="s">
        <v>188</v>
      </c>
      <c r="AK26" s="81">
        <v>582.75</v>
      </c>
      <c r="AL26" s="77" t="s">
        <v>188</v>
      </c>
      <c r="AM26" s="81">
        <v>610.5</v>
      </c>
      <c r="AN26" s="77" t="s">
        <v>188</v>
      </c>
      <c r="AO26" s="81">
        <v>597.29999999999995</v>
      </c>
      <c r="AP26" s="77" t="s">
        <v>188</v>
      </c>
      <c r="AQ26" s="81">
        <v>603.9</v>
      </c>
      <c r="AR26" s="77" t="s">
        <v>188</v>
      </c>
      <c r="AS26" s="81">
        <v>658.80000000000007</v>
      </c>
      <c r="AT26" s="77" t="s">
        <v>186</v>
      </c>
      <c r="AU26" s="81">
        <v>658.80000000000007</v>
      </c>
      <c r="AV26" s="77" t="s">
        <v>188</v>
      </c>
      <c r="AW26" s="81">
        <v>655.20000000000005</v>
      </c>
      <c r="AX26" s="77" t="s">
        <v>188</v>
      </c>
      <c r="AY26" s="81">
        <v>648</v>
      </c>
      <c r="AZ26" s="124" t="s">
        <v>188</v>
      </c>
      <c r="BA26" s="81">
        <v>651.6</v>
      </c>
      <c r="BB26" s="124" t="s">
        <v>188</v>
      </c>
      <c r="BC26" s="81">
        <v>651.6</v>
      </c>
      <c r="BD26" s="77" t="s">
        <v>188</v>
      </c>
      <c r="BE26" s="83">
        <v>655.20000000000005</v>
      </c>
      <c r="BF26" s="78" t="s">
        <v>188</v>
      </c>
      <c r="BG26" s="84">
        <v>555</v>
      </c>
      <c r="BH26" s="77" t="s">
        <v>188</v>
      </c>
      <c r="BI26" s="81">
        <v>555</v>
      </c>
      <c r="BJ26" s="77" t="s">
        <v>188</v>
      </c>
      <c r="BK26" s="81">
        <v>555</v>
      </c>
      <c r="BL26" s="77" t="s">
        <v>188</v>
      </c>
      <c r="BM26" s="81">
        <v>555</v>
      </c>
      <c r="BN26" s="77" t="s">
        <v>188</v>
      </c>
      <c r="BO26" s="81">
        <v>610.5</v>
      </c>
      <c r="BP26" s="77" t="s">
        <v>188</v>
      </c>
      <c r="BQ26" s="81">
        <v>597.29999999999995</v>
      </c>
      <c r="BR26" s="77" t="s">
        <v>188</v>
      </c>
      <c r="BS26" s="81">
        <v>603.9</v>
      </c>
      <c r="BT26" s="77" t="s">
        <v>188</v>
      </c>
      <c r="BU26" s="81">
        <v>658.80000000000007</v>
      </c>
      <c r="BV26" s="77" t="s">
        <v>186</v>
      </c>
      <c r="BW26" s="81">
        <v>658.80000000000007</v>
      </c>
      <c r="BX26" s="77" t="s">
        <v>188</v>
      </c>
      <c r="BY26" s="81">
        <v>655.20000000000005</v>
      </c>
      <c r="BZ26" s="77" t="s">
        <v>188</v>
      </c>
      <c r="CA26" s="81">
        <v>648</v>
      </c>
      <c r="CB26" s="124" t="s">
        <v>188</v>
      </c>
      <c r="CC26" s="81">
        <v>651.6</v>
      </c>
      <c r="CD26" s="124" t="s">
        <v>188</v>
      </c>
      <c r="CE26" s="81">
        <v>651.6</v>
      </c>
      <c r="CF26" s="77" t="s">
        <v>188</v>
      </c>
      <c r="CG26" s="83">
        <v>655.20000000000005</v>
      </c>
      <c r="CH26" s="78" t="s">
        <v>188</v>
      </c>
      <c r="CI26" s="84">
        <v>555</v>
      </c>
      <c r="CJ26" s="77" t="s">
        <v>188</v>
      </c>
      <c r="CK26" s="81">
        <v>555</v>
      </c>
      <c r="CL26" s="77" t="s">
        <v>188</v>
      </c>
      <c r="CM26" s="81">
        <v>555</v>
      </c>
      <c r="CN26" s="77" t="s">
        <v>188</v>
      </c>
      <c r="CO26" s="81">
        <v>555</v>
      </c>
      <c r="CP26" s="77" t="s">
        <v>188</v>
      </c>
      <c r="CQ26" s="81">
        <v>610.5</v>
      </c>
      <c r="CR26" s="77" t="s">
        <v>188</v>
      </c>
      <c r="CS26" s="81">
        <v>597.29999999999995</v>
      </c>
      <c r="CT26" s="77" t="s">
        <v>188</v>
      </c>
      <c r="CU26" s="81">
        <v>603.9</v>
      </c>
      <c r="CV26" s="77" t="s">
        <v>188</v>
      </c>
      <c r="CW26" s="81">
        <v>655.20000000000005</v>
      </c>
      <c r="CX26" s="77" t="s">
        <v>186</v>
      </c>
      <c r="CY26" s="81">
        <v>655.20000000000005</v>
      </c>
      <c r="CZ26" s="77" t="s">
        <v>188</v>
      </c>
      <c r="DA26" s="81">
        <v>651.6</v>
      </c>
      <c r="DB26" s="77" t="s">
        <v>188</v>
      </c>
      <c r="DC26" s="81">
        <v>644.4</v>
      </c>
      <c r="DD26" s="124" t="s">
        <v>188</v>
      </c>
      <c r="DE26" s="81">
        <v>648</v>
      </c>
      <c r="DF26" s="124" t="s">
        <v>188</v>
      </c>
      <c r="DG26" s="81">
        <v>648</v>
      </c>
      <c r="DH26" s="77" t="s">
        <v>188</v>
      </c>
      <c r="DI26" s="83">
        <v>651.6</v>
      </c>
      <c r="DJ26" s="78" t="s">
        <v>188</v>
      </c>
      <c r="DK26" s="90"/>
      <c r="DL26" s="90"/>
      <c r="DM26" s="90"/>
      <c r="DN26" s="90"/>
      <c r="DO26" s="90"/>
    </row>
    <row r="27" spans="1:119">
      <c r="A27" s="162" t="s">
        <v>20</v>
      </c>
      <c r="B27" s="149" t="s">
        <v>188</v>
      </c>
      <c r="C27" s="154" t="s">
        <v>188</v>
      </c>
      <c r="D27" s="75" t="s">
        <v>0</v>
      </c>
      <c r="E27" s="85" t="s">
        <v>188</v>
      </c>
      <c r="F27" s="75" t="s">
        <v>0</v>
      </c>
      <c r="G27" s="85" t="s">
        <v>188</v>
      </c>
      <c r="H27" s="75" t="s">
        <v>0</v>
      </c>
      <c r="I27" s="85" t="s">
        <v>188</v>
      </c>
      <c r="J27" s="75" t="s">
        <v>0</v>
      </c>
      <c r="K27" s="85" t="s">
        <v>188</v>
      </c>
      <c r="L27" s="75" t="s">
        <v>0</v>
      </c>
      <c r="M27" s="85" t="s">
        <v>188</v>
      </c>
      <c r="N27" s="75" t="s">
        <v>0</v>
      </c>
      <c r="O27" s="85" t="s">
        <v>188</v>
      </c>
      <c r="P27" s="75" t="s">
        <v>0</v>
      </c>
      <c r="Q27" s="85">
        <v>1634.4</v>
      </c>
      <c r="R27" s="75" t="s">
        <v>188</v>
      </c>
      <c r="S27" s="85">
        <v>1645.75</v>
      </c>
      <c r="T27" s="75" t="s">
        <v>188</v>
      </c>
      <c r="U27" s="85">
        <v>1498.1999999999998</v>
      </c>
      <c r="V27" s="75" t="s">
        <v>188</v>
      </c>
      <c r="W27" s="85" t="s">
        <v>188</v>
      </c>
      <c r="X27" s="75" t="s">
        <v>0</v>
      </c>
      <c r="Y27" s="85" t="s">
        <v>188</v>
      </c>
      <c r="Z27" s="155" t="s">
        <v>0</v>
      </c>
      <c r="AA27" s="85">
        <v>1620</v>
      </c>
      <c r="AB27" s="75" t="s">
        <v>188</v>
      </c>
      <c r="AC27" s="173">
        <v>1620</v>
      </c>
      <c r="AD27" s="76" t="s">
        <v>188</v>
      </c>
      <c r="AE27" s="154">
        <v>629</v>
      </c>
      <c r="AF27" s="75" t="s">
        <v>188</v>
      </c>
      <c r="AG27" s="85">
        <v>671.4</v>
      </c>
      <c r="AH27" s="75" t="s">
        <v>188</v>
      </c>
      <c r="AI27" s="85">
        <v>671.4</v>
      </c>
      <c r="AJ27" s="75" t="s">
        <v>188</v>
      </c>
      <c r="AK27" s="85">
        <v>671.4</v>
      </c>
      <c r="AL27" s="75" t="s">
        <v>188</v>
      </c>
      <c r="AM27" s="85">
        <v>671.4</v>
      </c>
      <c r="AN27" s="75" t="s">
        <v>188</v>
      </c>
      <c r="AO27" s="85">
        <v>624</v>
      </c>
      <c r="AP27" s="75" t="s">
        <v>188</v>
      </c>
      <c r="AQ27" s="85">
        <v>623.88</v>
      </c>
      <c r="AR27" s="75" t="s">
        <v>188</v>
      </c>
      <c r="AS27" s="85">
        <v>623.88</v>
      </c>
      <c r="AT27" s="75" t="s">
        <v>188</v>
      </c>
      <c r="AU27" s="85">
        <v>623.88</v>
      </c>
      <c r="AV27" s="75" t="s">
        <v>188</v>
      </c>
      <c r="AW27" s="85">
        <v>623.88</v>
      </c>
      <c r="AX27" s="75" t="s">
        <v>188</v>
      </c>
      <c r="AY27" s="85" t="s">
        <v>188</v>
      </c>
      <c r="AZ27" s="155" t="s">
        <v>0</v>
      </c>
      <c r="BA27" s="85" t="s">
        <v>188</v>
      </c>
      <c r="BB27" s="155" t="s">
        <v>0</v>
      </c>
      <c r="BC27" s="85">
        <v>623.88</v>
      </c>
      <c r="BD27" s="75" t="s">
        <v>188</v>
      </c>
      <c r="BE27" s="173">
        <v>623.88</v>
      </c>
      <c r="BF27" s="76" t="s">
        <v>188</v>
      </c>
      <c r="BG27" s="154">
        <v>629</v>
      </c>
      <c r="BH27" s="75" t="s">
        <v>188</v>
      </c>
      <c r="BI27" s="85">
        <v>671.4</v>
      </c>
      <c r="BJ27" s="75" t="s">
        <v>188</v>
      </c>
      <c r="BK27" s="85">
        <v>671.4</v>
      </c>
      <c r="BL27" s="75" t="s">
        <v>188</v>
      </c>
      <c r="BM27" s="85">
        <v>671.4</v>
      </c>
      <c r="BN27" s="75" t="s">
        <v>188</v>
      </c>
      <c r="BO27" s="85">
        <v>671.4</v>
      </c>
      <c r="BP27" s="75" t="s">
        <v>188</v>
      </c>
      <c r="BQ27" s="85">
        <v>624</v>
      </c>
      <c r="BR27" s="75" t="s">
        <v>188</v>
      </c>
      <c r="BS27" s="85">
        <v>623.88</v>
      </c>
      <c r="BT27" s="75" t="s">
        <v>188</v>
      </c>
      <c r="BU27" s="85">
        <v>623.88</v>
      </c>
      <c r="BV27" s="75" t="s">
        <v>188</v>
      </c>
      <c r="BW27" s="85">
        <v>623.88</v>
      </c>
      <c r="BX27" s="75" t="s">
        <v>188</v>
      </c>
      <c r="BY27" s="85">
        <v>623.88</v>
      </c>
      <c r="BZ27" s="75" t="s">
        <v>188</v>
      </c>
      <c r="CA27" s="85" t="s">
        <v>188</v>
      </c>
      <c r="CB27" s="155" t="s">
        <v>0</v>
      </c>
      <c r="CC27" s="85" t="s">
        <v>188</v>
      </c>
      <c r="CD27" s="155" t="s">
        <v>0</v>
      </c>
      <c r="CE27" s="85">
        <v>623.88</v>
      </c>
      <c r="CF27" s="75" t="s">
        <v>188</v>
      </c>
      <c r="CG27" s="173">
        <v>623.88</v>
      </c>
      <c r="CH27" s="76" t="s">
        <v>188</v>
      </c>
      <c r="CI27" s="154">
        <v>464</v>
      </c>
      <c r="CJ27" s="75" t="s">
        <v>188</v>
      </c>
      <c r="CK27" s="85">
        <v>560</v>
      </c>
      <c r="CL27" s="75" t="s">
        <v>188</v>
      </c>
      <c r="CM27" s="85">
        <v>560</v>
      </c>
      <c r="CN27" s="75" t="s">
        <v>188</v>
      </c>
      <c r="CO27" s="85">
        <v>560</v>
      </c>
      <c r="CP27" s="75" t="s">
        <v>188</v>
      </c>
      <c r="CQ27" s="85">
        <v>560</v>
      </c>
      <c r="CR27" s="75" t="s">
        <v>188</v>
      </c>
      <c r="CS27" s="85">
        <v>544</v>
      </c>
      <c r="CT27" s="75" t="s">
        <v>188</v>
      </c>
      <c r="CU27" s="85">
        <v>544</v>
      </c>
      <c r="CV27" s="75" t="s">
        <v>188</v>
      </c>
      <c r="CW27" s="85">
        <v>544</v>
      </c>
      <c r="CX27" s="75" t="s">
        <v>188</v>
      </c>
      <c r="CY27" s="85">
        <v>544</v>
      </c>
      <c r="CZ27" s="75" t="s">
        <v>188</v>
      </c>
      <c r="DA27" s="85">
        <v>544</v>
      </c>
      <c r="DB27" s="75" t="s">
        <v>188</v>
      </c>
      <c r="DC27" s="85" t="s">
        <v>188</v>
      </c>
      <c r="DD27" s="155" t="s">
        <v>0</v>
      </c>
      <c r="DE27" s="85" t="s">
        <v>188</v>
      </c>
      <c r="DF27" s="155" t="s">
        <v>0</v>
      </c>
      <c r="DG27" s="85">
        <v>485.39325842696627</v>
      </c>
      <c r="DH27" s="75" t="s">
        <v>188</v>
      </c>
      <c r="DI27" s="173">
        <v>485.39325842696627</v>
      </c>
      <c r="DJ27" s="76" t="s">
        <v>188</v>
      </c>
      <c r="DK27" s="90"/>
      <c r="DL27" s="90"/>
      <c r="DM27" s="90"/>
      <c r="DN27" s="90"/>
      <c r="DO27" s="90"/>
    </row>
    <row r="28" spans="1:119">
      <c r="A28" s="162" t="s">
        <v>7</v>
      </c>
      <c r="B28" s="149" t="s">
        <v>188</v>
      </c>
      <c r="C28" s="154" t="s">
        <v>188</v>
      </c>
      <c r="D28" s="75" t="s">
        <v>0</v>
      </c>
      <c r="E28" s="85" t="s">
        <v>188</v>
      </c>
      <c r="F28" s="75" t="s">
        <v>0</v>
      </c>
      <c r="G28" s="85" t="s">
        <v>188</v>
      </c>
      <c r="H28" s="75" t="s">
        <v>0</v>
      </c>
      <c r="I28" s="85" t="s">
        <v>188</v>
      </c>
      <c r="J28" s="75" t="s">
        <v>0</v>
      </c>
      <c r="K28" s="85" t="s">
        <v>188</v>
      </c>
      <c r="L28" s="75" t="s">
        <v>0</v>
      </c>
      <c r="M28" s="85" t="s">
        <v>188</v>
      </c>
      <c r="N28" s="75" t="s">
        <v>0</v>
      </c>
      <c r="O28" s="85" t="s">
        <v>188</v>
      </c>
      <c r="P28" s="75" t="s">
        <v>0</v>
      </c>
      <c r="Q28" s="85" t="s">
        <v>188</v>
      </c>
      <c r="R28" s="75" t="s">
        <v>0</v>
      </c>
      <c r="S28" s="85" t="s">
        <v>188</v>
      </c>
      <c r="T28" s="75" t="s">
        <v>0</v>
      </c>
      <c r="U28" s="85" t="s">
        <v>188</v>
      </c>
      <c r="V28" s="75" t="s">
        <v>0</v>
      </c>
      <c r="W28" s="85" t="s">
        <v>188</v>
      </c>
      <c r="X28" s="75" t="s">
        <v>0</v>
      </c>
      <c r="Y28" s="85" t="s">
        <v>188</v>
      </c>
      <c r="Z28" s="155" t="s">
        <v>0</v>
      </c>
      <c r="AA28" s="85" t="s">
        <v>188</v>
      </c>
      <c r="AB28" s="75" t="s">
        <v>0</v>
      </c>
      <c r="AC28" s="173" t="s">
        <v>188</v>
      </c>
      <c r="AD28" s="76" t="s">
        <v>0</v>
      </c>
      <c r="AE28" s="154">
        <v>915</v>
      </c>
      <c r="AF28" s="75" t="s">
        <v>188</v>
      </c>
      <c r="AG28" s="85">
        <v>915</v>
      </c>
      <c r="AH28" s="75" t="s">
        <v>188</v>
      </c>
      <c r="AI28" s="85">
        <v>915</v>
      </c>
      <c r="AJ28" s="75" t="s">
        <v>188</v>
      </c>
      <c r="AK28" s="85">
        <v>915</v>
      </c>
      <c r="AL28" s="75" t="s">
        <v>188</v>
      </c>
      <c r="AM28" s="85">
        <v>915</v>
      </c>
      <c r="AN28" s="75" t="s">
        <v>188</v>
      </c>
      <c r="AO28" s="85">
        <v>915</v>
      </c>
      <c r="AP28" s="75" t="s">
        <v>188</v>
      </c>
      <c r="AQ28" s="85">
        <v>915</v>
      </c>
      <c r="AR28" s="75" t="s">
        <v>188</v>
      </c>
      <c r="AS28" s="85">
        <v>915</v>
      </c>
      <c r="AT28" s="75" t="s">
        <v>188</v>
      </c>
      <c r="AU28" s="85">
        <v>915</v>
      </c>
      <c r="AV28" s="75" t="s">
        <v>188</v>
      </c>
      <c r="AW28" s="85">
        <v>915</v>
      </c>
      <c r="AX28" s="75" t="s">
        <v>188</v>
      </c>
      <c r="AY28" s="85">
        <v>915</v>
      </c>
      <c r="AZ28" s="155" t="s">
        <v>188</v>
      </c>
      <c r="BA28" s="85">
        <v>915</v>
      </c>
      <c r="BB28" s="155" t="s">
        <v>188</v>
      </c>
      <c r="BC28" s="85">
        <v>915</v>
      </c>
      <c r="BD28" s="75" t="s">
        <v>188</v>
      </c>
      <c r="BE28" s="173">
        <v>910</v>
      </c>
      <c r="BF28" s="76" t="s">
        <v>188</v>
      </c>
      <c r="BG28" s="154">
        <v>734.8</v>
      </c>
      <c r="BH28" s="75" t="s">
        <v>188</v>
      </c>
      <c r="BI28" s="85">
        <v>734.8</v>
      </c>
      <c r="BJ28" s="75" t="s">
        <v>188</v>
      </c>
      <c r="BK28" s="85">
        <v>734.8</v>
      </c>
      <c r="BL28" s="75" t="s">
        <v>188</v>
      </c>
      <c r="BM28" s="85">
        <v>734.8</v>
      </c>
      <c r="BN28" s="75" t="s">
        <v>188</v>
      </c>
      <c r="BO28" s="85">
        <v>734.80000000000007</v>
      </c>
      <c r="BP28" s="75" t="s">
        <v>188</v>
      </c>
      <c r="BQ28" s="85">
        <v>734.80000000000007</v>
      </c>
      <c r="BR28" s="75" t="s">
        <v>188</v>
      </c>
      <c r="BS28" s="85">
        <v>734.80000000000007</v>
      </c>
      <c r="BT28" s="75" t="s">
        <v>188</v>
      </c>
      <c r="BU28" s="85">
        <v>734.80000000000007</v>
      </c>
      <c r="BV28" s="75" t="s">
        <v>188</v>
      </c>
      <c r="BW28" s="85">
        <v>734.80000000000007</v>
      </c>
      <c r="BX28" s="75" t="s">
        <v>188</v>
      </c>
      <c r="BY28" s="85">
        <v>734.80000000000007</v>
      </c>
      <c r="BZ28" s="75" t="s">
        <v>188</v>
      </c>
      <c r="CA28" s="85">
        <v>734.80000000000007</v>
      </c>
      <c r="CB28" s="155" t="s">
        <v>188</v>
      </c>
      <c r="CC28" s="85">
        <v>734.80000000000007</v>
      </c>
      <c r="CD28" s="155" t="s">
        <v>188</v>
      </c>
      <c r="CE28" s="85">
        <v>730.40000000000009</v>
      </c>
      <c r="CF28" s="75" t="s">
        <v>188</v>
      </c>
      <c r="CG28" s="173">
        <v>721.6</v>
      </c>
      <c r="CH28" s="76" t="s">
        <v>188</v>
      </c>
      <c r="CI28" s="154">
        <v>734.8</v>
      </c>
      <c r="CJ28" s="75" t="s">
        <v>188</v>
      </c>
      <c r="CK28" s="85">
        <v>734.8</v>
      </c>
      <c r="CL28" s="75" t="s">
        <v>188</v>
      </c>
      <c r="CM28" s="85">
        <v>734.8</v>
      </c>
      <c r="CN28" s="75" t="s">
        <v>188</v>
      </c>
      <c r="CO28" s="85">
        <v>734.8</v>
      </c>
      <c r="CP28" s="75" t="s">
        <v>188</v>
      </c>
      <c r="CQ28" s="85">
        <v>734.80000000000007</v>
      </c>
      <c r="CR28" s="75" t="s">
        <v>188</v>
      </c>
      <c r="CS28" s="85">
        <v>734.80000000000007</v>
      </c>
      <c r="CT28" s="75" t="s">
        <v>188</v>
      </c>
      <c r="CU28" s="85">
        <v>734.80000000000007</v>
      </c>
      <c r="CV28" s="75" t="s">
        <v>188</v>
      </c>
      <c r="CW28" s="85">
        <v>734.80000000000007</v>
      </c>
      <c r="CX28" s="75" t="s">
        <v>188</v>
      </c>
      <c r="CY28" s="85">
        <v>734.80000000000007</v>
      </c>
      <c r="CZ28" s="75" t="s">
        <v>188</v>
      </c>
      <c r="DA28" s="85">
        <v>734.80000000000007</v>
      </c>
      <c r="DB28" s="75" t="s">
        <v>188</v>
      </c>
      <c r="DC28" s="85">
        <v>734.80000000000007</v>
      </c>
      <c r="DD28" s="155" t="s">
        <v>188</v>
      </c>
      <c r="DE28" s="85">
        <v>734.80000000000007</v>
      </c>
      <c r="DF28" s="155" t="s">
        <v>188</v>
      </c>
      <c r="DG28" s="85">
        <v>730.40000000000009</v>
      </c>
      <c r="DH28" s="75" t="s">
        <v>188</v>
      </c>
      <c r="DI28" s="173">
        <v>721.6</v>
      </c>
      <c r="DJ28" s="76" t="s">
        <v>188</v>
      </c>
      <c r="DK28" s="90"/>
      <c r="DL28" s="90"/>
      <c r="DM28" s="90"/>
      <c r="DN28" s="90"/>
      <c r="DO28" s="90"/>
    </row>
    <row r="29" spans="1:119">
      <c r="A29" s="38" t="s">
        <v>32</v>
      </c>
      <c r="B29" s="153" t="s">
        <v>188</v>
      </c>
      <c r="C29" s="84" t="s">
        <v>188</v>
      </c>
      <c r="D29" s="77" t="s">
        <v>0</v>
      </c>
      <c r="E29" s="81" t="s">
        <v>188</v>
      </c>
      <c r="F29" s="77" t="s">
        <v>0</v>
      </c>
      <c r="G29" s="81" t="s">
        <v>188</v>
      </c>
      <c r="H29" s="77" t="s">
        <v>0</v>
      </c>
      <c r="I29" s="81" t="s">
        <v>188</v>
      </c>
      <c r="J29" s="77" t="s">
        <v>0</v>
      </c>
      <c r="K29" s="81" t="s">
        <v>188</v>
      </c>
      <c r="L29" s="77" t="s">
        <v>0</v>
      </c>
      <c r="M29" s="81" t="s">
        <v>188</v>
      </c>
      <c r="N29" s="77" t="s">
        <v>0</v>
      </c>
      <c r="O29" s="81" t="s">
        <v>188</v>
      </c>
      <c r="P29" s="77" t="s">
        <v>0</v>
      </c>
      <c r="Q29" s="81">
        <v>991.84005401866682</v>
      </c>
      <c r="R29" s="77" t="s">
        <v>188</v>
      </c>
      <c r="S29" s="81">
        <v>1023.4525226043642</v>
      </c>
      <c r="T29" s="77" t="s">
        <v>188</v>
      </c>
      <c r="U29" s="81">
        <v>1031.5236026558484</v>
      </c>
      <c r="V29" s="77" t="s">
        <v>188</v>
      </c>
      <c r="W29" s="81">
        <v>1025.065220879781</v>
      </c>
      <c r="X29" s="77" t="s">
        <v>188</v>
      </c>
      <c r="Y29" s="81">
        <v>1056.2420160746972</v>
      </c>
      <c r="Z29" s="124" t="s">
        <v>188</v>
      </c>
      <c r="AA29" s="81">
        <v>1036.137268275404</v>
      </c>
      <c r="AB29" s="77" t="s">
        <v>188</v>
      </c>
      <c r="AC29" s="83">
        <v>1030.7532603345974</v>
      </c>
      <c r="AD29" s="78" t="s">
        <v>188</v>
      </c>
      <c r="AE29" s="84">
        <v>731</v>
      </c>
      <c r="AF29" s="77" t="s">
        <v>188</v>
      </c>
      <c r="AG29" s="81">
        <v>731</v>
      </c>
      <c r="AH29" s="77" t="s">
        <v>188</v>
      </c>
      <c r="AI29" s="81">
        <v>731</v>
      </c>
      <c r="AJ29" s="77" t="s">
        <v>188</v>
      </c>
      <c r="AK29" s="81">
        <v>731</v>
      </c>
      <c r="AL29" s="77" t="s">
        <v>188</v>
      </c>
      <c r="AM29" s="81">
        <v>731</v>
      </c>
      <c r="AN29" s="77" t="s">
        <v>188</v>
      </c>
      <c r="AO29" s="81">
        <v>787.99800000000005</v>
      </c>
      <c r="AP29" s="77" t="s">
        <v>188</v>
      </c>
      <c r="AQ29" s="81">
        <v>819.55311918700011</v>
      </c>
      <c r="AR29" s="77" t="s">
        <v>188</v>
      </c>
      <c r="AS29" s="81">
        <v>841.676347833048</v>
      </c>
      <c r="AT29" s="77" t="s">
        <v>188</v>
      </c>
      <c r="AU29" s="81">
        <v>837.83918800487288</v>
      </c>
      <c r="AV29" s="77" t="s">
        <v>188</v>
      </c>
      <c r="AW29" s="81">
        <v>839.78280119582257</v>
      </c>
      <c r="AX29" s="77" t="s">
        <v>188</v>
      </c>
      <c r="AY29" s="81">
        <v>838.24060643679468</v>
      </c>
      <c r="AZ29" s="124" t="s">
        <v>188</v>
      </c>
      <c r="BA29" s="81">
        <v>863.61036088230048</v>
      </c>
      <c r="BB29" s="124" t="s">
        <v>188</v>
      </c>
      <c r="BC29" s="81">
        <v>848.02608938487344</v>
      </c>
      <c r="BD29" s="77" t="s">
        <v>188</v>
      </c>
      <c r="BE29" s="83">
        <v>843.34742197468893</v>
      </c>
      <c r="BF29" s="78" t="s">
        <v>188</v>
      </c>
      <c r="BG29" s="84">
        <v>579</v>
      </c>
      <c r="BH29" s="77" t="s">
        <v>188</v>
      </c>
      <c r="BI29" s="81">
        <v>579</v>
      </c>
      <c r="BJ29" s="77" t="s">
        <v>188</v>
      </c>
      <c r="BK29" s="81">
        <v>579</v>
      </c>
      <c r="BL29" s="77" t="s">
        <v>188</v>
      </c>
      <c r="BM29" s="81">
        <v>579</v>
      </c>
      <c r="BN29" s="77" t="s">
        <v>188</v>
      </c>
      <c r="BO29" s="81">
        <v>579</v>
      </c>
      <c r="BP29" s="77" t="s">
        <v>188</v>
      </c>
      <c r="BQ29" s="81">
        <v>589.24799999999993</v>
      </c>
      <c r="BR29" s="77" t="s">
        <v>188</v>
      </c>
      <c r="BS29" s="81">
        <v>597.99889800000005</v>
      </c>
      <c r="BT29" s="77" t="s">
        <v>188</v>
      </c>
      <c r="BU29" s="81">
        <v>614.14527132520811</v>
      </c>
      <c r="BV29" s="77" t="s">
        <v>188</v>
      </c>
      <c r="BW29" s="81">
        <v>629.19147524073117</v>
      </c>
      <c r="BX29" s="77" t="s">
        <v>188</v>
      </c>
      <c r="BY29" s="81">
        <v>643.55186662801611</v>
      </c>
      <c r="BZ29" s="77" t="s">
        <v>188</v>
      </c>
      <c r="CA29" s="81">
        <v>681.80737410278698</v>
      </c>
      <c r="CB29" s="124" t="s">
        <v>188</v>
      </c>
      <c r="CC29" s="81">
        <v>703.67598957658811</v>
      </c>
      <c r="CD29" s="124" t="s">
        <v>188</v>
      </c>
      <c r="CE29" s="81">
        <v>698.15576883212441</v>
      </c>
      <c r="CF29" s="77" t="s">
        <v>188</v>
      </c>
      <c r="CG29" s="83">
        <v>698.87170663429129</v>
      </c>
      <c r="CH29" s="78" t="s">
        <v>188</v>
      </c>
      <c r="CI29" s="84">
        <v>524</v>
      </c>
      <c r="CJ29" s="77" t="s">
        <v>188</v>
      </c>
      <c r="CK29" s="81">
        <v>524</v>
      </c>
      <c r="CL29" s="77" t="s">
        <v>188</v>
      </c>
      <c r="CM29" s="81">
        <v>524</v>
      </c>
      <c r="CN29" s="77" t="s">
        <v>188</v>
      </c>
      <c r="CO29" s="81">
        <v>524</v>
      </c>
      <c r="CP29" s="77" t="s">
        <v>188</v>
      </c>
      <c r="CQ29" s="81">
        <v>524</v>
      </c>
      <c r="CR29" s="77" t="s">
        <v>188</v>
      </c>
      <c r="CS29" s="81">
        <v>523.952</v>
      </c>
      <c r="CT29" s="77" t="s">
        <v>188</v>
      </c>
      <c r="CU29" s="81">
        <v>521.27444500000013</v>
      </c>
      <c r="CV29" s="77" t="s">
        <v>188</v>
      </c>
      <c r="CW29" s="81">
        <v>521.28145020000011</v>
      </c>
      <c r="CX29" s="77" t="s">
        <v>188</v>
      </c>
      <c r="CY29" s="81">
        <v>557.74535582930696</v>
      </c>
      <c r="CZ29" s="77" t="s">
        <v>188</v>
      </c>
      <c r="DA29" s="81">
        <v>569.80572799156573</v>
      </c>
      <c r="DB29" s="77" t="s">
        <v>188</v>
      </c>
      <c r="DC29" s="81">
        <v>543.07854383218375</v>
      </c>
      <c r="DD29" s="124" t="s">
        <v>188</v>
      </c>
      <c r="DE29" s="81">
        <v>586.65496099992959</v>
      </c>
      <c r="DF29" s="124" t="s">
        <v>188</v>
      </c>
      <c r="DG29" s="81">
        <v>589.10347828419913</v>
      </c>
      <c r="DH29" s="77" t="s">
        <v>188</v>
      </c>
      <c r="DI29" s="83">
        <v>609.74471713184903</v>
      </c>
      <c r="DJ29" s="78" t="s">
        <v>188</v>
      </c>
      <c r="DK29" s="90"/>
      <c r="DL29" s="90"/>
      <c r="DM29" s="90"/>
      <c r="DN29" s="90"/>
      <c r="DO29" s="90"/>
    </row>
    <row r="30" spans="1:119">
      <c r="A30" s="38" t="s">
        <v>8</v>
      </c>
      <c r="B30" s="153" t="s">
        <v>188</v>
      </c>
      <c r="C30" s="84" t="s">
        <v>188</v>
      </c>
      <c r="D30" s="77" t="s">
        <v>0</v>
      </c>
      <c r="E30" s="81" t="s">
        <v>188</v>
      </c>
      <c r="F30" s="77" t="s">
        <v>0</v>
      </c>
      <c r="G30" s="81" t="s">
        <v>188</v>
      </c>
      <c r="H30" s="77" t="s">
        <v>0</v>
      </c>
      <c r="I30" s="81" t="s">
        <v>188</v>
      </c>
      <c r="J30" s="77" t="s">
        <v>0</v>
      </c>
      <c r="K30" s="81" t="s">
        <v>188</v>
      </c>
      <c r="L30" s="77" t="s">
        <v>0</v>
      </c>
      <c r="M30" s="81" t="s">
        <v>188</v>
      </c>
      <c r="N30" s="77" t="s">
        <v>0</v>
      </c>
      <c r="O30" s="81" t="s">
        <v>188</v>
      </c>
      <c r="P30" s="77" t="s">
        <v>0</v>
      </c>
      <c r="Q30" s="81">
        <v>950</v>
      </c>
      <c r="R30" s="77" t="s">
        <v>188</v>
      </c>
      <c r="S30" s="81">
        <v>930</v>
      </c>
      <c r="T30" s="77" t="s">
        <v>188</v>
      </c>
      <c r="U30" s="81">
        <v>930</v>
      </c>
      <c r="V30" s="77" t="s">
        <v>188</v>
      </c>
      <c r="W30" s="81">
        <v>930</v>
      </c>
      <c r="X30" s="77" t="s">
        <v>188</v>
      </c>
      <c r="Y30" s="81">
        <v>930</v>
      </c>
      <c r="Z30" s="124" t="s">
        <v>188</v>
      </c>
      <c r="AA30" s="81">
        <v>945</v>
      </c>
      <c r="AB30" s="77" t="s">
        <v>188</v>
      </c>
      <c r="AC30" s="83">
        <v>945</v>
      </c>
      <c r="AD30" s="78" t="s">
        <v>188</v>
      </c>
      <c r="AE30" s="84">
        <v>744</v>
      </c>
      <c r="AF30" s="77" t="s">
        <v>188</v>
      </c>
      <c r="AG30" s="81">
        <v>739</v>
      </c>
      <c r="AH30" s="77" t="s">
        <v>188</v>
      </c>
      <c r="AI30" s="81">
        <v>734.8</v>
      </c>
      <c r="AJ30" s="77" t="s">
        <v>188</v>
      </c>
      <c r="AK30" s="81">
        <v>734.8</v>
      </c>
      <c r="AL30" s="77" t="s">
        <v>188</v>
      </c>
      <c r="AM30" s="81">
        <v>734.80000000000007</v>
      </c>
      <c r="AN30" s="77" t="s">
        <v>188</v>
      </c>
      <c r="AO30" s="81">
        <v>756.80000000000007</v>
      </c>
      <c r="AP30" s="77" t="s">
        <v>188</v>
      </c>
      <c r="AQ30" s="81">
        <v>770.00000000000011</v>
      </c>
      <c r="AR30" s="77" t="s">
        <v>188</v>
      </c>
      <c r="AS30" s="81">
        <v>770.00000000000011</v>
      </c>
      <c r="AT30" s="77" t="s">
        <v>188</v>
      </c>
      <c r="AU30" s="81">
        <v>752.40000000000009</v>
      </c>
      <c r="AV30" s="77" t="s">
        <v>188</v>
      </c>
      <c r="AW30" s="81">
        <v>752.40000000000009</v>
      </c>
      <c r="AX30" s="77" t="s">
        <v>188</v>
      </c>
      <c r="AY30" s="81">
        <v>752.40000000000009</v>
      </c>
      <c r="AZ30" s="124" t="s">
        <v>188</v>
      </c>
      <c r="BA30" s="81">
        <v>752.40000000000009</v>
      </c>
      <c r="BB30" s="124" t="s">
        <v>188</v>
      </c>
      <c r="BC30" s="81">
        <v>765.6</v>
      </c>
      <c r="BD30" s="77" t="s">
        <v>188</v>
      </c>
      <c r="BE30" s="83">
        <v>765.6</v>
      </c>
      <c r="BF30" s="78" t="s">
        <v>188</v>
      </c>
      <c r="BG30" s="84">
        <v>608</v>
      </c>
      <c r="BH30" s="77" t="s">
        <v>188</v>
      </c>
      <c r="BI30" s="81">
        <v>605</v>
      </c>
      <c r="BJ30" s="77" t="s">
        <v>188</v>
      </c>
      <c r="BK30" s="81">
        <v>601.20000000000005</v>
      </c>
      <c r="BL30" s="77" t="s">
        <v>188</v>
      </c>
      <c r="BM30" s="81">
        <v>601.20000000000005</v>
      </c>
      <c r="BN30" s="77" t="s">
        <v>188</v>
      </c>
      <c r="BO30" s="81">
        <v>601.20000000000005</v>
      </c>
      <c r="BP30" s="77" t="s">
        <v>188</v>
      </c>
      <c r="BQ30" s="81">
        <v>619.20000000000005</v>
      </c>
      <c r="BR30" s="77" t="s">
        <v>188</v>
      </c>
      <c r="BS30" s="81">
        <v>630</v>
      </c>
      <c r="BT30" s="77" t="s">
        <v>188</v>
      </c>
      <c r="BU30" s="81">
        <v>630</v>
      </c>
      <c r="BV30" s="77" t="s">
        <v>188</v>
      </c>
      <c r="BW30" s="81">
        <v>615.6</v>
      </c>
      <c r="BX30" s="77" t="s">
        <v>188</v>
      </c>
      <c r="BY30" s="81">
        <v>615.6</v>
      </c>
      <c r="BZ30" s="77" t="s">
        <v>188</v>
      </c>
      <c r="CA30" s="81">
        <v>615.6</v>
      </c>
      <c r="CB30" s="124" t="s">
        <v>188</v>
      </c>
      <c r="CC30" s="81">
        <v>615.6</v>
      </c>
      <c r="CD30" s="124" t="s">
        <v>188</v>
      </c>
      <c r="CE30" s="81">
        <v>626.4</v>
      </c>
      <c r="CF30" s="77" t="s">
        <v>188</v>
      </c>
      <c r="CG30" s="83">
        <v>626.4</v>
      </c>
      <c r="CH30" s="78" t="s">
        <v>188</v>
      </c>
      <c r="CI30" s="84">
        <v>608</v>
      </c>
      <c r="CJ30" s="77" t="s">
        <v>188</v>
      </c>
      <c r="CK30" s="81">
        <v>605</v>
      </c>
      <c r="CL30" s="77" t="s">
        <v>188</v>
      </c>
      <c r="CM30" s="81">
        <v>601.20000000000005</v>
      </c>
      <c r="CN30" s="77" t="s">
        <v>188</v>
      </c>
      <c r="CO30" s="81">
        <v>601.20000000000005</v>
      </c>
      <c r="CP30" s="77" t="s">
        <v>188</v>
      </c>
      <c r="CQ30" s="81">
        <v>601.20000000000005</v>
      </c>
      <c r="CR30" s="77" t="s">
        <v>188</v>
      </c>
      <c r="CS30" s="81">
        <v>619.20000000000005</v>
      </c>
      <c r="CT30" s="77" t="s">
        <v>188</v>
      </c>
      <c r="CU30" s="81">
        <v>630</v>
      </c>
      <c r="CV30" s="77" t="s">
        <v>188</v>
      </c>
      <c r="CW30" s="81">
        <v>630</v>
      </c>
      <c r="CX30" s="77" t="s">
        <v>188</v>
      </c>
      <c r="CY30" s="81">
        <v>615.6</v>
      </c>
      <c r="CZ30" s="77" t="s">
        <v>188</v>
      </c>
      <c r="DA30" s="81">
        <v>615.6</v>
      </c>
      <c r="DB30" s="77" t="s">
        <v>188</v>
      </c>
      <c r="DC30" s="81">
        <v>615.6</v>
      </c>
      <c r="DD30" s="124" t="s">
        <v>188</v>
      </c>
      <c r="DE30" s="81">
        <v>615.6</v>
      </c>
      <c r="DF30" s="124" t="s">
        <v>188</v>
      </c>
      <c r="DG30" s="81">
        <v>626.4</v>
      </c>
      <c r="DH30" s="77" t="s">
        <v>188</v>
      </c>
      <c r="DI30" s="83">
        <v>626.4</v>
      </c>
      <c r="DJ30" s="78" t="s">
        <v>188</v>
      </c>
      <c r="DK30" s="90"/>
      <c r="DL30" s="90"/>
      <c r="DM30" s="90"/>
      <c r="DN30" s="90"/>
      <c r="DO30" s="90"/>
    </row>
    <row r="31" spans="1:119">
      <c r="A31" s="162" t="s">
        <v>21</v>
      </c>
      <c r="B31" s="149">
        <v>4</v>
      </c>
      <c r="C31" s="154" t="s">
        <v>188</v>
      </c>
      <c r="D31" s="75" t="s">
        <v>0</v>
      </c>
      <c r="E31" s="85" t="s">
        <v>188</v>
      </c>
      <c r="F31" s="75" t="s">
        <v>0</v>
      </c>
      <c r="G31" s="85" t="s">
        <v>188</v>
      </c>
      <c r="H31" s="75" t="s">
        <v>0</v>
      </c>
      <c r="I31" s="85" t="s">
        <v>188</v>
      </c>
      <c r="J31" s="75" t="s">
        <v>0</v>
      </c>
      <c r="K31" s="85" t="s">
        <v>188</v>
      </c>
      <c r="L31" s="75" t="s">
        <v>0</v>
      </c>
      <c r="M31" s="85" t="s">
        <v>188</v>
      </c>
      <c r="N31" s="75" t="s">
        <v>0</v>
      </c>
      <c r="O31" s="85" t="s">
        <v>188</v>
      </c>
      <c r="P31" s="75" t="s">
        <v>0</v>
      </c>
      <c r="Q31" s="85" t="s">
        <v>188</v>
      </c>
      <c r="R31" s="75" t="s">
        <v>0</v>
      </c>
      <c r="S31" s="85" t="s">
        <v>188</v>
      </c>
      <c r="T31" s="75" t="s">
        <v>0</v>
      </c>
      <c r="U31" s="85" t="s">
        <v>188</v>
      </c>
      <c r="V31" s="75" t="s">
        <v>0</v>
      </c>
      <c r="W31" s="85" t="s">
        <v>188</v>
      </c>
      <c r="X31" s="75" t="s">
        <v>0</v>
      </c>
      <c r="Y31" s="85" t="s">
        <v>188</v>
      </c>
      <c r="Z31" s="155" t="s">
        <v>0</v>
      </c>
      <c r="AA31" s="85" t="s">
        <v>188</v>
      </c>
      <c r="AB31" s="75" t="s">
        <v>0</v>
      </c>
      <c r="AC31" s="173" t="s">
        <v>188</v>
      </c>
      <c r="AD31" s="76" t="s">
        <v>0</v>
      </c>
      <c r="AE31" s="154">
        <v>635</v>
      </c>
      <c r="AF31" s="75" t="s">
        <v>188</v>
      </c>
      <c r="AG31" s="85">
        <v>578</v>
      </c>
      <c r="AH31" s="75" t="s">
        <v>188</v>
      </c>
      <c r="AI31" s="85" t="s">
        <v>0</v>
      </c>
      <c r="AJ31" s="75" t="s">
        <v>188</v>
      </c>
      <c r="AK31" s="85">
        <v>705</v>
      </c>
      <c r="AL31" s="75" t="s">
        <v>188</v>
      </c>
      <c r="AM31" s="85">
        <v>708.52500000000009</v>
      </c>
      <c r="AN31" s="75" t="s">
        <v>188</v>
      </c>
      <c r="AO31" s="85">
        <v>706.76250000000005</v>
      </c>
      <c r="AP31" s="75" t="s">
        <v>188</v>
      </c>
      <c r="AQ31" s="85">
        <v>706.76249999999993</v>
      </c>
      <c r="AR31" s="75" t="s">
        <v>188</v>
      </c>
      <c r="AS31" s="85">
        <v>731.35950000000014</v>
      </c>
      <c r="AT31" s="75" t="s">
        <v>188</v>
      </c>
      <c r="AU31" s="85">
        <v>731.35950000000014</v>
      </c>
      <c r="AV31" s="75" t="s">
        <v>188</v>
      </c>
      <c r="AW31" s="85">
        <v>736.26390000000004</v>
      </c>
      <c r="AX31" s="75" t="s">
        <v>188</v>
      </c>
      <c r="AY31" s="85">
        <v>742.29885000000002</v>
      </c>
      <c r="AZ31" s="155" t="s">
        <v>188</v>
      </c>
      <c r="BA31" s="85">
        <v>742.09590000000003</v>
      </c>
      <c r="BB31" s="155" t="s">
        <v>188</v>
      </c>
      <c r="BC31" s="85">
        <v>742.09590000000003</v>
      </c>
      <c r="BD31" s="75" t="s">
        <v>188</v>
      </c>
      <c r="BE31" s="173">
        <v>742.09590000000003</v>
      </c>
      <c r="BF31" s="76" t="s">
        <v>188</v>
      </c>
      <c r="BG31" s="154">
        <v>557</v>
      </c>
      <c r="BH31" s="75" t="s">
        <v>188</v>
      </c>
      <c r="BI31" s="85">
        <v>505</v>
      </c>
      <c r="BJ31" s="75" t="s">
        <v>188</v>
      </c>
      <c r="BK31" s="85" t="s">
        <v>0</v>
      </c>
      <c r="BL31" s="75" t="s">
        <v>188</v>
      </c>
      <c r="BM31" s="85">
        <v>600</v>
      </c>
      <c r="BN31" s="75" t="s">
        <v>188</v>
      </c>
      <c r="BO31" s="85">
        <v>603</v>
      </c>
      <c r="BP31" s="75" t="s">
        <v>188</v>
      </c>
      <c r="BQ31" s="85">
        <v>601.5</v>
      </c>
      <c r="BR31" s="75" t="s">
        <v>188</v>
      </c>
      <c r="BS31" s="85">
        <v>601.5</v>
      </c>
      <c r="BT31" s="75" t="s">
        <v>188</v>
      </c>
      <c r="BU31" s="85">
        <v>602.41501999999991</v>
      </c>
      <c r="BV31" s="75" t="s">
        <v>188</v>
      </c>
      <c r="BW31" s="85">
        <v>602.41501999999991</v>
      </c>
      <c r="BX31" s="75" t="s">
        <v>188</v>
      </c>
      <c r="BY31" s="85">
        <v>607.85998299999994</v>
      </c>
      <c r="BZ31" s="75" t="s">
        <v>188</v>
      </c>
      <c r="CA31" s="85">
        <v>611.24526700000001</v>
      </c>
      <c r="CB31" s="155" t="s">
        <v>188</v>
      </c>
      <c r="CC31" s="85">
        <v>609.910571</v>
      </c>
      <c r="CD31" s="155" t="s">
        <v>188</v>
      </c>
      <c r="CE31" s="85">
        <v>609.910571</v>
      </c>
      <c r="CF31" s="75" t="s">
        <v>188</v>
      </c>
      <c r="CG31" s="173">
        <v>609.910571</v>
      </c>
      <c r="CH31" s="76" t="s">
        <v>188</v>
      </c>
      <c r="CI31" s="154">
        <v>478</v>
      </c>
      <c r="CJ31" s="75" t="s">
        <v>188</v>
      </c>
      <c r="CK31" s="85">
        <v>429</v>
      </c>
      <c r="CL31" s="75" t="s">
        <v>188</v>
      </c>
      <c r="CM31" s="85" t="s">
        <v>188</v>
      </c>
      <c r="CN31" s="75" t="s">
        <v>0</v>
      </c>
      <c r="CO31" s="85">
        <v>498.3</v>
      </c>
      <c r="CP31" s="75" t="s">
        <v>188</v>
      </c>
      <c r="CQ31" s="85">
        <v>500.34649999999999</v>
      </c>
      <c r="CR31" s="75" t="s">
        <v>188</v>
      </c>
      <c r="CS31" s="85">
        <v>500.34649999999999</v>
      </c>
      <c r="CT31" s="75" t="s">
        <v>188</v>
      </c>
      <c r="CU31" s="85">
        <v>500.34649999999999</v>
      </c>
      <c r="CV31" s="75" t="s">
        <v>188</v>
      </c>
      <c r="CW31" s="85">
        <v>509.71700000000004</v>
      </c>
      <c r="CX31" s="75" t="s">
        <v>188</v>
      </c>
      <c r="CY31" s="85">
        <v>509.71700000000004</v>
      </c>
      <c r="CZ31" s="75" t="s">
        <v>188</v>
      </c>
      <c r="DA31" s="85">
        <v>513.35699999999997</v>
      </c>
      <c r="DB31" s="75" t="s">
        <v>188</v>
      </c>
      <c r="DC31" s="85">
        <v>513.35699999999997</v>
      </c>
      <c r="DD31" s="155" t="s">
        <v>188</v>
      </c>
      <c r="DE31" s="85">
        <v>510.75700000000001</v>
      </c>
      <c r="DF31" s="155" t="s">
        <v>188</v>
      </c>
      <c r="DG31" s="85">
        <v>510.75700000000001</v>
      </c>
      <c r="DH31" s="75" t="s">
        <v>188</v>
      </c>
      <c r="DI31" s="173">
        <v>510.75700000000001</v>
      </c>
      <c r="DJ31" s="76" t="s">
        <v>188</v>
      </c>
      <c r="DK31" s="90"/>
      <c r="DL31" s="90"/>
      <c r="DM31" s="90"/>
      <c r="DN31" s="90"/>
      <c r="DO31" s="90"/>
    </row>
    <row r="32" spans="1:119">
      <c r="A32" s="162" t="s">
        <v>30</v>
      </c>
      <c r="B32" s="149" t="s">
        <v>188</v>
      </c>
      <c r="C32" s="154" t="s">
        <v>188</v>
      </c>
      <c r="D32" s="75" t="s">
        <v>0</v>
      </c>
      <c r="E32" s="85" t="s">
        <v>188</v>
      </c>
      <c r="F32" s="75" t="s">
        <v>0</v>
      </c>
      <c r="G32" s="85" t="s">
        <v>188</v>
      </c>
      <c r="H32" s="75" t="s">
        <v>0</v>
      </c>
      <c r="I32" s="85" t="s">
        <v>188</v>
      </c>
      <c r="J32" s="75" t="s">
        <v>0</v>
      </c>
      <c r="K32" s="85" t="s">
        <v>188</v>
      </c>
      <c r="L32" s="75" t="s">
        <v>0</v>
      </c>
      <c r="M32" s="85" t="s">
        <v>188</v>
      </c>
      <c r="N32" s="75" t="s">
        <v>0</v>
      </c>
      <c r="O32" s="85" t="s">
        <v>188</v>
      </c>
      <c r="P32" s="75" t="s">
        <v>0</v>
      </c>
      <c r="Q32" s="85">
        <v>679.8</v>
      </c>
      <c r="R32" s="75" t="s">
        <v>188</v>
      </c>
      <c r="S32" s="85">
        <v>583.20000000000005</v>
      </c>
      <c r="T32" s="75" t="s">
        <v>188</v>
      </c>
      <c r="U32" s="85">
        <v>574.20000000000005</v>
      </c>
      <c r="V32" s="75" t="s">
        <v>188</v>
      </c>
      <c r="W32" s="85">
        <v>584.82000000000005</v>
      </c>
      <c r="X32" s="75" t="s">
        <v>188</v>
      </c>
      <c r="Y32" s="85">
        <v>567.86226048319907</v>
      </c>
      <c r="Z32" s="155" t="s">
        <v>188</v>
      </c>
      <c r="AA32" s="85">
        <v>554.95045871559637</v>
      </c>
      <c r="AB32" s="75" t="s">
        <v>188</v>
      </c>
      <c r="AC32" s="173">
        <v>543.49756218494338</v>
      </c>
      <c r="AD32" s="76" t="s">
        <v>188</v>
      </c>
      <c r="AE32" s="154">
        <v>865</v>
      </c>
      <c r="AF32" s="75" t="s">
        <v>188</v>
      </c>
      <c r="AG32" s="85">
        <v>883</v>
      </c>
      <c r="AH32" s="75" t="s">
        <v>188</v>
      </c>
      <c r="AI32" s="85">
        <v>864</v>
      </c>
      <c r="AJ32" s="75" t="s">
        <v>188</v>
      </c>
      <c r="AK32" s="85">
        <v>848</v>
      </c>
      <c r="AL32" s="75" t="s">
        <v>188</v>
      </c>
      <c r="AM32" s="85">
        <v>840.42987926230592</v>
      </c>
      <c r="AN32" s="75" t="s">
        <v>188</v>
      </c>
      <c r="AO32" s="85">
        <v>835.56000000000006</v>
      </c>
      <c r="AP32" s="75" t="s">
        <v>188</v>
      </c>
      <c r="AQ32" s="85">
        <v>807.4</v>
      </c>
      <c r="AR32" s="75" t="s">
        <v>188</v>
      </c>
      <c r="AS32" s="85">
        <v>812.4070955273329</v>
      </c>
      <c r="AT32" s="75" t="s">
        <v>188</v>
      </c>
      <c r="AU32" s="85">
        <v>693.5</v>
      </c>
      <c r="AV32" s="75" t="s">
        <v>188</v>
      </c>
      <c r="AW32" s="85">
        <v>666.9</v>
      </c>
      <c r="AX32" s="75" t="s">
        <v>188</v>
      </c>
      <c r="AY32" s="85">
        <v>655.5</v>
      </c>
      <c r="AZ32" s="155" t="s">
        <v>188</v>
      </c>
      <c r="BA32" s="85">
        <v>657.82616621680813</v>
      </c>
      <c r="BB32" s="155" t="s">
        <v>188</v>
      </c>
      <c r="BC32" s="85">
        <v>657.2064235104441</v>
      </c>
      <c r="BD32" s="75" t="s">
        <v>188</v>
      </c>
      <c r="BE32" s="173">
        <v>671.13440503421725</v>
      </c>
      <c r="BF32" s="76" t="s">
        <v>188</v>
      </c>
      <c r="BG32" s="154">
        <v>570</v>
      </c>
      <c r="BH32" s="75" t="s">
        <v>188</v>
      </c>
      <c r="BI32" s="85">
        <v>621</v>
      </c>
      <c r="BJ32" s="75" t="s">
        <v>188</v>
      </c>
      <c r="BK32" s="85">
        <v>588</v>
      </c>
      <c r="BL32" s="75" t="s">
        <v>188</v>
      </c>
      <c r="BM32" s="85">
        <v>612</v>
      </c>
      <c r="BN32" s="75" t="s">
        <v>188</v>
      </c>
      <c r="BO32" s="85">
        <v>616.45692664407477</v>
      </c>
      <c r="BP32" s="75" t="s">
        <v>188</v>
      </c>
      <c r="BQ32" s="85">
        <v>618.20000000000005</v>
      </c>
      <c r="BR32" s="75" t="s">
        <v>188</v>
      </c>
      <c r="BS32" s="85">
        <v>627</v>
      </c>
      <c r="BT32" s="75" t="s">
        <v>188</v>
      </c>
      <c r="BU32" s="85">
        <v>620.69220974649841</v>
      </c>
      <c r="BV32" s="75" t="s">
        <v>188</v>
      </c>
      <c r="BW32" s="85">
        <v>568.1</v>
      </c>
      <c r="BX32" s="75" t="s">
        <v>188</v>
      </c>
      <c r="BY32" s="85">
        <v>556.70000000000005</v>
      </c>
      <c r="BZ32" s="75" t="s">
        <v>188</v>
      </c>
      <c r="CA32" s="85">
        <v>548.34</v>
      </c>
      <c r="CB32" s="155" t="s">
        <v>188</v>
      </c>
      <c r="CC32" s="85">
        <v>547.54006191625558</v>
      </c>
      <c r="CD32" s="155" t="s">
        <v>188</v>
      </c>
      <c r="CE32" s="85">
        <v>540.45093661001999</v>
      </c>
      <c r="CF32" s="75" t="s">
        <v>188</v>
      </c>
      <c r="CG32" s="173">
        <v>533.2314601752048</v>
      </c>
      <c r="CH32" s="76" t="s">
        <v>188</v>
      </c>
      <c r="CI32" s="154">
        <v>529.65</v>
      </c>
      <c r="CJ32" s="75" t="s">
        <v>188</v>
      </c>
      <c r="CK32" s="85">
        <v>605</v>
      </c>
      <c r="CL32" s="75" t="s">
        <v>188</v>
      </c>
      <c r="CM32" s="85">
        <v>596.29999999999995</v>
      </c>
      <c r="CN32" s="75" t="s">
        <v>188</v>
      </c>
      <c r="CO32" s="85">
        <v>599.29999999999995</v>
      </c>
      <c r="CP32" s="75" t="s">
        <v>188</v>
      </c>
      <c r="CQ32" s="85">
        <v>603.66311399443919</v>
      </c>
      <c r="CR32" s="75" t="s">
        <v>188</v>
      </c>
      <c r="CS32" s="85">
        <v>605</v>
      </c>
      <c r="CT32" s="75" t="s">
        <v>188</v>
      </c>
      <c r="CU32" s="85">
        <v>616</v>
      </c>
      <c r="CV32" s="75" t="s">
        <v>188</v>
      </c>
      <c r="CW32" s="85">
        <v>609.09561129552878</v>
      </c>
      <c r="CX32" s="75" t="s">
        <v>188</v>
      </c>
      <c r="CY32" s="85">
        <v>549.1</v>
      </c>
      <c r="CZ32" s="75" t="s">
        <v>188</v>
      </c>
      <c r="DA32" s="85">
        <v>549.1</v>
      </c>
      <c r="DB32" s="75" t="s">
        <v>188</v>
      </c>
      <c r="DC32" s="85">
        <v>549.66999999999996</v>
      </c>
      <c r="DD32" s="155" t="s">
        <v>188</v>
      </c>
      <c r="DE32" s="85">
        <v>551.01278404746608</v>
      </c>
      <c r="DF32" s="155" t="s">
        <v>188</v>
      </c>
      <c r="DG32" s="85">
        <v>551.87125341833132</v>
      </c>
      <c r="DH32" s="75" t="s">
        <v>188</v>
      </c>
      <c r="DI32" s="173">
        <v>550.72526320890734</v>
      </c>
      <c r="DJ32" s="76" t="s">
        <v>188</v>
      </c>
      <c r="DK32" s="90"/>
      <c r="DL32" s="90"/>
      <c r="DM32" s="90"/>
      <c r="DN32" s="90"/>
      <c r="DO32" s="90"/>
    </row>
    <row r="33" spans="1:119">
      <c r="A33" s="38" t="s">
        <v>73</v>
      </c>
      <c r="B33" s="153" t="s">
        <v>188</v>
      </c>
      <c r="C33" s="84" t="s">
        <v>188</v>
      </c>
      <c r="D33" s="77" t="s">
        <v>0</v>
      </c>
      <c r="E33" s="81" t="s">
        <v>188</v>
      </c>
      <c r="F33" s="77" t="s">
        <v>0</v>
      </c>
      <c r="G33" s="81" t="s">
        <v>188</v>
      </c>
      <c r="H33" s="77" t="s">
        <v>0</v>
      </c>
      <c r="I33" s="81" t="s">
        <v>188</v>
      </c>
      <c r="J33" s="77" t="s">
        <v>0</v>
      </c>
      <c r="K33" s="81" t="s">
        <v>188</v>
      </c>
      <c r="L33" s="77" t="s">
        <v>0</v>
      </c>
      <c r="M33" s="81" t="s">
        <v>188</v>
      </c>
      <c r="N33" s="77" t="s">
        <v>0</v>
      </c>
      <c r="O33" s="81" t="s">
        <v>188</v>
      </c>
      <c r="P33" s="77" t="s">
        <v>0</v>
      </c>
      <c r="Q33" s="81">
        <v>1350</v>
      </c>
      <c r="R33" s="77" t="s">
        <v>188</v>
      </c>
      <c r="S33" s="81">
        <v>1350</v>
      </c>
      <c r="T33" s="77" t="s">
        <v>188</v>
      </c>
      <c r="U33" s="81">
        <v>1260</v>
      </c>
      <c r="V33" s="77" t="s">
        <v>188</v>
      </c>
      <c r="W33" s="81" t="s">
        <v>188</v>
      </c>
      <c r="X33" s="77" t="s">
        <v>0</v>
      </c>
      <c r="Y33" s="81">
        <v>1098</v>
      </c>
      <c r="Z33" s="124" t="s">
        <v>186</v>
      </c>
      <c r="AA33" s="81">
        <v>1146</v>
      </c>
      <c r="AB33" s="77" t="s">
        <v>188</v>
      </c>
      <c r="AC33" s="83">
        <v>1520</v>
      </c>
      <c r="AD33" s="78" t="s">
        <v>188</v>
      </c>
      <c r="AE33" s="84">
        <v>882</v>
      </c>
      <c r="AF33" s="77" t="s">
        <v>188</v>
      </c>
      <c r="AG33" s="81">
        <v>882</v>
      </c>
      <c r="AH33" s="77" t="s">
        <v>188</v>
      </c>
      <c r="AI33" s="81">
        <v>882</v>
      </c>
      <c r="AJ33" s="77" t="s">
        <v>188</v>
      </c>
      <c r="AK33" s="81">
        <v>882</v>
      </c>
      <c r="AL33" s="77" t="s">
        <v>188</v>
      </c>
      <c r="AM33" s="81">
        <v>882</v>
      </c>
      <c r="AN33" s="77" t="s">
        <v>188</v>
      </c>
      <c r="AO33" s="81">
        <v>882</v>
      </c>
      <c r="AP33" s="77" t="s">
        <v>188</v>
      </c>
      <c r="AQ33" s="81">
        <v>882</v>
      </c>
      <c r="AR33" s="77" t="s">
        <v>188</v>
      </c>
      <c r="AS33" s="81">
        <v>882</v>
      </c>
      <c r="AT33" s="77" t="s">
        <v>188</v>
      </c>
      <c r="AU33" s="81">
        <v>882</v>
      </c>
      <c r="AV33" s="77" t="s">
        <v>188</v>
      </c>
      <c r="AW33" s="81">
        <v>825</v>
      </c>
      <c r="AX33" s="77" t="s">
        <v>188</v>
      </c>
      <c r="AY33" s="81" t="s">
        <v>188</v>
      </c>
      <c r="AZ33" s="124" t="s">
        <v>0</v>
      </c>
      <c r="BA33" s="81">
        <v>684.6</v>
      </c>
      <c r="BB33" s="124" t="s">
        <v>186</v>
      </c>
      <c r="BC33" s="81">
        <v>718.2</v>
      </c>
      <c r="BD33" s="77" t="s">
        <v>188</v>
      </c>
      <c r="BE33" s="83">
        <v>1020</v>
      </c>
      <c r="BF33" s="78" t="s">
        <v>188</v>
      </c>
      <c r="BG33" s="84">
        <v>882</v>
      </c>
      <c r="BH33" s="77" t="s">
        <v>188</v>
      </c>
      <c r="BI33" s="81">
        <v>882</v>
      </c>
      <c r="BJ33" s="77" t="s">
        <v>188</v>
      </c>
      <c r="BK33" s="81">
        <v>882</v>
      </c>
      <c r="BL33" s="77" t="s">
        <v>188</v>
      </c>
      <c r="BM33" s="81">
        <v>882</v>
      </c>
      <c r="BN33" s="77" t="s">
        <v>188</v>
      </c>
      <c r="BO33" s="81">
        <v>882</v>
      </c>
      <c r="BP33" s="77" t="s">
        <v>188</v>
      </c>
      <c r="BQ33" s="81">
        <v>882</v>
      </c>
      <c r="BR33" s="77" t="s">
        <v>188</v>
      </c>
      <c r="BS33" s="81">
        <v>882</v>
      </c>
      <c r="BT33" s="77" t="s">
        <v>188</v>
      </c>
      <c r="BU33" s="81">
        <v>882</v>
      </c>
      <c r="BV33" s="77" t="s">
        <v>188</v>
      </c>
      <c r="BW33" s="81">
        <v>882</v>
      </c>
      <c r="BX33" s="77" t="s">
        <v>188</v>
      </c>
      <c r="BY33" s="81">
        <v>825</v>
      </c>
      <c r="BZ33" s="77" t="s">
        <v>188</v>
      </c>
      <c r="CA33" s="81" t="s">
        <v>188</v>
      </c>
      <c r="CB33" s="124" t="s">
        <v>0</v>
      </c>
      <c r="CC33" s="81">
        <v>684.6</v>
      </c>
      <c r="CD33" s="124" t="s">
        <v>186</v>
      </c>
      <c r="CE33" s="81">
        <v>718.2</v>
      </c>
      <c r="CF33" s="77" t="s">
        <v>188</v>
      </c>
      <c r="CG33" s="83">
        <v>1020</v>
      </c>
      <c r="CH33" s="78" t="s">
        <v>188</v>
      </c>
      <c r="CI33" s="84">
        <v>882</v>
      </c>
      <c r="CJ33" s="77" t="s">
        <v>188</v>
      </c>
      <c r="CK33" s="81">
        <v>882</v>
      </c>
      <c r="CL33" s="77" t="s">
        <v>188</v>
      </c>
      <c r="CM33" s="81">
        <v>882</v>
      </c>
      <c r="CN33" s="77" t="s">
        <v>188</v>
      </c>
      <c r="CO33" s="81">
        <v>882</v>
      </c>
      <c r="CP33" s="77" t="s">
        <v>188</v>
      </c>
      <c r="CQ33" s="81">
        <v>882</v>
      </c>
      <c r="CR33" s="77" t="s">
        <v>188</v>
      </c>
      <c r="CS33" s="81">
        <v>882</v>
      </c>
      <c r="CT33" s="77" t="s">
        <v>188</v>
      </c>
      <c r="CU33" s="81">
        <v>882</v>
      </c>
      <c r="CV33" s="77" t="s">
        <v>188</v>
      </c>
      <c r="CW33" s="81">
        <v>882</v>
      </c>
      <c r="CX33" s="77" t="s">
        <v>188</v>
      </c>
      <c r="CY33" s="81">
        <v>882</v>
      </c>
      <c r="CZ33" s="77" t="s">
        <v>188</v>
      </c>
      <c r="DA33" s="81">
        <v>990</v>
      </c>
      <c r="DB33" s="77" t="s">
        <v>188</v>
      </c>
      <c r="DC33" s="81" t="s">
        <v>188</v>
      </c>
      <c r="DD33" s="124" t="s">
        <v>0</v>
      </c>
      <c r="DE33" s="81">
        <v>684.6</v>
      </c>
      <c r="DF33" s="124" t="s">
        <v>186</v>
      </c>
      <c r="DG33" s="81">
        <v>718.2</v>
      </c>
      <c r="DH33" s="77" t="s">
        <v>188</v>
      </c>
      <c r="DI33" s="83">
        <v>1020</v>
      </c>
      <c r="DJ33" s="78" t="s">
        <v>188</v>
      </c>
      <c r="DK33" s="90"/>
      <c r="DL33" s="90"/>
      <c r="DM33" s="90"/>
      <c r="DN33" s="90"/>
      <c r="DO33" s="90"/>
    </row>
    <row r="34" spans="1:119">
      <c r="A34" s="38" t="s">
        <v>33</v>
      </c>
      <c r="B34" s="153" t="s">
        <v>188</v>
      </c>
      <c r="C34" s="84" t="s">
        <v>188</v>
      </c>
      <c r="D34" s="77" t="s">
        <v>0</v>
      </c>
      <c r="E34" s="81" t="s">
        <v>188</v>
      </c>
      <c r="F34" s="77" t="s">
        <v>0</v>
      </c>
      <c r="G34" s="81" t="s">
        <v>188</v>
      </c>
      <c r="H34" s="77" t="s">
        <v>0</v>
      </c>
      <c r="I34" s="81" t="s">
        <v>188</v>
      </c>
      <c r="J34" s="77" t="s">
        <v>0</v>
      </c>
      <c r="K34" s="81" t="s">
        <v>188</v>
      </c>
      <c r="L34" s="77" t="s">
        <v>0</v>
      </c>
      <c r="M34" s="81" t="s">
        <v>188</v>
      </c>
      <c r="N34" s="77" t="s">
        <v>0</v>
      </c>
      <c r="O34" s="81" t="s">
        <v>188</v>
      </c>
      <c r="P34" s="77" t="s">
        <v>0</v>
      </c>
      <c r="Q34" s="81">
        <v>880</v>
      </c>
      <c r="R34" s="77" t="s">
        <v>188</v>
      </c>
      <c r="S34" s="81">
        <v>880</v>
      </c>
      <c r="T34" s="77" t="s">
        <v>188</v>
      </c>
      <c r="U34" s="81">
        <v>880</v>
      </c>
      <c r="V34" s="77" t="s">
        <v>188</v>
      </c>
      <c r="W34" s="81">
        <v>880</v>
      </c>
      <c r="X34" s="77" t="s">
        <v>188</v>
      </c>
      <c r="Y34" s="81">
        <v>880</v>
      </c>
      <c r="Z34" s="124" t="s">
        <v>188</v>
      </c>
      <c r="AA34" s="81" t="s">
        <v>188</v>
      </c>
      <c r="AB34" s="77" t="s">
        <v>0</v>
      </c>
      <c r="AC34" s="83" t="s">
        <v>188</v>
      </c>
      <c r="AD34" s="78" t="s">
        <v>0</v>
      </c>
      <c r="AE34" s="84" t="s">
        <v>188</v>
      </c>
      <c r="AF34" s="77" t="s">
        <v>0</v>
      </c>
      <c r="AG34" s="81">
        <v>774.4</v>
      </c>
      <c r="AH34" s="77" t="s">
        <v>188</v>
      </c>
      <c r="AI34" s="81">
        <v>774.4</v>
      </c>
      <c r="AJ34" s="77" t="s">
        <v>188</v>
      </c>
      <c r="AK34" s="81">
        <v>774.4</v>
      </c>
      <c r="AL34" s="77" t="s">
        <v>188</v>
      </c>
      <c r="AM34" s="81">
        <v>739.2</v>
      </c>
      <c r="AN34" s="77" t="s">
        <v>188</v>
      </c>
      <c r="AO34" s="81">
        <v>739.2</v>
      </c>
      <c r="AP34" s="77" t="s">
        <v>188</v>
      </c>
      <c r="AQ34" s="81">
        <v>739.2</v>
      </c>
      <c r="AR34" s="77" t="s">
        <v>188</v>
      </c>
      <c r="AS34" s="81">
        <v>809.59999999999991</v>
      </c>
      <c r="AT34" s="77" t="s">
        <v>188</v>
      </c>
      <c r="AU34" s="81">
        <v>809.59999999999991</v>
      </c>
      <c r="AV34" s="77" t="s">
        <v>188</v>
      </c>
      <c r="AW34" s="81">
        <v>809.59999999999991</v>
      </c>
      <c r="AX34" s="77" t="s">
        <v>188</v>
      </c>
      <c r="AY34" s="81">
        <v>809.59999999999991</v>
      </c>
      <c r="AZ34" s="124" t="s">
        <v>188</v>
      </c>
      <c r="BA34" s="81">
        <v>809.59999999999991</v>
      </c>
      <c r="BB34" s="124" t="s">
        <v>188</v>
      </c>
      <c r="BC34" s="81" t="s">
        <v>188</v>
      </c>
      <c r="BD34" s="77" t="s">
        <v>0</v>
      </c>
      <c r="BE34" s="83" t="s">
        <v>188</v>
      </c>
      <c r="BF34" s="78" t="s">
        <v>0</v>
      </c>
      <c r="BG34" s="84" t="s">
        <v>188</v>
      </c>
      <c r="BH34" s="77" t="s">
        <v>0</v>
      </c>
      <c r="BI34" s="81">
        <v>642.4</v>
      </c>
      <c r="BJ34" s="77" t="s">
        <v>188</v>
      </c>
      <c r="BK34" s="81">
        <v>642.4</v>
      </c>
      <c r="BL34" s="77" t="s">
        <v>188</v>
      </c>
      <c r="BM34" s="81">
        <v>642.4</v>
      </c>
      <c r="BN34" s="77" t="s">
        <v>188</v>
      </c>
      <c r="BO34" s="81">
        <v>633.6</v>
      </c>
      <c r="BP34" s="77" t="s">
        <v>188</v>
      </c>
      <c r="BQ34" s="81">
        <v>633.6</v>
      </c>
      <c r="BR34" s="77" t="s">
        <v>188</v>
      </c>
      <c r="BS34" s="81">
        <v>633.6</v>
      </c>
      <c r="BT34" s="77" t="s">
        <v>188</v>
      </c>
      <c r="BU34" s="81">
        <v>739.2</v>
      </c>
      <c r="BV34" s="77" t="s">
        <v>188</v>
      </c>
      <c r="BW34" s="81">
        <v>739.2</v>
      </c>
      <c r="BX34" s="77" t="s">
        <v>188</v>
      </c>
      <c r="BY34" s="81">
        <v>739.2</v>
      </c>
      <c r="BZ34" s="77" t="s">
        <v>188</v>
      </c>
      <c r="CA34" s="81">
        <v>739.2</v>
      </c>
      <c r="CB34" s="124" t="s">
        <v>188</v>
      </c>
      <c r="CC34" s="81">
        <v>739.2</v>
      </c>
      <c r="CD34" s="124" t="s">
        <v>188</v>
      </c>
      <c r="CE34" s="81" t="s">
        <v>188</v>
      </c>
      <c r="CF34" s="77" t="s">
        <v>0</v>
      </c>
      <c r="CG34" s="83" t="s">
        <v>188</v>
      </c>
      <c r="CH34" s="78" t="s">
        <v>0</v>
      </c>
      <c r="CI34" s="84" t="s">
        <v>188</v>
      </c>
      <c r="CJ34" s="77" t="s">
        <v>0</v>
      </c>
      <c r="CK34" s="81">
        <v>642.4</v>
      </c>
      <c r="CL34" s="77" t="s">
        <v>188</v>
      </c>
      <c r="CM34" s="81">
        <v>642.4</v>
      </c>
      <c r="CN34" s="77" t="s">
        <v>188</v>
      </c>
      <c r="CO34" s="81">
        <v>642.4</v>
      </c>
      <c r="CP34" s="77" t="s">
        <v>188</v>
      </c>
      <c r="CQ34" s="81">
        <v>633.6</v>
      </c>
      <c r="CR34" s="77" t="s">
        <v>188</v>
      </c>
      <c r="CS34" s="81">
        <v>633.6</v>
      </c>
      <c r="CT34" s="77" t="s">
        <v>188</v>
      </c>
      <c r="CU34" s="81">
        <v>633.6</v>
      </c>
      <c r="CV34" s="77" t="s">
        <v>188</v>
      </c>
      <c r="CW34" s="81">
        <v>739.2</v>
      </c>
      <c r="CX34" s="77" t="s">
        <v>188</v>
      </c>
      <c r="CY34" s="81">
        <v>739.2</v>
      </c>
      <c r="CZ34" s="77" t="s">
        <v>188</v>
      </c>
      <c r="DA34" s="81">
        <v>739.2</v>
      </c>
      <c r="DB34" s="77" t="s">
        <v>188</v>
      </c>
      <c r="DC34" s="81">
        <v>739.2</v>
      </c>
      <c r="DD34" s="124" t="s">
        <v>188</v>
      </c>
      <c r="DE34" s="81">
        <v>739.2</v>
      </c>
      <c r="DF34" s="124" t="s">
        <v>188</v>
      </c>
      <c r="DG34" s="81" t="s">
        <v>188</v>
      </c>
      <c r="DH34" s="77" t="s">
        <v>0</v>
      </c>
      <c r="DI34" s="83" t="s">
        <v>188</v>
      </c>
      <c r="DJ34" s="78" t="s">
        <v>0</v>
      </c>
      <c r="DK34" s="90"/>
      <c r="DL34" s="90"/>
      <c r="DM34" s="90"/>
      <c r="DN34" s="90"/>
      <c r="DO34" s="90"/>
    </row>
    <row r="35" spans="1:119">
      <c r="A35" s="162" t="s">
        <v>19</v>
      </c>
      <c r="B35" s="149" t="s">
        <v>188</v>
      </c>
      <c r="C35" s="154">
        <v>532</v>
      </c>
      <c r="D35" s="75" t="s">
        <v>188</v>
      </c>
      <c r="E35" s="85">
        <v>532</v>
      </c>
      <c r="F35" s="75" t="s">
        <v>188</v>
      </c>
      <c r="G35" s="85">
        <v>532</v>
      </c>
      <c r="H35" s="75" t="s">
        <v>188</v>
      </c>
      <c r="I35" s="85">
        <v>532</v>
      </c>
      <c r="J35" s="75" t="s">
        <v>188</v>
      </c>
      <c r="K35" s="85">
        <v>532</v>
      </c>
      <c r="L35" s="75" t="s">
        <v>188</v>
      </c>
      <c r="M35" s="85">
        <v>532</v>
      </c>
      <c r="N35" s="75" t="s">
        <v>188</v>
      </c>
      <c r="O35" s="85">
        <v>532</v>
      </c>
      <c r="P35" s="75" t="s">
        <v>188</v>
      </c>
      <c r="Q35" s="85">
        <v>532</v>
      </c>
      <c r="R35" s="75" t="s">
        <v>188</v>
      </c>
      <c r="S35" s="85">
        <v>532</v>
      </c>
      <c r="T35" s="75" t="s">
        <v>188</v>
      </c>
      <c r="U35" s="85">
        <v>532</v>
      </c>
      <c r="V35" s="75" t="s">
        <v>188</v>
      </c>
      <c r="W35" s="85">
        <v>532</v>
      </c>
      <c r="X35" s="75" t="s">
        <v>188</v>
      </c>
      <c r="Y35" s="85">
        <v>532</v>
      </c>
      <c r="Z35" s="155" t="s">
        <v>188</v>
      </c>
      <c r="AA35" s="85">
        <v>532</v>
      </c>
      <c r="AB35" s="75" t="s">
        <v>188</v>
      </c>
      <c r="AC35" s="173">
        <v>532</v>
      </c>
      <c r="AD35" s="76" t="s">
        <v>188</v>
      </c>
      <c r="AE35" s="154">
        <v>800</v>
      </c>
      <c r="AF35" s="75" t="s">
        <v>188</v>
      </c>
      <c r="AG35" s="85">
        <v>800</v>
      </c>
      <c r="AH35" s="75" t="s">
        <v>188</v>
      </c>
      <c r="AI35" s="85">
        <v>800</v>
      </c>
      <c r="AJ35" s="75" t="s">
        <v>188</v>
      </c>
      <c r="AK35" s="85">
        <v>800</v>
      </c>
      <c r="AL35" s="75" t="s">
        <v>188</v>
      </c>
      <c r="AM35" s="85">
        <v>800</v>
      </c>
      <c r="AN35" s="75" t="s">
        <v>188</v>
      </c>
      <c r="AO35" s="85">
        <v>800</v>
      </c>
      <c r="AP35" s="75" t="s">
        <v>188</v>
      </c>
      <c r="AQ35" s="85">
        <v>800</v>
      </c>
      <c r="AR35" s="75" t="s">
        <v>188</v>
      </c>
      <c r="AS35" s="85">
        <v>800</v>
      </c>
      <c r="AT35" s="75" t="s">
        <v>188</v>
      </c>
      <c r="AU35" s="85">
        <v>800</v>
      </c>
      <c r="AV35" s="75" t="s">
        <v>188</v>
      </c>
      <c r="AW35" s="85">
        <v>800</v>
      </c>
      <c r="AX35" s="75" t="s">
        <v>188</v>
      </c>
      <c r="AY35" s="85">
        <v>800</v>
      </c>
      <c r="AZ35" s="155" t="s">
        <v>188</v>
      </c>
      <c r="BA35" s="85">
        <v>800</v>
      </c>
      <c r="BB35" s="155" t="s">
        <v>188</v>
      </c>
      <c r="BC35" s="85">
        <v>800</v>
      </c>
      <c r="BD35" s="75" t="s">
        <v>188</v>
      </c>
      <c r="BE35" s="173">
        <v>800</v>
      </c>
      <c r="BF35" s="76" t="s">
        <v>188</v>
      </c>
      <c r="BG35" s="154">
        <v>1182</v>
      </c>
      <c r="BH35" s="75" t="s">
        <v>188</v>
      </c>
      <c r="BI35" s="85">
        <v>1046.6666666666661</v>
      </c>
      <c r="BJ35" s="75" t="s">
        <v>188</v>
      </c>
      <c r="BK35" s="85">
        <v>1046.6666666666661</v>
      </c>
      <c r="BL35" s="75" t="s">
        <v>188</v>
      </c>
      <c r="BM35" s="85">
        <v>1046.6666666666661</v>
      </c>
      <c r="BN35" s="75" t="s">
        <v>188</v>
      </c>
      <c r="BO35" s="85">
        <v>1046.6666666666661</v>
      </c>
      <c r="BP35" s="75" t="s">
        <v>188</v>
      </c>
      <c r="BQ35" s="85">
        <v>1046.6666666666661</v>
      </c>
      <c r="BR35" s="75" t="s">
        <v>188</v>
      </c>
      <c r="BS35" s="85">
        <v>1046.6666666666661</v>
      </c>
      <c r="BT35" s="75" t="s">
        <v>188</v>
      </c>
      <c r="BU35" s="85">
        <v>1046.6666666666661</v>
      </c>
      <c r="BV35" s="75" t="s">
        <v>188</v>
      </c>
      <c r="BW35" s="85">
        <v>1046.6666666666661</v>
      </c>
      <c r="BX35" s="75" t="s">
        <v>188</v>
      </c>
      <c r="BY35" s="85">
        <v>1046.6666666666661</v>
      </c>
      <c r="BZ35" s="75" t="s">
        <v>188</v>
      </c>
      <c r="CA35" s="85">
        <v>1046.6666666666661</v>
      </c>
      <c r="CB35" s="155" t="s">
        <v>188</v>
      </c>
      <c r="CC35" s="85">
        <v>1046.6666666666661</v>
      </c>
      <c r="CD35" s="155" t="s">
        <v>188</v>
      </c>
      <c r="CE35" s="85">
        <v>1046.6666666666661</v>
      </c>
      <c r="CF35" s="75" t="s">
        <v>188</v>
      </c>
      <c r="CG35" s="173">
        <v>1046.6666666666661</v>
      </c>
      <c r="CH35" s="76" t="s">
        <v>188</v>
      </c>
      <c r="CI35" s="154" t="s">
        <v>188</v>
      </c>
      <c r="CJ35" s="75" t="s">
        <v>0</v>
      </c>
      <c r="CK35" s="85">
        <v>847.7</v>
      </c>
      <c r="CL35" s="75" t="s">
        <v>188</v>
      </c>
      <c r="CM35" s="85">
        <v>842.8</v>
      </c>
      <c r="CN35" s="75" t="s">
        <v>188</v>
      </c>
      <c r="CO35" s="85">
        <v>842.8</v>
      </c>
      <c r="CP35" s="75" t="s">
        <v>188</v>
      </c>
      <c r="CQ35" s="85">
        <v>847.7</v>
      </c>
      <c r="CR35" s="75" t="s">
        <v>188</v>
      </c>
      <c r="CS35" s="85">
        <v>842.80000000000007</v>
      </c>
      <c r="CT35" s="75" t="s">
        <v>188</v>
      </c>
      <c r="CU35" s="85">
        <v>842.80000000000007</v>
      </c>
      <c r="CV35" s="75" t="s">
        <v>188</v>
      </c>
      <c r="CW35" s="85">
        <v>847.7</v>
      </c>
      <c r="CX35" s="75" t="s">
        <v>188</v>
      </c>
      <c r="CY35" s="85">
        <v>837.90000000000009</v>
      </c>
      <c r="CZ35" s="75" t="s">
        <v>188</v>
      </c>
      <c r="DA35" s="85">
        <v>837.90000000000009</v>
      </c>
      <c r="DB35" s="75" t="s">
        <v>188</v>
      </c>
      <c r="DC35" s="85">
        <v>847.7</v>
      </c>
      <c r="DD35" s="155" t="s">
        <v>188</v>
      </c>
      <c r="DE35" s="85">
        <v>847.7</v>
      </c>
      <c r="DF35" s="155" t="s">
        <v>188</v>
      </c>
      <c r="DG35" s="85">
        <v>857.50000000000011</v>
      </c>
      <c r="DH35" s="75" t="s">
        <v>188</v>
      </c>
      <c r="DI35" s="173">
        <v>837.90000000000009</v>
      </c>
      <c r="DJ35" s="76" t="s">
        <v>188</v>
      </c>
      <c r="DK35" s="90"/>
      <c r="DL35" s="90"/>
      <c r="DM35" s="90"/>
      <c r="DN35" s="90"/>
      <c r="DO35" s="90"/>
    </row>
    <row r="36" spans="1:119">
      <c r="A36" s="162" t="s">
        <v>9</v>
      </c>
      <c r="B36" s="149" t="s">
        <v>188</v>
      </c>
      <c r="C36" s="154" t="s">
        <v>188</v>
      </c>
      <c r="D36" s="75" t="s">
        <v>0</v>
      </c>
      <c r="E36" s="85" t="s">
        <v>188</v>
      </c>
      <c r="F36" s="75" t="s">
        <v>0</v>
      </c>
      <c r="G36" s="85" t="s">
        <v>188</v>
      </c>
      <c r="H36" s="75" t="s">
        <v>0</v>
      </c>
      <c r="I36" s="85" t="s">
        <v>188</v>
      </c>
      <c r="J36" s="75" t="s">
        <v>0</v>
      </c>
      <c r="K36" s="85" t="s">
        <v>188</v>
      </c>
      <c r="L36" s="75" t="s">
        <v>0</v>
      </c>
      <c r="M36" s="85" t="s">
        <v>188</v>
      </c>
      <c r="N36" s="75" t="s">
        <v>0</v>
      </c>
      <c r="O36" s="85" t="s">
        <v>188</v>
      </c>
      <c r="P36" s="75" t="s">
        <v>0</v>
      </c>
      <c r="Q36" s="85">
        <v>930</v>
      </c>
      <c r="R36" s="75" t="s">
        <v>188</v>
      </c>
      <c r="S36" s="85">
        <v>930</v>
      </c>
      <c r="T36" s="75" t="s">
        <v>188</v>
      </c>
      <c r="U36" s="85">
        <v>930</v>
      </c>
      <c r="V36" s="75" t="s">
        <v>188</v>
      </c>
      <c r="W36" s="85">
        <v>930</v>
      </c>
      <c r="X36" s="75" t="s">
        <v>188</v>
      </c>
      <c r="Y36" s="85">
        <v>930</v>
      </c>
      <c r="Z36" s="155" t="s">
        <v>188</v>
      </c>
      <c r="AA36" s="85">
        <v>930</v>
      </c>
      <c r="AB36" s="75" t="s">
        <v>188</v>
      </c>
      <c r="AC36" s="173">
        <v>930</v>
      </c>
      <c r="AD36" s="76" t="s">
        <v>188</v>
      </c>
      <c r="AE36" s="154">
        <v>930</v>
      </c>
      <c r="AF36" s="75" t="s">
        <v>188</v>
      </c>
      <c r="AG36" s="85">
        <v>930.15</v>
      </c>
      <c r="AH36" s="75" t="s">
        <v>188</v>
      </c>
      <c r="AI36" s="85">
        <v>930.15</v>
      </c>
      <c r="AJ36" s="75" t="s">
        <v>188</v>
      </c>
      <c r="AK36" s="85">
        <v>930.15</v>
      </c>
      <c r="AL36" s="75" t="s">
        <v>188</v>
      </c>
      <c r="AM36" s="85">
        <v>930.14999999999986</v>
      </c>
      <c r="AN36" s="75" t="s">
        <v>188</v>
      </c>
      <c r="AO36" s="85">
        <v>930</v>
      </c>
      <c r="AP36" s="75" t="s">
        <v>188</v>
      </c>
      <c r="AQ36" s="85">
        <v>930</v>
      </c>
      <c r="AR36" s="75" t="s">
        <v>188</v>
      </c>
      <c r="AS36" s="85">
        <v>930</v>
      </c>
      <c r="AT36" s="75" t="s">
        <v>188</v>
      </c>
      <c r="AU36" s="85">
        <v>930</v>
      </c>
      <c r="AV36" s="75" t="s">
        <v>188</v>
      </c>
      <c r="AW36" s="85">
        <v>930</v>
      </c>
      <c r="AX36" s="75" t="s">
        <v>188</v>
      </c>
      <c r="AY36" s="85">
        <v>930</v>
      </c>
      <c r="AZ36" s="155" t="s">
        <v>188</v>
      </c>
      <c r="BA36" s="85">
        <v>930</v>
      </c>
      <c r="BB36" s="155" t="s">
        <v>188</v>
      </c>
      <c r="BC36" s="85">
        <v>930</v>
      </c>
      <c r="BD36" s="75" t="s">
        <v>188</v>
      </c>
      <c r="BE36" s="173">
        <v>930</v>
      </c>
      <c r="BF36" s="76" t="s">
        <v>188</v>
      </c>
      <c r="BG36" s="154">
        <v>867</v>
      </c>
      <c r="BH36" s="75" t="s">
        <v>188</v>
      </c>
      <c r="BI36" s="85">
        <v>750</v>
      </c>
      <c r="BJ36" s="75" t="s">
        <v>188</v>
      </c>
      <c r="BK36" s="85">
        <v>750</v>
      </c>
      <c r="BL36" s="75" t="s">
        <v>188</v>
      </c>
      <c r="BM36" s="85">
        <v>750</v>
      </c>
      <c r="BN36" s="75" t="s">
        <v>188</v>
      </c>
      <c r="BO36" s="85">
        <v>750</v>
      </c>
      <c r="BP36" s="75" t="s">
        <v>188</v>
      </c>
      <c r="BQ36" s="85">
        <v>750</v>
      </c>
      <c r="BR36" s="75" t="s">
        <v>188</v>
      </c>
      <c r="BS36" s="85">
        <v>750</v>
      </c>
      <c r="BT36" s="75" t="s">
        <v>188</v>
      </c>
      <c r="BU36" s="85">
        <v>750</v>
      </c>
      <c r="BV36" s="75" t="s">
        <v>188</v>
      </c>
      <c r="BW36" s="85">
        <v>750</v>
      </c>
      <c r="BX36" s="75" t="s">
        <v>188</v>
      </c>
      <c r="BY36" s="85">
        <v>750</v>
      </c>
      <c r="BZ36" s="75" t="s">
        <v>188</v>
      </c>
      <c r="CA36" s="85">
        <v>750</v>
      </c>
      <c r="CB36" s="155" t="s">
        <v>188</v>
      </c>
      <c r="CC36" s="85">
        <v>750</v>
      </c>
      <c r="CD36" s="155" t="s">
        <v>188</v>
      </c>
      <c r="CE36" s="85">
        <v>750</v>
      </c>
      <c r="CF36" s="75" t="s">
        <v>188</v>
      </c>
      <c r="CG36" s="173">
        <v>750</v>
      </c>
      <c r="CH36" s="76" t="s">
        <v>188</v>
      </c>
      <c r="CI36" s="154">
        <v>867</v>
      </c>
      <c r="CJ36" s="75" t="s">
        <v>188</v>
      </c>
      <c r="CK36" s="85">
        <v>750</v>
      </c>
      <c r="CL36" s="75" t="s">
        <v>188</v>
      </c>
      <c r="CM36" s="85">
        <v>750</v>
      </c>
      <c r="CN36" s="75" t="s">
        <v>188</v>
      </c>
      <c r="CO36" s="85">
        <v>750</v>
      </c>
      <c r="CP36" s="75" t="s">
        <v>188</v>
      </c>
      <c r="CQ36" s="85">
        <v>750</v>
      </c>
      <c r="CR36" s="75" t="s">
        <v>188</v>
      </c>
      <c r="CS36" s="85">
        <v>750</v>
      </c>
      <c r="CT36" s="75" t="s">
        <v>188</v>
      </c>
      <c r="CU36" s="85">
        <v>750</v>
      </c>
      <c r="CV36" s="75" t="s">
        <v>188</v>
      </c>
      <c r="CW36" s="85">
        <v>750</v>
      </c>
      <c r="CX36" s="75" t="s">
        <v>188</v>
      </c>
      <c r="CY36" s="85">
        <v>750</v>
      </c>
      <c r="CZ36" s="75" t="s">
        <v>188</v>
      </c>
      <c r="DA36" s="85">
        <v>750</v>
      </c>
      <c r="DB36" s="75" t="s">
        <v>188</v>
      </c>
      <c r="DC36" s="85">
        <v>750</v>
      </c>
      <c r="DD36" s="155" t="s">
        <v>188</v>
      </c>
      <c r="DE36" s="85">
        <v>750</v>
      </c>
      <c r="DF36" s="155" t="s">
        <v>188</v>
      </c>
      <c r="DG36" s="85">
        <v>750</v>
      </c>
      <c r="DH36" s="75" t="s">
        <v>188</v>
      </c>
      <c r="DI36" s="173">
        <v>750</v>
      </c>
      <c r="DJ36" s="76" t="s">
        <v>188</v>
      </c>
      <c r="DK36" s="90"/>
      <c r="DL36" s="90"/>
      <c r="DM36" s="90"/>
      <c r="DN36" s="90"/>
      <c r="DO36" s="90"/>
    </row>
    <row r="37" spans="1:119">
      <c r="A37" s="38" t="s">
        <v>10</v>
      </c>
      <c r="B37" s="153" t="s">
        <v>188</v>
      </c>
      <c r="C37" s="84" t="s">
        <v>188</v>
      </c>
      <c r="D37" s="77" t="s">
        <v>0</v>
      </c>
      <c r="E37" s="81" t="s">
        <v>188</v>
      </c>
      <c r="F37" s="77" t="s">
        <v>0</v>
      </c>
      <c r="G37" s="81" t="s">
        <v>188</v>
      </c>
      <c r="H37" s="77" t="s">
        <v>0</v>
      </c>
      <c r="I37" s="81" t="s">
        <v>188</v>
      </c>
      <c r="J37" s="77" t="s">
        <v>0</v>
      </c>
      <c r="K37" s="81" t="s">
        <v>188</v>
      </c>
      <c r="L37" s="77" t="s">
        <v>0</v>
      </c>
      <c r="M37" s="81" t="s">
        <v>188</v>
      </c>
      <c r="N37" s="77" t="s">
        <v>0</v>
      </c>
      <c r="O37" s="81" t="s">
        <v>188</v>
      </c>
      <c r="P37" s="77" t="s">
        <v>0</v>
      </c>
      <c r="Q37" s="81" t="s">
        <v>188</v>
      </c>
      <c r="R37" s="77" t="s">
        <v>0</v>
      </c>
      <c r="S37" s="81" t="s">
        <v>188</v>
      </c>
      <c r="T37" s="77" t="s">
        <v>0</v>
      </c>
      <c r="U37" s="81" t="s">
        <v>188</v>
      </c>
      <c r="V37" s="77" t="s">
        <v>0</v>
      </c>
      <c r="W37" s="81" t="s">
        <v>188</v>
      </c>
      <c r="X37" s="77" t="s">
        <v>0</v>
      </c>
      <c r="Y37" s="81" t="s">
        <v>188</v>
      </c>
      <c r="Z37" s="124" t="s">
        <v>0</v>
      </c>
      <c r="AA37" s="81" t="s">
        <v>188</v>
      </c>
      <c r="AB37" s="77" t="s">
        <v>0</v>
      </c>
      <c r="AC37" s="83" t="s">
        <v>188</v>
      </c>
      <c r="AD37" s="78" t="s">
        <v>0</v>
      </c>
      <c r="AE37" s="84" t="s">
        <v>188</v>
      </c>
      <c r="AF37" s="77" t="s">
        <v>0</v>
      </c>
      <c r="AG37" s="81" t="s">
        <v>188</v>
      </c>
      <c r="AH37" s="77" t="s">
        <v>0</v>
      </c>
      <c r="AI37" s="81" t="s">
        <v>188</v>
      </c>
      <c r="AJ37" s="77" t="s">
        <v>0</v>
      </c>
      <c r="AK37" s="81" t="s">
        <v>188</v>
      </c>
      <c r="AL37" s="77" t="s">
        <v>0</v>
      </c>
      <c r="AM37" s="81" t="s">
        <v>188</v>
      </c>
      <c r="AN37" s="77" t="s">
        <v>0</v>
      </c>
      <c r="AO37" s="81" t="s">
        <v>188</v>
      </c>
      <c r="AP37" s="77" t="s">
        <v>0</v>
      </c>
      <c r="AQ37" s="81" t="s">
        <v>188</v>
      </c>
      <c r="AR37" s="77" t="s">
        <v>0</v>
      </c>
      <c r="AS37" s="81" t="s">
        <v>188</v>
      </c>
      <c r="AT37" s="77" t="s">
        <v>0</v>
      </c>
      <c r="AU37" s="81" t="s">
        <v>188</v>
      </c>
      <c r="AV37" s="77" t="s">
        <v>0</v>
      </c>
      <c r="AW37" s="81">
        <v>921.59999999999991</v>
      </c>
      <c r="AX37" s="77" t="s">
        <v>188</v>
      </c>
      <c r="AY37" s="81">
        <v>921.59999999999991</v>
      </c>
      <c r="AZ37" s="124" t="s">
        <v>188</v>
      </c>
      <c r="BA37" s="81">
        <v>921.59999999999991</v>
      </c>
      <c r="BB37" s="124" t="s">
        <v>188</v>
      </c>
      <c r="BC37" s="81">
        <v>921.59999999999991</v>
      </c>
      <c r="BD37" s="77" t="s">
        <v>188</v>
      </c>
      <c r="BE37" s="83">
        <v>921.59999999999991</v>
      </c>
      <c r="BF37" s="78" t="s">
        <v>188</v>
      </c>
      <c r="BG37" s="84" t="s">
        <v>188</v>
      </c>
      <c r="BH37" s="77" t="s">
        <v>0</v>
      </c>
      <c r="BI37" s="81" t="s">
        <v>188</v>
      </c>
      <c r="BJ37" s="77" t="s">
        <v>0</v>
      </c>
      <c r="BK37" s="81" t="s">
        <v>188</v>
      </c>
      <c r="BL37" s="77" t="s">
        <v>0</v>
      </c>
      <c r="BM37" s="81" t="s">
        <v>188</v>
      </c>
      <c r="BN37" s="77" t="s">
        <v>0</v>
      </c>
      <c r="BO37" s="81" t="s">
        <v>188</v>
      </c>
      <c r="BP37" s="77" t="s">
        <v>0</v>
      </c>
      <c r="BQ37" s="81" t="s">
        <v>188</v>
      </c>
      <c r="BR37" s="77" t="s">
        <v>0</v>
      </c>
      <c r="BS37" s="81" t="s">
        <v>188</v>
      </c>
      <c r="BT37" s="77" t="s">
        <v>0</v>
      </c>
      <c r="BU37" s="81" t="s">
        <v>188</v>
      </c>
      <c r="BV37" s="77" t="s">
        <v>0</v>
      </c>
      <c r="BW37" s="81" t="s">
        <v>188</v>
      </c>
      <c r="BX37" s="77" t="s">
        <v>0</v>
      </c>
      <c r="BY37" s="81">
        <v>840.8</v>
      </c>
      <c r="BZ37" s="77" t="s">
        <v>188</v>
      </c>
      <c r="CA37" s="81">
        <v>840.40000000000009</v>
      </c>
      <c r="CB37" s="124" t="s">
        <v>188</v>
      </c>
      <c r="CC37" s="81">
        <v>840.40000000000009</v>
      </c>
      <c r="CD37" s="124" t="s">
        <v>188</v>
      </c>
      <c r="CE37" s="81">
        <v>840.40000000000009</v>
      </c>
      <c r="CF37" s="77" t="s">
        <v>188</v>
      </c>
      <c r="CG37" s="83">
        <v>840.40000000000009</v>
      </c>
      <c r="CH37" s="78" t="s">
        <v>188</v>
      </c>
      <c r="CI37" s="84" t="s">
        <v>188</v>
      </c>
      <c r="CJ37" s="77" t="s">
        <v>0</v>
      </c>
      <c r="CK37" s="81" t="s">
        <v>188</v>
      </c>
      <c r="CL37" s="77" t="s">
        <v>0</v>
      </c>
      <c r="CM37" s="81" t="s">
        <v>188</v>
      </c>
      <c r="CN37" s="77" t="s">
        <v>0</v>
      </c>
      <c r="CO37" s="81" t="s">
        <v>188</v>
      </c>
      <c r="CP37" s="77" t="s">
        <v>0</v>
      </c>
      <c r="CQ37" s="81" t="s">
        <v>188</v>
      </c>
      <c r="CR37" s="77" t="s">
        <v>0</v>
      </c>
      <c r="CS37" s="81" t="s">
        <v>188</v>
      </c>
      <c r="CT37" s="77" t="s">
        <v>0</v>
      </c>
      <c r="CU37" s="81" t="s">
        <v>188</v>
      </c>
      <c r="CV37" s="77" t="s">
        <v>0</v>
      </c>
      <c r="CW37" s="81" t="s">
        <v>188</v>
      </c>
      <c r="CX37" s="77" t="s">
        <v>0</v>
      </c>
      <c r="CY37" s="81" t="s">
        <v>188</v>
      </c>
      <c r="CZ37" s="77" t="s">
        <v>0</v>
      </c>
      <c r="DA37" s="81">
        <v>760</v>
      </c>
      <c r="DB37" s="77" t="s">
        <v>188</v>
      </c>
      <c r="DC37" s="81">
        <v>760</v>
      </c>
      <c r="DD37" s="124" t="s">
        <v>188</v>
      </c>
      <c r="DE37" s="81">
        <v>760</v>
      </c>
      <c r="DF37" s="124" t="s">
        <v>188</v>
      </c>
      <c r="DG37" s="81">
        <v>760</v>
      </c>
      <c r="DH37" s="77" t="s">
        <v>188</v>
      </c>
      <c r="DI37" s="83">
        <v>760</v>
      </c>
      <c r="DJ37" s="78" t="s">
        <v>188</v>
      </c>
      <c r="DK37" s="90"/>
      <c r="DL37" s="90"/>
      <c r="DM37" s="90"/>
      <c r="DN37" s="90"/>
      <c r="DO37" s="90"/>
    </row>
    <row r="38" spans="1:119">
      <c r="A38" s="38" t="s">
        <v>11</v>
      </c>
      <c r="B38" s="153" t="s">
        <v>188</v>
      </c>
      <c r="C38" s="84" t="s">
        <v>188</v>
      </c>
      <c r="D38" s="77" t="s">
        <v>0</v>
      </c>
      <c r="E38" s="81" t="s">
        <v>188</v>
      </c>
      <c r="F38" s="77" t="s">
        <v>0</v>
      </c>
      <c r="G38" s="81" t="s">
        <v>188</v>
      </c>
      <c r="H38" s="77" t="s">
        <v>0</v>
      </c>
      <c r="I38" s="81" t="s">
        <v>188</v>
      </c>
      <c r="J38" s="77" t="s">
        <v>0</v>
      </c>
      <c r="K38" s="81" t="s">
        <v>188</v>
      </c>
      <c r="L38" s="77" t="s">
        <v>0</v>
      </c>
      <c r="M38" s="81" t="s">
        <v>188</v>
      </c>
      <c r="N38" s="77" t="s">
        <v>0</v>
      </c>
      <c r="O38" s="81" t="s">
        <v>188</v>
      </c>
      <c r="P38" s="77" t="s">
        <v>0</v>
      </c>
      <c r="Q38" s="81">
        <v>1507.5</v>
      </c>
      <c r="R38" s="77" t="s">
        <v>188</v>
      </c>
      <c r="S38" s="81">
        <v>1507.5</v>
      </c>
      <c r="T38" s="77" t="s">
        <v>188</v>
      </c>
      <c r="U38" s="81">
        <v>1507.5</v>
      </c>
      <c r="V38" s="77" t="s">
        <v>188</v>
      </c>
      <c r="W38" s="81">
        <v>1507.5</v>
      </c>
      <c r="X38" s="77" t="s">
        <v>188</v>
      </c>
      <c r="Y38" s="81" t="s">
        <v>188</v>
      </c>
      <c r="Z38" s="124" t="s">
        <v>23</v>
      </c>
      <c r="AA38" s="81" t="s">
        <v>188</v>
      </c>
      <c r="AB38" s="77" t="s">
        <v>23</v>
      </c>
      <c r="AC38" s="83" t="s">
        <v>188</v>
      </c>
      <c r="AD38" s="78" t="s">
        <v>23</v>
      </c>
      <c r="AE38" s="84">
        <v>712.5</v>
      </c>
      <c r="AF38" s="77" t="s">
        <v>188</v>
      </c>
      <c r="AG38" s="81">
        <v>741</v>
      </c>
      <c r="AH38" s="77" t="s">
        <v>188</v>
      </c>
      <c r="AI38" s="81">
        <v>741</v>
      </c>
      <c r="AJ38" s="77" t="s">
        <v>188</v>
      </c>
      <c r="AK38" s="81">
        <v>741</v>
      </c>
      <c r="AL38" s="77" t="s">
        <v>188</v>
      </c>
      <c r="AM38" s="81">
        <v>741</v>
      </c>
      <c r="AN38" s="77" t="s">
        <v>188</v>
      </c>
      <c r="AO38" s="81">
        <v>741</v>
      </c>
      <c r="AP38" s="77" t="s">
        <v>188</v>
      </c>
      <c r="AQ38" s="81">
        <v>741</v>
      </c>
      <c r="AR38" s="77" t="s">
        <v>188</v>
      </c>
      <c r="AS38" s="81">
        <v>741</v>
      </c>
      <c r="AT38" s="77" t="s">
        <v>188</v>
      </c>
      <c r="AU38" s="81">
        <v>741</v>
      </c>
      <c r="AV38" s="77" t="s">
        <v>188</v>
      </c>
      <c r="AW38" s="81">
        <v>741</v>
      </c>
      <c r="AX38" s="77" t="s">
        <v>188</v>
      </c>
      <c r="AY38" s="81">
        <v>741</v>
      </c>
      <c r="AZ38" s="124" t="s">
        <v>188</v>
      </c>
      <c r="BA38" s="81">
        <v>741</v>
      </c>
      <c r="BB38" s="124" t="s">
        <v>188</v>
      </c>
      <c r="BC38" s="81">
        <v>741</v>
      </c>
      <c r="BD38" s="77" t="s">
        <v>188</v>
      </c>
      <c r="BE38" s="83">
        <v>741</v>
      </c>
      <c r="BF38" s="78" t="s">
        <v>188</v>
      </c>
      <c r="BG38" s="84">
        <v>633.08000000000004</v>
      </c>
      <c r="BH38" s="77" t="s">
        <v>188</v>
      </c>
      <c r="BI38" s="81">
        <v>655.5</v>
      </c>
      <c r="BJ38" s="77" t="s">
        <v>188</v>
      </c>
      <c r="BK38" s="81">
        <v>653.6</v>
      </c>
      <c r="BL38" s="77" t="s">
        <v>188</v>
      </c>
      <c r="BM38" s="81">
        <v>653.6</v>
      </c>
      <c r="BN38" s="77" t="s">
        <v>188</v>
      </c>
      <c r="BO38" s="81">
        <v>653.6</v>
      </c>
      <c r="BP38" s="77" t="s">
        <v>188</v>
      </c>
      <c r="BQ38" s="81">
        <v>653.6</v>
      </c>
      <c r="BR38" s="77" t="s">
        <v>188</v>
      </c>
      <c r="BS38" s="81">
        <v>653.6</v>
      </c>
      <c r="BT38" s="77" t="s">
        <v>188</v>
      </c>
      <c r="BU38" s="81">
        <v>663.1</v>
      </c>
      <c r="BV38" s="77" t="s">
        <v>188</v>
      </c>
      <c r="BW38" s="81">
        <v>663.1</v>
      </c>
      <c r="BX38" s="77" t="s">
        <v>188</v>
      </c>
      <c r="BY38" s="81">
        <v>663.1</v>
      </c>
      <c r="BZ38" s="77" t="s">
        <v>188</v>
      </c>
      <c r="CA38" s="81">
        <v>663.1</v>
      </c>
      <c r="CB38" s="124" t="s">
        <v>188</v>
      </c>
      <c r="CC38" s="81">
        <v>663.1</v>
      </c>
      <c r="CD38" s="124" t="s">
        <v>188</v>
      </c>
      <c r="CE38" s="81">
        <v>663.1</v>
      </c>
      <c r="CF38" s="77" t="s">
        <v>188</v>
      </c>
      <c r="CG38" s="83">
        <v>663.1</v>
      </c>
      <c r="CH38" s="78" t="s">
        <v>188</v>
      </c>
      <c r="CI38" s="84">
        <v>505</v>
      </c>
      <c r="CJ38" s="77" t="s">
        <v>188</v>
      </c>
      <c r="CK38" s="81">
        <v>523.6</v>
      </c>
      <c r="CL38" s="77" t="s">
        <v>188</v>
      </c>
      <c r="CM38" s="81">
        <v>522.5</v>
      </c>
      <c r="CN38" s="77" t="s">
        <v>188</v>
      </c>
      <c r="CO38" s="81">
        <v>522.5</v>
      </c>
      <c r="CP38" s="77" t="s">
        <v>188</v>
      </c>
      <c r="CQ38" s="81">
        <v>522.5</v>
      </c>
      <c r="CR38" s="77" t="s">
        <v>188</v>
      </c>
      <c r="CS38" s="81">
        <v>522.5</v>
      </c>
      <c r="CT38" s="77" t="s">
        <v>188</v>
      </c>
      <c r="CU38" s="81">
        <v>522.5</v>
      </c>
      <c r="CV38" s="77" t="s">
        <v>188</v>
      </c>
      <c r="CW38" s="81">
        <v>522.5</v>
      </c>
      <c r="CX38" s="77" t="s">
        <v>188</v>
      </c>
      <c r="CY38" s="81">
        <v>522.5</v>
      </c>
      <c r="CZ38" s="77" t="s">
        <v>188</v>
      </c>
      <c r="DA38" s="81">
        <v>522.5</v>
      </c>
      <c r="DB38" s="77" t="s">
        <v>188</v>
      </c>
      <c r="DC38" s="81">
        <v>522.5</v>
      </c>
      <c r="DD38" s="124" t="s">
        <v>188</v>
      </c>
      <c r="DE38" s="81">
        <v>522.5</v>
      </c>
      <c r="DF38" s="124" t="s">
        <v>188</v>
      </c>
      <c r="DG38" s="81">
        <v>522.5</v>
      </c>
      <c r="DH38" s="77" t="s">
        <v>188</v>
      </c>
      <c r="DI38" s="83">
        <v>522.5</v>
      </c>
      <c r="DJ38" s="78" t="s">
        <v>188</v>
      </c>
      <c r="DK38" s="90"/>
      <c r="DL38" s="90"/>
      <c r="DM38" s="90"/>
      <c r="DN38" s="90"/>
      <c r="DO38" s="90"/>
    </row>
    <row r="39" spans="1:119">
      <c r="A39" s="162" t="s">
        <v>31</v>
      </c>
      <c r="B39" s="149" t="s">
        <v>188</v>
      </c>
      <c r="C39" s="154" t="s">
        <v>188</v>
      </c>
      <c r="D39" s="75" t="s">
        <v>0</v>
      </c>
      <c r="E39" s="85" t="s">
        <v>188</v>
      </c>
      <c r="F39" s="75" t="s">
        <v>0</v>
      </c>
      <c r="G39" s="85" t="s">
        <v>188</v>
      </c>
      <c r="H39" s="75" t="s">
        <v>0</v>
      </c>
      <c r="I39" s="85" t="s">
        <v>188</v>
      </c>
      <c r="J39" s="75" t="s">
        <v>0</v>
      </c>
      <c r="K39" s="85">
        <v>1082.5</v>
      </c>
      <c r="L39" s="75" t="s">
        <v>188</v>
      </c>
      <c r="M39" s="85">
        <v>1095</v>
      </c>
      <c r="N39" s="75" t="s">
        <v>188</v>
      </c>
      <c r="O39" s="85">
        <v>1100</v>
      </c>
      <c r="P39" s="75" t="s">
        <v>188</v>
      </c>
      <c r="Q39" s="85">
        <v>1095</v>
      </c>
      <c r="R39" s="75" t="s">
        <v>188</v>
      </c>
      <c r="S39" s="85">
        <v>1090</v>
      </c>
      <c r="T39" s="75" t="s">
        <v>188</v>
      </c>
      <c r="U39" s="85">
        <v>1080</v>
      </c>
      <c r="V39" s="75" t="s">
        <v>188</v>
      </c>
      <c r="W39" s="85">
        <v>1075</v>
      </c>
      <c r="X39" s="75" t="s">
        <v>188</v>
      </c>
      <c r="Y39" s="85">
        <v>1090</v>
      </c>
      <c r="Z39" s="155" t="s">
        <v>188</v>
      </c>
      <c r="AA39" s="85">
        <v>1090</v>
      </c>
      <c r="AB39" s="75" t="s">
        <v>188</v>
      </c>
      <c r="AC39" s="173">
        <v>1085</v>
      </c>
      <c r="AD39" s="76" t="s">
        <v>188</v>
      </c>
      <c r="AE39" s="154" t="s">
        <v>188</v>
      </c>
      <c r="AF39" s="75" t="s">
        <v>0</v>
      </c>
      <c r="AG39" s="85" t="s">
        <v>188</v>
      </c>
      <c r="AH39" s="75" t="s">
        <v>0</v>
      </c>
      <c r="AI39" s="85" t="s">
        <v>188</v>
      </c>
      <c r="AJ39" s="75" t="s">
        <v>0</v>
      </c>
      <c r="AK39" s="85" t="s">
        <v>188</v>
      </c>
      <c r="AL39" s="75" t="s">
        <v>0</v>
      </c>
      <c r="AM39" s="85">
        <v>570</v>
      </c>
      <c r="AN39" s="75" t="s">
        <v>188</v>
      </c>
      <c r="AO39" s="85">
        <v>570</v>
      </c>
      <c r="AP39" s="75" t="s">
        <v>188</v>
      </c>
      <c r="AQ39" s="85">
        <v>586</v>
      </c>
      <c r="AR39" s="75" t="s">
        <v>188</v>
      </c>
      <c r="AS39" s="85">
        <v>564</v>
      </c>
      <c r="AT39" s="75" t="s">
        <v>188</v>
      </c>
      <c r="AU39" s="85">
        <v>580</v>
      </c>
      <c r="AV39" s="75" t="s">
        <v>188</v>
      </c>
      <c r="AW39" s="85">
        <v>580</v>
      </c>
      <c r="AX39" s="75" t="s">
        <v>188</v>
      </c>
      <c r="AY39" s="85">
        <v>570.15</v>
      </c>
      <c r="AZ39" s="155" t="s">
        <v>188</v>
      </c>
      <c r="BA39" s="85">
        <v>573.30000000000007</v>
      </c>
      <c r="BB39" s="155" t="s">
        <v>188</v>
      </c>
      <c r="BC39" s="85">
        <v>567</v>
      </c>
      <c r="BD39" s="75" t="s">
        <v>188</v>
      </c>
      <c r="BE39" s="173">
        <v>563.85</v>
      </c>
      <c r="BF39" s="76" t="s">
        <v>188</v>
      </c>
      <c r="BG39" s="154" t="s">
        <v>188</v>
      </c>
      <c r="BH39" s="75" t="s">
        <v>0</v>
      </c>
      <c r="BI39" s="85" t="s">
        <v>188</v>
      </c>
      <c r="BJ39" s="75" t="s">
        <v>0</v>
      </c>
      <c r="BK39" s="85" t="s">
        <v>188</v>
      </c>
      <c r="BL39" s="75" t="s">
        <v>0</v>
      </c>
      <c r="BM39" s="85" t="s">
        <v>188</v>
      </c>
      <c r="BN39" s="75" t="s">
        <v>0</v>
      </c>
      <c r="BO39" s="85">
        <v>486</v>
      </c>
      <c r="BP39" s="75" t="s">
        <v>188</v>
      </c>
      <c r="BQ39" s="85">
        <v>483</v>
      </c>
      <c r="BR39" s="75" t="s">
        <v>188</v>
      </c>
      <c r="BS39" s="85">
        <v>497</v>
      </c>
      <c r="BT39" s="75" t="s">
        <v>188</v>
      </c>
      <c r="BU39" s="85">
        <v>477.9</v>
      </c>
      <c r="BV39" s="75" t="s">
        <v>188</v>
      </c>
      <c r="BW39" s="85">
        <v>491</v>
      </c>
      <c r="BX39" s="75" t="s">
        <v>188</v>
      </c>
      <c r="BY39" s="85">
        <v>491</v>
      </c>
      <c r="BZ39" s="75" t="s">
        <v>188</v>
      </c>
      <c r="CA39" s="85">
        <v>483.3</v>
      </c>
      <c r="CB39" s="155" t="s">
        <v>188</v>
      </c>
      <c r="CC39" s="85">
        <v>486.00000000000006</v>
      </c>
      <c r="CD39" s="155" t="s">
        <v>188</v>
      </c>
      <c r="CE39" s="85">
        <v>480.6</v>
      </c>
      <c r="CF39" s="75" t="s">
        <v>188</v>
      </c>
      <c r="CG39" s="173">
        <v>477.90000000000003</v>
      </c>
      <c r="CH39" s="76" t="s">
        <v>188</v>
      </c>
      <c r="CI39" s="154" t="s">
        <v>188</v>
      </c>
      <c r="CJ39" s="75" t="s">
        <v>0</v>
      </c>
      <c r="CK39" s="85" t="s">
        <v>188</v>
      </c>
      <c r="CL39" s="75" t="s">
        <v>0</v>
      </c>
      <c r="CM39" s="85" t="s">
        <v>188</v>
      </c>
      <c r="CN39" s="75" t="s">
        <v>0</v>
      </c>
      <c r="CO39" s="85" t="s">
        <v>188</v>
      </c>
      <c r="CP39" s="75" t="s">
        <v>0</v>
      </c>
      <c r="CQ39" s="85">
        <v>486</v>
      </c>
      <c r="CR39" s="75" t="s">
        <v>188</v>
      </c>
      <c r="CS39" s="85">
        <v>486</v>
      </c>
      <c r="CT39" s="75" t="s">
        <v>188</v>
      </c>
      <c r="CU39" s="85">
        <v>494</v>
      </c>
      <c r="CV39" s="75" t="s">
        <v>188</v>
      </c>
      <c r="CW39" s="85">
        <v>472.5</v>
      </c>
      <c r="CX39" s="75" t="s">
        <v>188</v>
      </c>
      <c r="CY39" s="85">
        <v>486</v>
      </c>
      <c r="CZ39" s="75" t="s">
        <v>188</v>
      </c>
      <c r="DA39" s="85">
        <v>483</v>
      </c>
      <c r="DB39" s="75" t="s">
        <v>188</v>
      </c>
      <c r="DC39" s="85">
        <v>477.9</v>
      </c>
      <c r="DD39" s="155" t="s">
        <v>188</v>
      </c>
      <c r="DE39" s="85">
        <v>480.6</v>
      </c>
      <c r="DF39" s="155" t="s">
        <v>188</v>
      </c>
      <c r="DG39" s="85">
        <v>475.20000000000005</v>
      </c>
      <c r="DH39" s="75" t="s">
        <v>188</v>
      </c>
      <c r="DI39" s="173">
        <v>472.50000000000006</v>
      </c>
      <c r="DJ39" s="76" t="s">
        <v>188</v>
      </c>
      <c r="DK39" s="90"/>
      <c r="DL39" s="90"/>
      <c r="DM39" s="90"/>
      <c r="DN39" s="90"/>
      <c r="DO39" s="90"/>
    </row>
    <row r="40" spans="1:119">
      <c r="A40" s="162" t="s">
        <v>12</v>
      </c>
      <c r="B40" s="149" t="s">
        <v>188</v>
      </c>
      <c r="C40" s="154">
        <v>1035</v>
      </c>
      <c r="D40" s="75" t="s">
        <v>188</v>
      </c>
      <c r="E40" s="85">
        <v>975</v>
      </c>
      <c r="F40" s="75" t="s">
        <v>188</v>
      </c>
      <c r="G40" s="85">
        <v>935</v>
      </c>
      <c r="H40" s="75" t="s">
        <v>188</v>
      </c>
      <c r="I40" s="85">
        <v>930</v>
      </c>
      <c r="J40" s="75" t="s">
        <v>188</v>
      </c>
      <c r="K40" s="85">
        <v>930</v>
      </c>
      <c r="L40" s="75" t="s">
        <v>188</v>
      </c>
      <c r="M40" s="85">
        <v>950</v>
      </c>
      <c r="N40" s="75" t="s">
        <v>188</v>
      </c>
      <c r="O40" s="85">
        <v>955</v>
      </c>
      <c r="P40" s="75" t="s">
        <v>188</v>
      </c>
      <c r="Q40" s="85">
        <v>965</v>
      </c>
      <c r="R40" s="75" t="s">
        <v>188</v>
      </c>
      <c r="S40" s="85">
        <v>970</v>
      </c>
      <c r="T40" s="75" t="s">
        <v>188</v>
      </c>
      <c r="U40" s="85">
        <v>960</v>
      </c>
      <c r="V40" s="75" t="s">
        <v>188</v>
      </c>
      <c r="W40" s="85">
        <v>945</v>
      </c>
      <c r="X40" s="75" t="s">
        <v>188</v>
      </c>
      <c r="Y40" s="85">
        <v>955</v>
      </c>
      <c r="Z40" s="155" t="s">
        <v>188</v>
      </c>
      <c r="AA40" s="85">
        <v>930</v>
      </c>
      <c r="AB40" s="75" t="s">
        <v>188</v>
      </c>
      <c r="AC40" s="173">
        <v>935</v>
      </c>
      <c r="AD40" s="76" t="s">
        <v>188</v>
      </c>
      <c r="AE40" s="154">
        <v>778.5</v>
      </c>
      <c r="AF40" s="75" t="s">
        <v>188</v>
      </c>
      <c r="AG40" s="85">
        <v>765</v>
      </c>
      <c r="AH40" s="75" t="s">
        <v>188</v>
      </c>
      <c r="AI40" s="85">
        <v>774</v>
      </c>
      <c r="AJ40" s="75" t="s">
        <v>188</v>
      </c>
      <c r="AK40" s="85">
        <v>769.5</v>
      </c>
      <c r="AL40" s="75" t="s">
        <v>188</v>
      </c>
      <c r="AM40" s="85">
        <v>769.5</v>
      </c>
      <c r="AN40" s="75" t="s">
        <v>188</v>
      </c>
      <c r="AO40" s="85">
        <v>787.5</v>
      </c>
      <c r="AP40" s="75" t="s">
        <v>188</v>
      </c>
      <c r="AQ40" s="85">
        <v>778.5</v>
      </c>
      <c r="AR40" s="75" t="s">
        <v>188</v>
      </c>
      <c r="AS40" s="85">
        <v>792</v>
      </c>
      <c r="AT40" s="75" t="s">
        <v>188</v>
      </c>
      <c r="AU40" s="85">
        <v>756</v>
      </c>
      <c r="AV40" s="75" t="s">
        <v>188</v>
      </c>
      <c r="AW40" s="85">
        <v>747</v>
      </c>
      <c r="AX40" s="75" t="s">
        <v>188</v>
      </c>
      <c r="AY40" s="85">
        <v>742.5</v>
      </c>
      <c r="AZ40" s="155" t="s">
        <v>188</v>
      </c>
      <c r="BA40" s="85">
        <v>742.5</v>
      </c>
      <c r="BB40" s="155" t="s">
        <v>188</v>
      </c>
      <c r="BC40" s="85">
        <v>742.5</v>
      </c>
      <c r="BD40" s="75" t="s">
        <v>188</v>
      </c>
      <c r="BE40" s="173">
        <v>778.5</v>
      </c>
      <c r="BF40" s="76" t="s">
        <v>188</v>
      </c>
      <c r="BG40" s="154">
        <v>634.33333333333337</v>
      </c>
      <c r="BH40" s="75" t="s">
        <v>188</v>
      </c>
      <c r="BI40" s="85">
        <v>623.33333333333337</v>
      </c>
      <c r="BJ40" s="75" t="s">
        <v>188</v>
      </c>
      <c r="BK40" s="85">
        <v>630.66666666666674</v>
      </c>
      <c r="BL40" s="75" t="s">
        <v>188</v>
      </c>
      <c r="BM40" s="85">
        <v>627</v>
      </c>
      <c r="BN40" s="75" t="s">
        <v>188</v>
      </c>
      <c r="BO40" s="85">
        <v>627</v>
      </c>
      <c r="BP40" s="75" t="s">
        <v>188</v>
      </c>
      <c r="BQ40" s="85">
        <v>641.66666666666674</v>
      </c>
      <c r="BR40" s="75" t="s">
        <v>188</v>
      </c>
      <c r="BS40" s="85">
        <v>634.33333333333337</v>
      </c>
      <c r="BT40" s="75" t="s">
        <v>188</v>
      </c>
      <c r="BU40" s="85">
        <v>645.33333333333337</v>
      </c>
      <c r="BV40" s="75" t="s">
        <v>188</v>
      </c>
      <c r="BW40" s="85">
        <v>616</v>
      </c>
      <c r="BX40" s="75" t="s">
        <v>188</v>
      </c>
      <c r="BY40" s="85">
        <v>608.66666666666674</v>
      </c>
      <c r="BZ40" s="75" t="s">
        <v>188</v>
      </c>
      <c r="CA40" s="85">
        <v>605</v>
      </c>
      <c r="CB40" s="155" t="s">
        <v>188</v>
      </c>
      <c r="CC40" s="85">
        <v>605</v>
      </c>
      <c r="CD40" s="155" t="s">
        <v>188</v>
      </c>
      <c r="CE40" s="85">
        <v>605.00000005499999</v>
      </c>
      <c r="CF40" s="75" t="s">
        <v>188</v>
      </c>
      <c r="CG40" s="173">
        <v>616</v>
      </c>
      <c r="CH40" s="76" t="s">
        <v>188</v>
      </c>
      <c r="CI40" s="154">
        <v>576.66666666666674</v>
      </c>
      <c r="CJ40" s="75" t="s">
        <v>188</v>
      </c>
      <c r="CK40" s="85">
        <v>566.66666666666674</v>
      </c>
      <c r="CL40" s="75" t="s">
        <v>188</v>
      </c>
      <c r="CM40" s="85">
        <v>573.33333333333337</v>
      </c>
      <c r="CN40" s="75" t="s">
        <v>188</v>
      </c>
      <c r="CO40" s="85">
        <v>627</v>
      </c>
      <c r="CP40" s="75" t="s">
        <v>188</v>
      </c>
      <c r="CQ40" s="85">
        <v>627</v>
      </c>
      <c r="CR40" s="75" t="s">
        <v>188</v>
      </c>
      <c r="CS40" s="85">
        <v>641.66666666666674</v>
      </c>
      <c r="CT40" s="75" t="s">
        <v>188</v>
      </c>
      <c r="CU40" s="85">
        <v>634.33333333333337</v>
      </c>
      <c r="CV40" s="75" t="s">
        <v>188</v>
      </c>
      <c r="CW40" s="85">
        <v>645.33333333333337</v>
      </c>
      <c r="CX40" s="75" t="s">
        <v>188</v>
      </c>
      <c r="CY40" s="85">
        <v>616</v>
      </c>
      <c r="CZ40" s="75" t="s">
        <v>188</v>
      </c>
      <c r="DA40" s="85">
        <v>608.66666666666674</v>
      </c>
      <c r="DB40" s="75" t="s">
        <v>188</v>
      </c>
      <c r="DC40" s="85">
        <v>605</v>
      </c>
      <c r="DD40" s="155" t="s">
        <v>188</v>
      </c>
      <c r="DE40" s="85">
        <v>605</v>
      </c>
      <c r="DF40" s="155" t="s">
        <v>188</v>
      </c>
      <c r="DG40" s="85">
        <v>605.00000005499999</v>
      </c>
      <c r="DH40" s="75" t="s">
        <v>188</v>
      </c>
      <c r="DI40" s="173">
        <v>616</v>
      </c>
      <c r="DJ40" s="76" t="s">
        <v>188</v>
      </c>
      <c r="DK40" s="90"/>
      <c r="DL40" s="90"/>
      <c r="DM40" s="90"/>
      <c r="DN40" s="90"/>
      <c r="DO40" s="90"/>
    </row>
    <row r="41" spans="1:119">
      <c r="A41" s="38" t="s">
        <v>29</v>
      </c>
      <c r="B41" s="153" t="s">
        <v>188</v>
      </c>
      <c r="C41" s="84" t="s">
        <v>188</v>
      </c>
      <c r="D41" s="77" t="s">
        <v>0</v>
      </c>
      <c r="E41" s="81" t="s">
        <v>188</v>
      </c>
      <c r="F41" s="77" t="s">
        <v>0</v>
      </c>
      <c r="G41" s="81" t="s">
        <v>188</v>
      </c>
      <c r="H41" s="77" t="s">
        <v>0</v>
      </c>
      <c r="I41" s="81" t="s">
        <v>188</v>
      </c>
      <c r="J41" s="77" t="s">
        <v>0</v>
      </c>
      <c r="K41" s="81" t="s">
        <v>188</v>
      </c>
      <c r="L41" s="77" t="s">
        <v>0</v>
      </c>
      <c r="M41" s="81" t="s">
        <v>188</v>
      </c>
      <c r="N41" s="77" t="s">
        <v>0</v>
      </c>
      <c r="O41" s="81" t="s">
        <v>188</v>
      </c>
      <c r="P41" s="77" t="s">
        <v>0</v>
      </c>
      <c r="Q41" s="81">
        <v>1127</v>
      </c>
      <c r="R41" s="77" t="s">
        <v>188</v>
      </c>
      <c r="S41" s="81">
        <v>1114</v>
      </c>
      <c r="T41" s="77" t="s">
        <v>188</v>
      </c>
      <c r="U41" s="81">
        <v>1108.8</v>
      </c>
      <c r="V41" s="77" t="s">
        <v>188</v>
      </c>
      <c r="W41" s="81">
        <v>1108.8</v>
      </c>
      <c r="X41" s="77" t="s">
        <v>188</v>
      </c>
      <c r="Y41" s="81">
        <v>1142.3999999999999</v>
      </c>
      <c r="Z41" s="124" t="s">
        <v>188</v>
      </c>
      <c r="AA41" s="81">
        <v>1160.5</v>
      </c>
      <c r="AB41" s="77" t="s">
        <v>188</v>
      </c>
      <c r="AC41" s="83">
        <v>1149.5</v>
      </c>
      <c r="AD41" s="78" t="s">
        <v>188</v>
      </c>
      <c r="AE41" s="84" t="s">
        <v>188</v>
      </c>
      <c r="AF41" s="77" t="s">
        <v>0</v>
      </c>
      <c r="AG41" s="81" t="s">
        <v>188</v>
      </c>
      <c r="AH41" s="77" t="s">
        <v>0</v>
      </c>
      <c r="AI41" s="81" t="s">
        <v>188</v>
      </c>
      <c r="AJ41" s="77" t="s">
        <v>0</v>
      </c>
      <c r="AK41" s="81" t="s">
        <v>188</v>
      </c>
      <c r="AL41" s="77" t="s">
        <v>0</v>
      </c>
      <c r="AM41" s="81" t="s">
        <v>188</v>
      </c>
      <c r="AN41" s="77" t="s">
        <v>0</v>
      </c>
      <c r="AO41" s="81">
        <v>832.15</v>
      </c>
      <c r="AP41" s="77" t="s">
        <v>188</v>
      </c>
      <c r="AQ41" s="81">
        <v>841.05000000000007</v>
      </c>
      <c r="AR41" s="77" t="s">
        <v>188</v>
      </c>
      <c r="AS41" s="81">
        <v>845.5</v>
      </c>
      <c r="AT41" s="77" t="s">
        <v>188</v>
      </c>
      <c r="AU41" s="81">
        <v>818.80000000000007</v>
      </c>
      <c r="AV41" s="77" t="s">
        <v>188</v>
      </c>
      <c r="AW41" s="81">
        <v>832.15</v>
      </c>
      <c r="AX41" s="77" t="s">
        <v>188</v>
      </c>
      <c r="AY41" s="81">
        <v>827.7</v>
      </c>
      <c r="AZ41" s="124" t="s">
        <v>188</v>
      </c>
      <c r="BA41" s="81">
        <v>832.15</v>
      </c>
      <c r="BB41" s="124" t="s">
        <v>188</v>
      </c>
      <c r="BC41" s="81">
        <v>802.2</v>
      </c>
      <c r="BD41" s="77" t="s">
        <v>188</v>
      </c>
      <c r="BE41" s="83">
        <v>793.80000000000007</v>
      </c>
      <c r="BF41" s="78" t="s">
        <v>188</v>
      </c>
      <c r="BG41" s="84" t="s">
        <v>188</v>
      </c>
      <c r="BH41" s="77" t="s">
        <v>0</v>
      </c>
      <c r="BI41" s="81" t="s">
        <v>188</v>
      </c>
      <c r="BJ41" s="77" t="s">
        <v>0</v>
      </c>
      <c r="BK41" s="81" t="s">
        <v>188</v>
      </c>
      <c r="BL41" s="77" t="s">
        <v>0</v>
      </c>
      <c r="BM41" s="81" t="s">
        <v>188</v>
      </c>
      <c r="BN41" s="77" t="s">
        <v>0</v>
      </c>
      <c r="BO41" s="81" t="s">
        <v>188</v>
      </c>
      <c r="BP41" s="77" t="s">
        <v>0</v>
      </c>
      <c r="BQ41" s="81">
        <v>645.15</v>
      </c>
      <c r="BR41" s="77" t="s">
        <v>188</v>
      </c>
      <c r="BS41" s="81">
        <v>652.05000000000007</v>
      </c>
      <c r="BT41" s="77" t="s">
        <v>188</v>
      </c>
      <c r="BU41" s="81">
        <v>655.5</v>
      </c>
      <c r="BV41" s="77" t="s">
        <v>188</v>
      </c>
      <c r="BW41" s="81">
        <v>634.80000000000007</v>
      </c>
      <c r="BX41" s="77" t="s">
        <v>188</v>
      </c>
      <c r="BY41" s="81">
        <v>645.15</v>
      </c>
      <c r="BZ41" s="77" t="s">
        <v>188</v>
      </c>
      <c r="CA41" s="81">
        <v>641.70000000000005</v>
      </c>
      <c r="CB41" s="124" t="s">
        <v>188</v>
      </c>
      <c r="CC41" s="81">
        <v>645.15</v>
      </c>
      <c r="CD41" s="124" t="s">
        <v>188</v>
      </c>
      <c r="CE41" s="81">
        <v>658.95</v>
      </c>
      <c r="CF41" s="77" t="s">
        <v>188</v>
      </c>
      <c r="CG41" s="83">
        <v>652.05000000000007</v>
      </c>
      <c r="CH41" s="78" t="s">
        <v>188</v>
      </c>
      <c r="CI41" s="84" t="s">
        <v>188</v>
      </c>
      <c r="CJ41" s="77" t="s">
        <v>0</v>
      </c>
      <c r="CK41" s="81" t="s">
        <v>188</v>
      </c>
      <c r="CL41" s="77" t="s">
        <v>0</v>
      </c>
      <c r="CM41" s="81" t="s">
        <v>188</v>
      </c>
      <c r="CN41" s="77" t="s">
        <v>0</v>
      </c>
      <c r="CO41" s="81" t="s">
        <v>188</v>
      </c>
      <c r="CP41" s="77" t="s">
        <v>0</v>
      </c>
      <c r="CQ41" s="81" t="s">
        <v>188</v>
      </c>
      <c r="CR41" s="77" t="s">
        <v>0</v>
      </c>
      <c r="CS41" s="81">
        <v>617.1</v>
      </c>
      <c r="CT41" s="77" t="s">
        <v>188</v>
      </c>
      <c r="CU41" s="81">
        <v>623.69999999999993</v>
      </c>
      <c r="CV41" s="77" t="s">
        <v>188</v>
      </c>
      <c r="CW41" s="81">
        <v>627</v>
      </c>
      <c r="CX41" s="77" t="s">
        <v>188</v>
      </c>
      <c r="CY41" s="81">
        <v>607.19999999999993</v>
      </c>
      <c r="CZ41" s="77" t="s">
        <v>188</v>
      </c>
      <c r="DA41" s="81">
        <v>617.1</v>
      </c>
      <c r="DB41" s="77" t="s">
        <v>188</v>
      </c>
      <c r="DC41" s="81">
        <v>613.79999999999995</v>
      </c>
      <c r="DD41" s="124" t="s">
        <v>188</v>
      </c>
      <c r="DE41" s="81">
        <v>617.1</v>
      </c>
      <c r="DF41" s="124" t="s">
        <v>188</v>
      </c>
      <c r="DG41" s="81">
        <v>573</v>
      </c>
      <c r="DH41" s="77" t="s">
        <v>188</v>
      </c>
      <c r="DI41" s="83">
        <v>567</v>
      </c>
      <c r="DJ41" s="78" t="s">
        <v>188</v>
      </c>
      <c r="DK41" s="90"/>
      <c r="DL41" s="90"/>
      <c r="DM41" s="90"/>
      <c r="DN41" s="90"/>
      <c r="DO41" s="90"/>
    </row>
    <row r="42" spans="1:119">
      <c r="A42" s="38" t="s">
        <v>39</v>
      </c>
      <c r="B42" s="153" t="s">
        <v>188</v>
      </c>
      <c r="C42" s="84" t="s">
        <v>188</v>
      </c>
      <c r="D42" s="77" t="s">
        <v>0</v>
      </c>
      <c r="E42" s="81" t="s">
        <v>188</v>
      </c>
      <c r="F42" s="77" t="s">
        <v>0</v>
      </c>
      <c r="G42" s="81" t="s">
        <v>188</v>
      </c>
      <c r="H42" s="77" t="s">
        <v>0</v>
      </c>
      <c r="I42" s="81" t="s">
        <v>188</v>
      </c>
      <c r="J42" s="77" t="s">
        <v>0</v>
      </c>
      <c r="K42" s="81" t="s">
        <v>188</v>
      </c>
      <c r="L42" s="77" t="s">
        <v>0</v>
      </c>
      <c r="M42" s="81" t="s">
        <v>188</v>
      </c>
      <c r="N42" s="77" t="s">
        <v>0</v>
      </c>
      <c r="O42" s="81" t="s">
        <v>188</v>
      </c>
      <c r="P42" s="77" t="s">
        <v>0</v>
      </c>
      <c r="Q42" s="81">
        <v>1314</v>
      </c>
      <c r="R42" s="77" t="s">
        <v>188</v>
      </c>
      <c r="S42" s="81">
        <v>1314</v>
      </c>
      <c r="T42" s="77" t="s">
        <v>188</v>
      </c>
      <c r="U42" s="81">
        <v>1314</v>
      </c>
      <c r="V42" s="77" t="s">
        <v>188</v>
      </c>
      <c r="W42" s="81">
        <v>1314</v>
      </c>
      <c r="X42" s="77" t="s">
        <v>188</v>
      </c>
      <c r="Y42" s="81">
        <v>1314</v>
      </c>
      <c r="Z42" s="124" t="s">
        <v>188</v>
      </c>
      <c r="AA42" s="81">
        <v>1314</v>
      </c>
      <c r="AB42" s="77" t="s">
        <v>188</v>
      </c>
      <c r="AC42" s="83">
        <v>1314</v>
      </c>
      <c r="AD42" s="78" t="s">
        <v>188</v>
      </c>
      <c r="AE42" s="84" t="s">
        <v>188</v>
      </c>
      <c r="AF42" s="77" t="s">
        <v>0</v>
      </c>
      <c r="AG42" s="81">
        <v>627</v>
      </c>
      <c r="AH42" s="77" t="s">
        <v>188</v>
      </c>
      <c r="AI42" s="81">
        <v>627</v>
      </c>
      <c r="AJ42" s="77" t="s">
        <v>188</v>
      </c>
      <c r="AK42" s="81">
        <v>627</v>
      </c>
      <c r="AL42" s="77" t="s">
        <v>188</v>
      </c>
      <c r="AM42" s="81">
        <v>627</v>
      </c>
      <c r="AN42" s="77" t="s">
        <v>188</v>
      </c>
      <c r="AO42" s="81">
        <v>627</v>
      </c>
      <c r="AP42" s="77" t="s">
        <v>188</v>
      </c>
      <c r="AQ42" s="81">
        <v>627</v>
      </c>
      <c r="AR42" s="77" t="s">
        <v>188</v>
      </c>
      <c r="AS42" s="81">
        <v>627</v>
      </c>
      <c r="AT42" s="77" t="s">
        <v>188</v>
      </c>
      <c r="AU42" s="81">
        <v>627</v>
      </c>
      <c r="AV42" s="77" t="s">
        <v>188</v>
      </c>
      <c r="AW42" s="81">
        <v>627</v>
      </c>
      <c r="AX42" s="77" t="s">
        <v>188</v>
      </c>
      <c r="AY42" s="81">
        <v>627</v>
      </c>
      <c r="AZ42" s="124" t="s">
        <v>188</v>
      </c>
      <c r="BA42" s="81">
        <v>627</v>
      </c>
      <c r="BB42" s="124" t="s">
        <v>188</v>
      </c>
      <c r="BC42" s="81">
        <v>627</v>
      </c>
      <c r="BD42" s="77" t="s">
        <v>188</v>
      </c>
      <c r="BE42" s="83">
        <v>627</v>
      </c>
      <c r="BF42" s="78" t="s">
        <v>188</v>
      </c>
      <c r="BG42" s="84" t="s">
        <v>188</v>
      </c>
      <c r="BH42" s="77" t="s">
        <v>0</v>
      </c>
      <c r="BI42" s="81">
        <v>627</v>
      </c>
      <c r="BJ42" s="77" t="s">
        <v>188</v>
      </c>
      <c r="BK42" s="81">
        <v>627</v>
      </c>
      <c r="BL42" s="77" t="s">
        <v>188</v>
      </c>
      <c r="BM42" s="81">
        <v>627</v>
      </c>
      <c r="BN42" s="77" t="s">
        <v>188</v>
      </c>
      <c r="BO42" s="81">
        <v>627</v>
      </c>
      <c r="BP42" s="77" t="s">
        <v>188</v>
      </c>
      <c r="BQ42" s="81">
        <v>627</v>
      </c>
      <c r="BR42" s="77" t="s">
        <v>188</v>
      </c>
      <c r="BS42" s="81">
        <v>627</v>
      </c>
      <c r="BT42" s="77" t="s">
        <v>188</v>
      </c>
      <c r="BU42" s="81">
        <v>627</v>
      </c>
      <c r="BV42" s="77" t="s">
        <v>188</v>
      </c>
      <c r="BW42" s="81">
        <v>627</v>
      </c>
      <c r="BX42" s="77" t="s">
        <v>188</v>
      </c>
      <c r="BY42" s="81">
        <v>627</v>
      </c>
      <c r="BZ42" s="77" t="s">
        <v>188</v>
      </c>
      <c r="CA42" s="81">
        <v>627</v>
      </c>
      <c r="CB42" s="124" t="s">
        <v>188</v>
      </c>
      <c r="CC42" s="81">
        <v>627</v>
      </c>
      <c r="CD42" s="124" t="s">
        <v>188</v>
      </c>
      <c r="CE42" s="81">
        <v>627</v>
      </c>
      <c r="CF42" s="77" t="s">
        <v>188</v>
      </c>
      <c r="CG42" s="83">
        <v>627</v>
      </c>
      <c r="CH42" s="78" t="s">
        <v>188</v>
      </c>
      <c r="CI42" s="84" t="s">
        <v>188</v>
      </c>
      <c r="CJ42" s="77" t="s">
        <v>0</v>
      </c>
      <c r="CK42" s="81">
        <v>570</v>
      </c>
      <c r="CL42" s="77" t="s">
        <v>188</v>
      </c>
      <c r="CM42" s="81">
        <v>570</v>
      </c>
      <c r="CN42" s="77" t="s">
        <v>188</v>
      </c>
      <c r="CO42" s="81">
        <v>570</v>
      </c>
      <c r="CP42" s="77" t="s">
        <v>188</v>
      </c>
      <c r="CQ42" s="81">
        <v>570</v>
      </c>
      <c r="CR42" s="77" t="s">
        <v>188</v>
      </c>
      <c r="CS42" s="81">
        <v>570</v>
      </c>
      <c r="CT42" s="77" t="s">
        <v>188</v>
      </c>
      <c r="CU42" s="81">
        <v>570</v>
      </c>
      <c r="CV42" s="77" t="s">
        <v>188</v>
      </c>
      <c r="CW42" s="81">
        <v>570</v>
      </c>
      <c r="CX42" s="77" t="s">
        <v>188</v>
      </c>
      <c r="CY42" s="81">
        <v>570</v>
      </c>
      <c r="CZ42" s="77" t="s">
        <v>188</v>
      </c>
      <c r="DA42" s="81">
        <v>570</v>
      </c>
      <c r="DB42" s="77" t="s">
        <v>188</v>
      </c>
      <c r="DC42" s="81">
        <v>570</v>
      </c>
      <c r="DD42" s="124" t="s">
        <v>188</v>
      </c>
      <c r="DE42" s="81">
        <v>570</v>
      </c>
      <c r="DF42" s="124" t="s">
        <v>188</v>
      </c>
      <c r="DG42" s="81">
        <v>570</v>
      </c>
      <c r="DH42" s="77" t="s">
        <v>188</v>
      </c>
      <c r="DI42" s="83">
        <v>570</v>
      </c>
      <c r="DJ42" s="78" t="s">
        <v>188</v>
      </c>
      <c r="DK42" s="90"/>
      <c r="DL42" s="90"/>
      <c r="DM42" s="90"/>
      <c r="DN42" s="90"/>
      <c r="DO42" s="90"/>
    </row>
    <row r="43" spans="1:119">
      <c r="A43" s="162" t="s">
        <v>13</v>
      </c>
      <c r="B43" s="149" t="s">
        <v>188</v>
      </c>
      <c r="C43" s="154">
        <v>880</v>
      </c>
      <c r="D43" s="75" t="s">
        <v>188</v>
      </c>
      <c r="E43" s="85">
        <v>880</v>
      </c>
      <c r="F43" s="75" t="s">
        <v>188</v>
      </c>
      <c r="G43" s="85">
        <v>880</v>
      </c>
      <c r="H43" s="75" t="s">
        <v>188</v>
      </c>
      <c r="I43" s="85">
        <v>880</v>
      </c>
      <c r="J43" s="75" t="s">
        <v>188</v>
      </c>
      <c r="K43" s="85">
        <v>880</v>
      </c>
      <c r="L43" s="75" t="s">
        <v>188</v>
      </c>
      <c r="M43" s="85">
        <v>880</v>
      </c>
      <c r="N43" s="75" t="s">
        <v>188</v>
      </c>
      <c r="O43" s="85">
        <v>880</v>
      </c>
      <c r="P43" s="75" t="s">
        <v>188</v>
      </c>
      <c r="Q43" s="85">
        <v>880</v>
      </c>
      <c r="R43" s="75" t="s">
        <v>188</v>
      </c>
      <c r="S43" s="85">
        <v>880</v>
      </c>
      <c r="T43" s="75" t="s">
        <v>188</v>
      </c>
      <c r="U43" s="85">
        <v>880</v>
      </c>
      <c r="V43" s="75" t="s">
        <v>188</v>
      </c>
      <c r="W43" s="85">
        <v>880</v>
      </c>
      <c r="X43" s="75" t="s">
        <v>188</v>
      </c>
      <c r="Y43" s="85">
        <v>880</v>
      </c>
      <c r="Z43" s="155" t="s">
        <v>188</v>
      </c>
      <c r="AA43" s="85">
        <v>880</v>
      </c>
      <c r="AB43" s="75" t="s">
        <v>188</v>
      </c>
      <c r="AC43" s="173">
        <v>880</v>
      </c>
      <c r="AD43" s="76" t="s">
        <v>188</v>
      </c>
      <c r="AE43" s="154">
        <v>880</v>
      </c>
      <c r="AF43" s="75" t="s">
        <v>188</v>
      </c>
      <c r="AG43" s="85">
        <v>880</v>
      </c>
      <c r="AH43" s="75" t="s">
        <v>188</v>
      </c>
      <c r="AI43" s="85">
        <v>880</v>
      </c>
      <c r="AJ43" s="75" t="s">
        <v>188</v>
      </c>
      <c r="AK43" s="85">
        <v>880</v>
      </c>
      <c r="AL43" s="75" t="s">
        <v>188</v>
      </c>
      <c r="AM43" s="85">
        <v>880</v>
      </c>
      <c r="AN43" s="75" t="s">
        <v>188</v>
      </c>
      <c r="AO43" s="85">
        <v>880</v>
      </c>
      <c r="AP43" s="75" t="s">
        <v>188</v>
      </c>
      <c r="AQ43" s="85">
        <v>880</v>
      </c>
      <c r="AR43" s="75" t="s">
        <v>188</v>
      </c>
      <c r="AS43" s="85">
        <v>880</v>
      </c>
      <c r="AT43" s="75" t="s">
        <v>188</v>
      </c>
      <c r="AU43" s="85">
        <v>880</v>
      </c>
      <c r="AV43" s="75" t="s">
        <v>188</v>
      </c>
      <c r="AW43" s="85">
        <v>880</v>
      </c>
      <c r="AX43" s="75" t="s">
        <v>188</v>
      </c>
      <c r="AY43" s="85">
        <v>880</v>
      </c>
      <c r="AZ43" s="155" t="s">
        <v>188</v>
      </c>
      <c r="BA43" s="85">
        <v>880</v>
      </c>
      <c r="BB43" s="155" t="s">
        <v>188</v>
      </c>
      <c r="BC43" s="85">
        <v>880</v>
      </c>
      <c r="BD43" s="75" t="s">
        <v>188</v>
      </c>
      <c r="BE43" s="173">
        <v>880</v>
      </c>
      <c r="BF43" s="76" t="s">
        <v>188</v>
      </c>
      <c r="BG43" s="154">
        <v>713</v>
      </c>
      <c r="BH43" s="75" t="s">
        <v>188</v>
      </c>
      <c r="BI43" s="85">
        <v>712.8</v>
      </c>
      <c r="BJ43" s="75" t="s">
        <v>188</v>
      </c>
      <c r="BK43" s="85">
        <v>712.8</v>
      </c>
      <c r="BL43" s="75" t="s">
        <v>188</v>
      </c>
      <c r="BM43" s="85">
        <v>712.8</v>
      </c>
      <c r="BN43" s="75" t="s">
        <v>188</v>
      </c>
      <c r="BO43" s="85">
        <v>712.8</v>
      </c>
      <c r="BP43" s="75" t="s">
        <v>188</v>
      </c>
      <c r="BQ43" s="85">
        <v>712.8</v>
      </c>
      <c r="BR43" s="75" t="s">
        <v>188</v>
      </c>
      <c r="BS43" s="85">
        <v>712.8</v>
      </c>
      <c r="BT43" s="75" t="s">
        <v>188</v>
      </c>
      <c r="BU43" s="85">
        <v>712.8</v>
      </c>
      <c r="BV43" s="75" t="s">
        <v>188</v>
      </c>
      <c r="BW43" s="85">
        <v>712.8</v>
      </c>
      <c r="BX43" s="75" t="s">
        <v>188</v>
      </c>
      <c r="BY43" s="85">
        <v>712.8</v>
      </c>
      <c r="BZ43" s="75" t="s">
        <v>188</v>
      </c>
      <c r="CA43" s="85">
        <v>712.8</v>
      </c>
      <c r="CB43" s="155" t="s">
        <v>188</v>
      </c>
      <c r="CC43" s="85">
        <v>712.8</v>
      </c>
      <c r="CD43" s="155" t="s">
        <v>188</v>
      </c>
      <c r="CE43" s="85">
        <v>712.8</v>
      </c>
      <c r="CF43" s="75" t="s">
        <v>188</v>
      </c>
      <c r="CG43" s="173">
        <v>712.8</v>
      </c>
      <c r="CH43" s="76" t="s">
        <v>188</v>
      </c>
      <c r="CI43" s="154">
        <v>693</v>
      </c>
      <c r="CJ43" s="75" t="s">
        <v>188</v>
      </c>
      <c r="CK43" s="85">
        <v>692.55</v>
      </c>
      <c r="CL43" s="75" t="s">
        <v>188</v>
      </c>
      <c r="CM43" s="85">
        <v>692.55</v>
      </c>
      <c r="CN43" s="75" t="s">
        <v>188</v>
      </c>
      <c r="CO43" s="85">
        <v>692.55</v>
      </c>
      <c r="CP43" s="75" t="s">
        <v>188</v>
      </c>
      <c r="CQ43" s="85">
        <v>692.55</v>
      </c>
      <c r="CR43" s="75" t="s">
        <v>188</v>
      </c>
      <c r="CS43" s="85">
        <v>692.55</v>
      </c>
      <c r="CT43" s="75" t="s">
        <v>188</v>
      </c>
      <c r="CU43" s="85">
        <v>692.55</v>
      </c>
      <c r="CV43" s="75" t="s">
        <v>188</v>
      </c>
      <c r="CW43" s="85">
        <v>692.55</v>
      </c>
      <c r="CX43" s="75" t="s">
        <v>188</v>
      </c>
      <c r="CY43" s="85">
        <v>692.55</v>
      </c>
      <c r="CZ43" s="75" t="s">
        <v>188</v>
      </c>
      <c r="DA43" s="85">
        <v>692.55</v>
      </c>
      <c r="DB43" s="75" t="s">
        <v>188</v>
      </c>
      <c r="DC43" s="85">
        <v>692.55</v>
      </c>
      <c r="DD43" s="155" t="s">
        <v>188</v>
      </c>
      <c r="DE43" s="85">
        <v>692.55</v>
      </c>
      <c r="DF43" s="155" t="s">
        <v>188</v>
      </c>
      <c r="DG43" s="85">
        <v>692.55</v>
      </c>
      <c r="DH43" s="75" t="s">
        <v>188</v>
      </c>
      <c r="DI43" s="173">
        <v>692.55</v>
      </c>
      <c r="DJ43" s="76" t="s">
        <v>188</v>
      </c>
      <c r="DK43" s="90"/>
      <c r="DL43" s="90"/>
      <c r="DM43" s="90"/>
      <c r="DN43" s="90"/>
      <c r="DO43" s="90"/>
    </row>
    <row r="44" spans="1:119">
      <c r="A44" s="162" t="s">
        <v>14</v>
      </c>
      <c r="B44" s="149" t="s">
        <v>188</v>
      </c>
      <c r="C44" s="154" t="s">
        <v>188</v>
      </c>
      <c r="D44" s="75" t="s">
        <v>0</v>
      </c>
      <c r="E44" s="85" t="s">
        <v>188</v>
      </c>
      <c r="F44" s="75" t="s">
        <v>0</v>
      </c>
      <c r="G44" s="85" t="s">
        <v>188</v>
      </c>
      <c r="H44" s="75" t="s">
        <v>0</v>
      </c>
      <c r="I44" s="85" t="s">
        <v>188</v>
      </c>
      <c r="J44" s="75" t="s">
        <v>0</v>
      </c>
      <c r="K44" s="85" t="s">
        <v>188</v>
      </c>
      <c r="L44" s="75" t="s">
        <v>0</v>
      </c>
      <c r="M44" s="85" t="s">
        <v>188</v>
      </c>
      <c r="N44" s="75" t="s">
        <v>0</v>
      </c>
      <c r="O44" s="85" t="s">
        <v>188</v>
      </c>
      <c r="P44" s="75" t="s">
        <v>0</v>
      </c>
      <c r="Q44" s="85">
        <v>1792</v>
      </c>
      <c r="R44" s="75" t="s">
        <v>188</v>
      </c>
      <c r="S44" s="85">
        <v>1792</v>
      </c>
      <c r="T44" s="75" t="s">
        <v>188</v>
      </c>
      <c r="U44" s="85">
        <v>1792</v>
      </c>
      <c r="V44" s="75" t="s">
        <v>188</v>
      </c>
      <c r="W44" s="85" t="s">
        <v>188</v>
      </c>
      <c r="X44" s="75" t="s">
        <v>0</v>
      </c>
      <c r="Y44" s="85" t="s">
        <v>188</v>
      </c>
      <c r="Z44" s="155" t="s">
        <v>0</v>
      </c>
      <c r="AA44" s="85" t="s">
        <v>188</v>
      </c>
      <c r="AB44" s="75" t="s">
        <v>0</v>
      </c>
      <c r="AC44" s="173" t="s">
        <v>188</v>
      </c>
      <c r="AD44" s="76" t="s">
        <v>0</v>
      </c>
      <c r="AE44" s="154" t="s">
        <v>188</v>
      </c>
      <c r="AF44" s="75" t="s">
        <v>0</v>
      </c>
      <c r="AG44" s="85" t="s">
        <v>188</v>
      </c>
      <c r="AH44" s="75" t="s">
        <v>0</v>
      </c>
      <c r="AI44" s="85" t="s">
        <v>188</v>
      </c>
      <c r="AJ44" s="75" t="s">
        <v>0</v>
      </c>
      <c r="AK44" s="85" t="s">
        <v>188</v>
      </c>
      <c r="AL44" s="75" t="s">
        <v>0</v>
      </c>
      <c r="AM44" s="85" t="s">
        <v>188</v>
      </c>
      <c r="AN44" s="75" t="s">
        <v>0</v>
      </c>
      <c r="AO44" s="85" t="s">
        <v>188</v>
      </c>
      <c r="AP44" s="75" t="s">
        <v>0</v>
      </c>
      <c r="AQ44" s="85" t="s">
        <v>188</v>
      </c>
      <c r="AR44" s="75" t="s">
        <v>0</v>
      </c>
      <c r="AS44" s="85" t="s">
        <v>188</v>
      </c>
      <c r="AT44" s="75" t="s">
        <v>0</v>
      </c>
      <c r="AU44" s="85" t="s">
        <v>188</v>
      </c>
      <c r="AV44" s="75" t="s">
        <v>0</v>
      </c>
      <c r="AW44" s="85" t="s">
        <v>188</v>
      </c>
      <c r="AX44" s="75" t="s">
        <v>23</v>
      </c>
      <c r="AY44" s="85" t="s">
        <v>188</v>
      </c>
      <c r="AZ44" s="155" t="s">
        <v>23</v>
      </c>
      <c r="BA44" s="85" t="s">
        <v>188</v>
      </c>
      <c r="BB44" s="155" t="s">
        <v>23</v>
      </c>
      <c r="BC44" s="85" t="s">
        <v>188</v>
      </c>
      <c r="BD44" s="75" t="s">
        <v>23</v>
      </c>
      <c r="BE44" s="173" t="s">
        <v>188</v>
      </c>
      <c r="BF44" s="76" t="s">
        <v>23</v>
      </c>
      <c r="BG44" s="154" t="s">
        <v>188</v>
      </c>
      <c r="BH44" s="75" t="s">
        <v>0</v>
      </c>
      <c r="BI44" s="85" t="s">
        <v>188</v>
      </c>
      <c r="BJ44" s="75" t="s">
        <v>0</v>
      </c>
      <c r="BK44" s="85" t="s">
        <v>188</v>
      </c>
      <c r="BL44" s="75" t="s">
        <v>0</v>
      </c>
      <c r="BM44" s="85" t="s">
        <v>188</v>
      </c>
      <c r="BN44" s="75" t="s">
        <v>0</v>
      </c>
      <c r="BO44" s="85" t="s">
        <v>188</v>
      </c>
      <c r="BP44" s="75" t="s">
        <v>0</v>
      </c>
      <c r="BQ44" s="85" t="s">
        <v>188</v>
      </c>
      <c r="BR44" s="75" t="s">
        <v>0</v>
      </c>
      <c r="BS44" s="85" t="s">
        <v>188</v>
      </c>
      <c r="BT44" s="75" t="s">
        <v>0</v>
      </c>
      <c r="BU44" s="85" t="s">
        <v>188</v>
      </c>
      <c r="BV44" s="75" t="s">
        <v>0</v>
      </c>
      <c r="BW44" s="85" t="s">
        <v>188</v>
      </c>
      <c r="BX44" s="75" t="s">
        <v>0</v>
      </c>
      <c r="BY44" s="85" t="s">
        <v>188</v>
      </c>
      <c r="BZ44" s="75" t="s">
        <v>23</v>
      </c>
      <c r="CA44" s="85" t="s">
        <v>188</v>
      </c>
      <c r="CB44" s="155" t="s">
        <v>23</v>
      </c>
      <c r="CC44" s="85" t="s">
        <v>188</v>
      </c>
      <c r="CD44" s="155" t="s">
        <v>23</v>
      </c>
      <c r="CE44" s="85" t="s">
        <v>188</v>
      </c>
      <c r="CF44" s="75" t="s">
        <v>23</v>
      </c>
      <c r="CG44" s="173" t="s">
        <v>188</v>
      </c>
      <c r="CH44" s="76" t="s">
        <v>23</v>
      </c>
      <c r="CI44" s="154" t="s">
        <v>188</v>
      </c>
      <c r="CJ44" s="75" t="s">
        <v>0</v>
      </c>
      <c r="CK44" s="85" t="s">
        <v>188</v>
      </c>
      <c r="CL44" s="75" t="s">
        <v>0</v>
      </c>
      <c r="CM44" s="85" t="s">
        <v>188</v>
      </c>
      <c r="CN44" s="75" t="s">
        <v>0</v>
      </c>
      <c r="CO44" s="85" t="s">
        <v>188</v>
      </c>
      <c r="CP44" s="75" t="s">
        <v>0</v>
      </c>
      <c r="CQ44" s="85" t="s">
        <v>188</v>
      </c>
      <c r="CR44" s="75" t="s">
        <v>0</v>
      </c>
      <c r="CS44" s="85" t="s">
        <v>188</v>
      </c>
      <c r="CT44" s="75" t="s">
        <v>0</v>
      </c>
      <c r="CU44" s="85" t="s">
        <v>188</v>
      </c>
      <c r="CV44" s="75" t="s">
        <v>0</v>
      </c>
      <c r="CW44" s="85" t="s">
        <v>188</v>
      </c>
      <c r="CX44" s="75" t="s">
        <v>0</v>
      </c>
      <c r="CY44" s="85" t="s">
        <v>188</v>
      </c>
      <c r="CZ44" s="75" t="s">
        <v>0</v>
      </c>
      <c r="DA44" s="85" t="s">
        <v>188</v>
      </c>
      <c r="DB44" s="75" t="s">
        <v>23</v>
      </c>
      <c r="DC44" s="85" t="s">
        <v>188</v>
      </c>
      <c r="DD44" s="155" t="s">
        <v>23</v>
      </c>
      <c r="DE44" s="85" t="s">
        <v>188</v>
      </c>
      <c r="DF44" s="155" t="s">
        <v>23</v>
      </c>
      <c r="DG44" s="85" t="s">
        <v>188</v>
      </c>
      <c r="DH44" s="75" t="s">
        <v>23</v>
      </c>
      <c r="DI44" s="173" t="s">
        <v>188</v>
      </c>
      <c r="DJ44" s="76" t="s">
        <v>23</v>
      </c>
      <c r="DK44" s="90"/>
      <c r="DL44" s="90"/>
      <c r="DM44" s="90"/>
      <c r="DN44" s="90"/>
      <c r="DO44" s="90"/>
    </row>
    <row r="45" spans="1:119">
      <c r="A45" s="38" t="s">
        <v>15</v>
      </c>
      <c r="B45" s="153" t="s">
        <v>188</v>
      </c>
      <c r="C45" s="84" t="s">
        <v>188</v>
      </c>
      <c r="D45" s="77" t="s">
        <v>0</v>
      </c>
      <c r="E45" s="81" t="s">
        <v>188</v>
      </c>
      <c r="F45" s="77" t="s">
        <v>0</v>
      </c>
      <c r="G45" s="81" t="s">
        <v>188</v>
      </c>
      <c r="H45" s="77" t="s">
        <v>0</v>
      </c>
      <c r="I45" s="81" t="s">
        <v>188</v>
      </c>
      <c r="J45" s="77" t="s">
        <v>0</v>
      </c>
      <c r="K45" s="81" t="s">
        <v>188</v>
      </c>
      <c r="L45" s="77" t="s">
        <v>0</v>
      </c>
      <c r="M45" s="81" t="s">
        <v>188</v>
      </c>
      <c r="N45" s="77" t="s">
        <v>0</v>
      </c>
      <c r="O45" s="81" t="s">
        <v>188</v>
      </c>
      <c r="P45" s="77" t="s">
        <v>0</v>
      </c>
      <c r="Q45" s="81">
        <v>731</v>
      </c>
      <c r="R45" s="77" t="s">
        <v>188</v>
      </c>
      <c r="S45" s="81">
        <v>734</v>
      </c>
      <c r="T45" s="77" t="s">
        <v>188</v>
      </c>
      <c r="U45" s="81">
        <v>749</v>
      </c>
      <c r="V45" s="77" t="s">
        <v>188</v>
      </c>
      <c r="W45" s="81">
        <v>768</v>
      </c>
      <c r="X45" s="77" t="s">
        <v>188</v>
      </c>
      <c r="Y45" s="81">
        <v>769</v>
      </c>
      <c r="Z45" s="124" t="s">
        <v>188</v>
      </c>
      <c r="AA45" s="81">
        <v>778.99999999999989</v>
      </c>
      <c r="AB45" s="77" t="s">
        <v>188</v>
      </c>
      <c r="AC45" s="83">
        <v>778.99999999999989</v>
      </c>
      <c r="AD45" s="78" t="s">
        <v>188</v>
      </c>
      <c r="AE45" s="84">
        <v>884</v>
      </c>
      <c r="AF45" s="77" t="s">
        <v>188</v>
      </c>
      <c r="AG45" s="81" t="s">
        <v>188</v>
      </c>
      <c r="AH45" s="77" t="s">
        <v>0</v>
      </c>
      <c r="AI45" s="81" t="s">
        <v>188</v>
      </c>
      <c r="AJ45" s="77" t="s">
        <v>0</v>
      </c>
      <c r="AK45" s="81" t="s">
        <v>188</v>
      </c>
      <c r="AL45" s="77" t="s">
        <v>0</v>
      </c>
      <c r="AM45" s="81" t="s">
        <v>188</v>
      </c>
      <c r="AN45" s="77" t="s">
        <v>0</v>
      </c>
      <c r="AO45" s="81" t="s">
        <v>188</v>
      </c>
      <c r="AP45" s="77" t="s">
        <v>0</v>
      </c>
      <c r="AQ45" s="81" t="s">
        <v>188</v>
      </c>
      <c r="AR45" s="77" t="s">
        <v>0</v>
      </c>
      <c r="AS45" s="81">
        <v>811</v>
      </c>
      <c r="AT45" s="77" t="s">
        <v>188</v>
      </c>
      <c r="AU45" s="81">
        <v>810</v>
      </c>
      <c r="AV45" s="77" t="s">
        <v>188</v>
      </c>
      <c r="AW45" s="81">
        <v>809</v>
      </c>
      <c r="AX45" s="77" t="s">
        <v>188</v>
      </c>
      <c r="AY45" s="81">
        <v>806</v>
      </c>
      <c r="AZ45" s="124" t="s">
        <v>188</v>
      </c>
      <c r="BA45" s="81">
        <v>810</v>
      </c>
      <c r="BB45" s="124" t="s">
        <v>188</v>
      </c>
      <c r="BC45" s="81">
        <v>817</v>
      </c>
      <c r="BD45" s="77" t="s">
        <v>188</v>
      </c>
      <c r="BE45" s="83">
        <v>817</v>
      </c>
      <c r="BF45" s="78" t="s">
        <v>188</v>
      </c>
      <c r="BG45" s="84" t="s">
        <v>188</v>
      </c>
      <c r="BH45" s="77" t="s">
        <v>0</v>
      </c>
      <c r="BI45" s="81" t="s">
        <v>188</v>
      </c>
      <c r="BJ45" s="77" t="s">
        <v>0</v>
      </c>
      <c r="BK45" s="81" t="s">
        <v>188</v>
      </c>
      <c r="BL45" s="77" t="s">
        <v>0</v>
      </c>
      <c r="BM45" s="81" t="s">
        <v>188</v>
      </c>
      <c r="BN45" s="77" t="s">
        <v>0</v>
      </c>
      <c r="BO45" s="81" t="s">
        <v>188</v>
      </c>
      <c r="BP45" s="77" t="s">
        <v>0</v>
      </c>
      <c r="BQ45" s="81" t="s">
        <v>188</v>
      </c>
      <c r="BR45" s="77" t="s">
        <v>0</v>
      </c>
      <c r="BS45" s="81" t="s">
        <v>188</v>
      </c>
      <c r="BT45" s="77" t="s">
        <v>0</v>
      </c>
      <c r="BU45" s="81">
        <v>766</v>
      </c>
      <c r="BV45" s="77" t="s">
        <v>188</v>
      </c>
      <c r="BW45" s="81">
        <v>762</v>
      </c>
      <c r="BX45" s="77" t="s">
        <v>188</v>
      </c>
      <c r="BY45" s="81">
        <v>762</v>
      </c>
      <c r="BZ45" s="77" t="s">
        <v>188</v>
      </c>
      <c r="CA45" s="81">
        <v>764</v>
      </c>
      <c r="CB45" s="124" t="s">
        <v>188</v>
      </c>
      <c r="CC45" s="81">
        <v>765</v>
      </c>
      <c r="CD45" s="124" t="s">
        <v>188</v>
      </c>
      <c r="CE45" s="81">
        <v>760</v>
      </c>
      <c r="CF45" s="77" t="s">
        <v>188</v>
      </c>
      <c r="CG45" s="83">
        <v>760</v>
      </c>
      <c r="CH45" s="78" t="s">
        <v>188</v>
      </c>
      <c r="CI45" s="84">
        <v>674</v>
      </c>
      <c r="CJ45" s="77" t="s">
        <v>188</v>
      </c>
      <c r="CK45" s="81" t="s">
        <v>188</v>
      </c>
      <c r="CL45" s="77" t="s">
        <v>0</v>
      </c>
      <c r="CM45" s="81" t="s">
        <v>188</v>
      </c>
      <c r="CN45" s="77" t="s">
        <v>0</v>
      </c>
      <c r="CO45" s="81" t="s">
        <v>188</v>
      </c>
      <c r="CP45" s="77" t="s">
        <v>0</v>
      </c>
      <c r="CQ45" s="81" t="s">
        <v>188</v>
      </c>
      <c r="CR45" s="77" t="s">
        <v>0</v>
      </c>
      <c r="CS45" s="81" t="s">
        <v>188</v>
      </c>
      <c r="CT45" s="77" t="s">
        <v>0</v>
      </c>
      <c r="CU45" s="81" t="s">
        <v>188</v>
      </c>
      <c r="CV45" s="77" t="s">
        <v>0</v>
      </c>
      <c r="CW45" s="81">
        <v>656</v>
      </c>
      <c r="CX45" s="77" t="s">
        <v>188</v>
      </c>
      <c r="CY45" s="81">
        <v>659</v>
      </c>
      <c r="CZ45" s="77" t="s">
        <v>188</v>
      </c>
      <c r="DA45" s="81">
        <v>652</v>
      </c>
      <c r="DB45" s="77" t="s">
        <v>188</v>
      </c>
      <c r="DC45" s="81">
        <v>655</v>
      </c>
      <c r="DD45" s="124" t="s">
        <v>188</v>
      </c>
      <c r="DE45" s="81">
        <v>656</v>
      </c>
      <c r="DF45" s="124" t="s">
        <v>188</v>
      </c>
      <c r="DG45" s="81">
        <v>646</v>
      </c>
      <c r="DH45" s="77" t="s">
        <v>188</v>
      </c>
      <c r="DI45" s="83">
        <v>646</v>
      </c>
      <c r="DJ45" s="78" t="s">
        <v>188</v>
      </c>
      <c r="DK45" s="90"/>
      <c r="DL45" s="90"/>
      <c r="DM45" s="90"/>
      <c r="DN45" s="90"/>
      <c r="DO45" s="90"/>
    </row>
    <row r="46" spans="1:119">
      <c r="A46" s="38" t="s">
        <v>16</v>
      </c>
      <c r="B46" s="153" t="s">
        <v>188</v>
      </c>
      <c r="C46" s="84">
        <v>1080</v>
      </c>
      <c r="D46" s="77" t="s">
        <v>188</v>
      </c>
      <c r="E46" s="81">
        <v>1080</v>
      </c>
      <c r="F46" s="77" t="s">
        <v>188</v>
      </c>
      <c r="G46" s="81">
        <v>1080</v>
      </c>
      <c r="H46" s="77" t="s">
        <v>188</v>
      </c>
      <c r="I46" s="81">
        <v>1080</v>
      </c>
      <c r="J46" s="77" t="s">
        <v>188</v>
      </c>
      <c r="K46" s="81">
        <v>1080</v>
      </c>
      <c r="L46" s="77" t="s">
        <v>188</v>
      </c>
      <c r="M46" s="81">
        <v>1080</v>
      </c>
      <c r="N46" s="77" t="s">
        <v>188</v>
      </c>
      <c r="O46" s="81">
        <v>1080</v>
      </c>
      <c r="P46" s="77" t="s">
        <v>188</v>
      </c>
      <c r="Q46" s="81">
        <v>1080</v>
      </c>
      <c r="R46" s="77" t="s">
        <v>188</v>
      </c>
      <c r="S46" s="81">
        <v>1080</v>
      </c>
      <c r="T46" s="77" t="s">
        <v>188</v>
      </c>
      <c r="U46" s="81">
        <v>1080</v>
      </c>
      <c r="V46" s="77" t="s">
        <v>188</v>
      </c>
      <c r="W46" s="81">
        <v>1080</v>
      </c>
      <c r="X46" s="77" t="s">
        <v>188</v>
      </c>
      <c r="Y46" s="81">
        <v>1080</v>
      </c>
      <c r="Z46" s="124" t="s">
        <v>188</v>
      </c>
      <c r="AA46" s="81">
        <v>1080</v>
      </c>
      <c r="AB46" s="77" t="s">
        <v>188</v>
      </c>
      <c r="AC46" s="83">
        <v>1080</v>
      </c>
      <c r="AD46" s="78" t="s">
        <v>188</v>
      </c>
      <c r="AE46" s="84">
        <v>720</v>
      </c>
      <c r="AF46" s="77" t="s">
        <v>188</v>
      </c>
      <c r="AG46" s="81">
        <v>720</v>
      </c>
      <c r="AH46" s="77" t="s">
        <v>188</v>
      </c>
      <c r="AI46" s="81">
        <v>720</v>
      </c>
      <c r="AJ46" s="77" t="s">
        <v>188</v>
      </c>
      <c r="AK46" s="81">
        <v>720</v>
      </c>
      <c r="AL46" s="77" t="s">
        <v>188</v>
      </c>
      <c r="AM46" s="81">
        <v>720</v>
      </c>
      <c r="AN46" s="77" t="s">
        <v>188</v>
      </c>
      <c r="AO46" s="81">
        <v>720</v>
      </c>
      <c r="AP46" s="77" t="s">
        <v>188</v>
      </c>
      <c r="AQ46" s="81">
        <v>720</v>
      </c>
      <c r="AR46" s="77" t="s">
        <v>188</v>
      </c>
      <c r="AS46" s="81">
        <v>720</v>
      </c>
      <c r="AT46" s="77" t="s">
        <v>188</v>
      </c>
      <c r="AU46" s="81">
        <v>720</v>
      </c>
      <c r="AV46" s="77" t="s">
        <v>188</v>
      </c>
      <c r="AW46" s="81">
        <v>720</v>
      </c>
      <c r="AX46" s="77" t="s">
        <v>188</v>
      </c>
      <c r="AY46" s="81">
        <v>720</v>
      </c>
      <c r="AZ46" s="124" t="s">
        <v>188</v>
      </c>
      <c r="BA46" s="81">
        <v>720</v>
      </c>
      <c r="BB46" s="124" t="s">
        <v>188</v>
      </c>
      <c r="BC46" s="81">
        <v>720</v>
      </c>
      <c r="BD46" s="77" t="s">
        <v>188</v>
      </c>
      <c r="BE46" s="83">
        <v>720</v>
      </c>
      <c r="BF46" s="78" t="s">
        <v>188</v>
      </c>
      <c r="BG46" s="84">
        <v>504</v>
      </c>
      <c r="BH46" s="77" t="s">
        <v>188</v>
      </c>
      <c r="BI46" s="81">
        <v>504</v>
      </c>
      <c r="BJ46" s="77" t="s">
        <v>188</v>
      </c>
      <c r="BK46" s="81">
        <v>504</v>
      </c>
      <c r="BL46" s="77" t="s">
        <v>188</v>
      </c>
      <c r="BM46" s="81">
        <v>504</v>
      </c>
      <c r="BN46" s="77" t="s">
        <v>188</v>
      </c>
      <c r="BO46" s="81">
        <v>504</v>
      </c>
      <c r="BP46" s="77" t="s">
        <v>188</v>
      </c>
      <c r="BQ46" s="81">
        <v>504</v>
      </c>
      <c r="BR46" s="77" t="s">
        <v>188</v>
      </c>
      <c r="BS46" s="81">
        <v>504</v>
      </c>
      <c r="BT46" s="77" t="s">
        <v>188</v>
      </c>
      <c r="BU46" s="81">
        <v>504</v>
      </c>
      <c r="BV46" s="77" t="s">
        <v>188</v>
      </c>
      <c r="BW46" s="81">
        <v>503.99999999999994</v>
      </c>
      <c r="BX46" s="77" t="s">
        <v>188</v>
      </c>
      <c r="BY46" s="81">
        <v>503.99999999999994</v>
      </c>
      <c r="BZ46" s="77" t="s">
        <v>188</v>
      </c>
      <c r="CA46" s="81">
        <v>503.99999999999994</v>
      </c>
      <c r="CB46" s="124" t="s">
        <v>188</v>
      </c>
      <c r="CC46" s="81">
        <v>503.99999999999994</v>
      </c>
      <c r="CD46" s="124" t="s">
        <v>188</v>
      </c>
      <c r="CE46" s="81">
        <v>503.99999999999994</v>
      </c>
      <c r="CF46" s="77" t="s">
        <v>188</v>
      </c>
      <c r="CG46" s="83">
        <v>503.99999999999994</v>
      </c>
      <c r="CH46" s="78" t="s">
        <v>188</v>
      </c>
      <c r="CI46" s="84">
        <v>567</v>
      </c>
      <c r="CJ46" s="77" t="s">
        <v>188</v>
      </c>
      <c r="CK46" s="81">
        <v>567</v>
      </c>
      <c r="CL46" s="77" t="s">
        <v>188</v>
      </c>
      <c r="CM46" s="81">
        <v>567</v>
      </c>
      <c r="CN46" s="77" t="s">
        <v>188</v>
      </c>
      <c r="CO46" s="81">
        <v>567</v>
      </c>
      <c r="CP46" s="77" t="s">
        <v>188</v>
      </c>
      <c r="CQ46" s="81">
        <v>567</v>
      </c>
      <c r="CR46" s="77" t="s">
        <v>188</v>
      </c>
      <c r="CS46" s="81">
        <v>567</v>
      </c>
      <c r="CT46" s="77" t="s">
        <v>188</v>
      </c>
      <c r="CU46" s="81">
        <v>567</v>
      </c>
      <c r="CV46" s="77" t="s">
        <v>188</v>
      </c>
      <c r="CW46" s="81">
        <v>567</v>
      </c>
      <c r="CX46" s="77" t="s">
        <v>188</v>
      </c>
      <c r="CY46" s="81">
        <v>567</v>
      </c>
      <c r="CZ46" s="77" t="s">
        <v>188</v>
      </c>
      <c r="DA46" s="81">
        <v>503.99999999999994</v>
      </c>
      <c r="DB46" s="77" t="s">
        <v>188</v>
      </c>
      <c r="DC46" s="81">
        <v>503.99999999999994</v>
      </c>
      <c r="DD46" s="124" t="s">
        <v>188</v>
      </c>
      <c r="DE46" s="81">
        <v>503.99999999999994</v>
      </c>
      <c r="DF46" s="124" t="s">
        <v>188</v>
      </c>
      <c r="DG46" s="81">
        <v>503.99999999999994</v>
      </c>
      <c r="DH46" s="77" t="s">
        <v>188</v>
      </c>
      <c r="DI46" s="83">
        <v>503.99999999999994</v>
      </c>
      <c r="DJ46" s="78" t="s">
        <v>188</v>
      </c>
      <c r="DK46" s="90"/>
      <c r="DL46" s="90"/>
      <c r="DM46" s="90"/>
      <c r="DN46" s="90"/>
      <c r="DO46" s="90"/>
    </row>
    <row r="47" spans="1:119">
      <c r="A47" s="162" t="s">
        <v>22</v>
      </c>
      <c r="B47" s="149">
        <v>2</v>
      </c>
      <c r="C47" s="154" t="s">
        <v>188</v>
      </c>
      <c r="D47" s="75" t="s">
        <v>0</v>
      </c>
      <c r="E47" s="85" t="s">
        <v>188</v>
      </c>
      <c r="F47" s="75" t="s">
        <v>0</v>
      </c>
      <c r="G47" s="85" t="s">
        <v>188</v>
      </c>
      <c r="H47" s="75" t="s">
        <v>0</v>
      </c>
      <c r="I47" s="85" t="s">
        <v>188</v>
      </c>
      <c r="J47" s="75" t="s">
        <v>0</v>
      </c>
      <c r="K47" s="85" t="s">
        <v>188</v>
      </c>
      <c r="L47" s="75" t="s">
        <v>0</v>
      </c>
      <c r="M47" s="85" t="s">
        <v>188</v>
      </c>
      <c r="N47" s="75" t="s">
        <v>0</v>
      </c>
      <c r="O47" s="85" t="s">
        <v>188</v>
      </c>
      <c r="P47" s="75" t="s">
        <v>0</v>
      </c>
      <c r="Q47" s="85" t="s">
        <v>188</v>
      </c>
      <c r="R47" s="75" t="s">
        <v>0</v>
      </c>
      <c r="S47" s="85" t="s">
        <v>188</v>
      </c>
      <c r="T47" s="75" t="s">
        <v>0</v>
      </c>
      <c r="U47" s="85" t="s">
        <v>188</v>
      </c>
      <c r="V47" s="75" t="s">
        <v>0</v>
      </c>
      <c r="W47" s="85" t="s">
        <v>188</v>
      </c>
      <c r="X47" s="75" t="s">
        <v>0</v>
      </c>
      <c r="Y47" s="85">
        <v>1010.7090000000001</v>
      </c>
      <c r="Z47" s="155" t="s">
        <v>188</v>
      </c>
      <c r="AA47" s="85">
        <v>1010.7090000000001</v>
      </c>
      <c r="AB47" s="75" t="s">
        <v>188</v>
      </c>
      <c r="AC47" s="173" t="s">
        <v>188</v>
      </c>
      <c r="AD47" s="76" t="s">
        <v>0</v>
      </c>
      <c r="AE47" s="154" t="s">
        <v>188</v>
      </c>
      <c r="AF47" s="75" t="s">
        <v>0</v>
      </c>
      <c r="AG47" s="85" t="s">
        <v>188</v>
      </c>
      <c r="AH47" s="75" t="s">
        <v>0</v>
      </c>
      <c r="AI47" s="85" t="s">
        <v>188</v>
      </c>
      <c r="AJ47" s="75" t="s">
        <v>0</v>
      </c>
      <c r="AK47" s="85" t="s">
        <v>188</v>
      </c>
      <c r="AL47" s="75" t="s">
        <v>0</v>
      </c>
      <c r="AM47" s="85" t="s">
        <v>188</v>
      </c>
      <c r="AN47" s="75" t="s">
        <v>0</v>
      </c>
      <c r="AO47" s="85" t="s">
        <v>188</v>
      </c>
      <c r="AP47" s="75" t="s">
        <v>0</v>
      </c>
      <c r="AQ47" s="85" t="s">
        <v>188</v>
      </c>
      <c r="AR47" s="75" t="s">
        <v>0</v>
      </c>
      <c r="AS47" s="85" t="s">
        <v>188</v>
      </c>
      <c r="AT47" s="75" t="s">
        <v>0</v>
      </c>
      <c r="AU47" s="85" t="s">
        <v>188</v>
      </c>
      <c r="AV47" s="75" t="s">
        <v>0</v>
      </c>
      <c r="AW47" s="85" t="s">
        <v>188</v>
      </c>
      <c r="AX47" s="75" t="s">
        <v>0</v>
      </c>
      <c r="AY47" s="85" t="s">
        <v>188</v>
      </c>
      <c r="AZ47" s="155" t="s">
        <v>0</v>
      </c>
      <c r="BA47" s="85">
        <v>1004.3748000000001</v>
      </c>
      <c r="BB47" s="155" t="s">
        <v>188</v>
      </c>
      <c r="BC47" s="85">
        <v>1004.3748000000001</v>
      </c>
      <c r="BD47" s="75" t="s">
        <v>188</v>
      </c>
      <c r="BE47" s="173" t="s">
        <v>188</v>
      </c>
      <c r="BF47" s="76" t="s">
        <v>0</v>
      </c>
      <c r="BG47" s="154" t="s">
        <v>188</v>
      </c>
      <c r="BH47" s="75" t="s">
        <v>0</v>
      </c>
      <c r="BI47" s="85" t="s">
        <v>188</v>
      </c>
      <c r="BJ47" s="75" t="s">
        <v>0</v>
      </c>
      <c r="BK47" s="85" t="s">
        <v>188</v>
      </c>
      <c r="BL47" s="75" t="s">
        <v>0</v>
      </c>
      <c r="BM47" s="85" t="s">
        <v>188</v>
      </c>
      <c r="BN47" s="75" t="s">
        <v>0</v>
      </c>
      <c r="BO47" s="85" t="s">
        <v>188</v>
      </c>
      <c r="BP47" s="75" t="s">
        <v>0</v>
      </c>
      <c r="BQ47" s="85" t="s">
        <v>188</v>
      </c>
      <c r="BR47" s="75" t="s">
        <v>0</v>
      </c>
      <c r="BS47" s="85" t="s">
        <v>188</v>
      </c>
      <c r="BT47" s="75" t="s">
        <v>0</v>
      </c>
      <c r="BU47" s="85" t="s">
        <v>188</v>
      </c>
      <c r="BV47" s="75" t="s">
        <v>0</v>
      </c>
      <c r="BW47" s="85" t="s">
        <v>188</v>
      </c>
      <c r="BX47" s="75" t="s">
        <v>0</v>
      </c>
      <c r="BY47" s="85">
        <v>981.02061480048314</v>
      </c>
      <c r="BZ47" s="75" t="s">
        <v>188</v>
      </c>
      <c r="CA47" s="85" t="s">
        <v>188</v>
      </c>
      <c r="CB47" s="155" t="s">
        <v>0</v>
      </c>
      <c r="CC47" s="85">
        <v>966.36311999999998</v>
      </c>
      <c r="CD47" s="155" t="s">
        <v>188</v>
      </c>
      <c r="CE47" s="85">
        <v>966.36311999999998</v>
      </c>
      <c r="CF47" s="75" t="s">
        <v>188</v>
      </c>
      <c r="CG47" s="173" t="s">
        <v>188</v>
      </c>
      <c r="CH47" s="76" t="s">
        <v>0</v>
      </c>
      <c r="CI47" s="154" t="s">
        <v>188</v>
      </c>
      <c r="CJ47" s="75" t="s">
        <v>0</v>
      </c>
      <c r="CK47" s="85" t="s">
        <v>188</v>
      </c>
      <c r="CL47" s="75" t="s">
        <v>0</v>
      </c>
      <c r="CM47" s="85" t="s">
        <v>188</v>
      </c>
      <c r="CN47" s="75" t="s">
        <v>0</v>
      </c>
      <c r="CO47" s="85" t="s">
        <v>188</v>
      </c>
      <c r="CP47" s="75" t="s">
        <v>0</v>
      </c>
      <c r="CQ47" s="85" t="s">
        <v>188</v>
      </c>
      <c r="CR47" s="75" t="s">
        <v>0</v>
      </c>
      <c r="CS47" s="85" t="s">
        <v>188</v>
      </c>
      <c r="CT47" s="75" t="s">
        <v>0</v>
      </c>
      <c r="CU47" s="85" t="s">
        <v>188</v>
      </c>
      <c r="CV47" s="75" t="s">
        <v>0</v>
      </c>
      <c r="CW47" s="85" t="s">
        <v>188</v>
      </c>
      <c r="CX47" s="75" t="s">
        <v>0</v>
      </c>
      <c r="CY47" s="85" t="s">
        <v>188</v>
      </c>
      <c r="CZ47" s="75" t="s">
        <v>0</v>
      </c>
      <c r="DA47" s="85" t="s">
        <v>188</v>
      </c>
      <c r="DB47" s="75" t="s">
        <v>0</v>
      </c>
      <c r="DC47" s="85" t="s">
        <v>188</v>
      </c>
      <c r="DD47" s="155" t="s">
        <v>0</v>
      </c>
      <c r="DE47" s="85">
        <v>965.67012</v>
      </c>
      <c r="DF47" s="155" t="s">
        <v>188</v>
      </c>
      <c r="DG47" s="85">
        <v>965.67012</v>
      </c>
      <c r="DH47" s="75" t="s">
        <v>188</v>
      </c>
      <c r="DI47" s="173" t="s">
        <v>188</v>
      </c>
      <c r="DJ47" s="76" t="s">
        <v>0</v>
      </c>
      <c r="DK47" s="90"/>
      <c r="DL47" s="90"/>
      <c r="DM47" s="90"/>
      <c r="DN47" s="90"/>
      <c r="DO47" s="90"/>
    </row>
    <row r="48" spans="1:119">
      <c r="A48" s="38"/>
      <c r="B48" s="79"/>
      <c r="C48" s="84"/>
      <c r="D48" s="77"/>
      <c r="E48" s="81"/>
      <c r="F48" s="77"/>
      <c r="G48" s="81"/>
      <c r="H48" s="77"/>
      <c r="I48" s="81"/>
      <c r="J48" s="77"/>
      <c r="K48" s="81"/>
      <c r="L48" s="77"/>
      <c r="M48" s="81"/>
      <c r="N48" s="77"/>
      <c r="O48" s="81"/>
      <c r="P48" s="77"/>
      <c r="Q48" s="81"/>
      <c r="R48" s="77"/>
      <c r="S48" s="81"/>
      <c r="T48" s="77"/>
      <c r="U48" s="81"/>
      <c r="V48" s="77"/>
      <c r="W48" s="81"/>
      <c r="X48" s="77"/>
      <c r="Y48" s="81"/>
      <c r="Z48" s="124"/>
      <c r="AA48" s="81"/>
      <c r="AB48" s="77"/>
      <c r="AC48" s="83"/>
      <c r="AD48" s="78"/>
      <c r="AE48" s="84"/>
      <c r="AF48" s="77"/>
      <c r="AG48" s="81"/>
      <c r="AH48" s="77"/>
      <c r="AI48" s="81"/>
      <c r="AJ48" s="77"/>
      <c r="AK48" s="81"/>
      <c r="AL48" s="77"/>
      <c r="AM48" s="81"/>
      <c r="AN48" s="77"/>
      <c r="AO48" s="81"/>
      <c r="AP48" s="77"/>
      <c r="AQ48" s="81"/>
      <c r="AR48" s="77"/>
      <c r="AS48" s="81"/>
      <c r="AT48" s="77"/>
      <c r="AU48" s="81"/>
      <c r="AV48" s="77"/>
      <c r="AW48" s="81"/>
      <c r="AX48" s="77"/>
      <c r="AY48" s="83"/>
      <c r="AZ48" s="124"/>
      <c r="BA48" s="81"/>
      <c r="BB48" s="124"/>
      <c r="BC48" s="81"/>
      <c r="BD48" s="77"/>
      <c r="BE48" s="83"/>
      <c r="BF48" s="78"/>
      <c r="BG48" s="84"/>
      <c r="BH48" s="77"/>
      <c r="BI48" s="81"/>
      <c r="BJ48" s="77"/>
      <c r="BK48" s="81"/>
      <c r="BL48" s="77"/>
      <c r="BM48" s="81"/>
      <c r="BN48" s="77"/>
      <c r="BO48" s="81"/>
      <c r="BP48" s="77"/>
      <c r="BQ48" s="81"/>
      <c r="BR48" s="77"/>
      <c r="BS48" s="81"/>
      <c r="BT48" s="77"/>
      <c r="BU48" s="81"/>
      <c r="BV48" s="77"/>
      <c r="BW48" s="81"/>
      <c r="BX48" s="77"/>
      <c r="BY48" s="81"/>
      <c r="BZ48" s="77"/>
      <c r="CA48" s="83"/>
      <c r="CB48" s="124"/>
      <c r="CC48" s="81"/>
      <c r="CD48" s="124"/>
      <c r="CE48" s="81"/>
      <c r="CF48" s="77"/>
      <c r="CG48" s="83"/>
      <c r="CH48" s="78"/>
      <c r="CI48" s="84"/>
      <c r="CJ48" s="77"/>
      <c r="CK48" s="81"/>
      <c r="CL48" s="77"/>
      <c r="CM48" s="81"/>
      <c r="CN48" s="77"/>
      <c r="CO48" s="81"/>
      <c r="CP48" s="77"/>
      <c r="CQ48" s="81"/>
      <c r="CR48" s="77"/>
      <c r="CS48" s="81"/>
      <c r="CT48" s="77"/>
      <c r="CU48" s="81"/>
      <c r="CV48" s="77"/>
      <c r="CW48" s="81"/>
      <c r="CX48" s="77"/>
      <c r="CY48" s="81"/>
      <c r="CZ48" s="77"/>
      <c r="DA48" s="81"/>
      <c r="DB48" s="77"/>
      <c r="DC48" s="83"/>
      <c r="DD48" s="124"/>
      <c r="DE48" s="81"/>
      <c r="DF48" s="124"/>
      <c r="DG48" s="81"/>
      <c r="DH48" s="77"/>
      <c r="DI48" s="83"/>
      <c r="DJ48" s="78"/>
      <c r="DK48" s="90"/>
      <c r="DL48" s="90"/>
      <c r="DM48" s="90"/>
      <c r="DN48" s="90"/>
      <c r="DO48" s="90"/>
    </row>
    <row r="49" spans="1:119">
      <c r="A49" s="217" t="s">
        <v>149</v>
      </c>
      <c r="B49" s="79"/>
      <c r="C49" s="84"/>
      <c r="D49" s="77"/>
      <c r="E49" s="81"/>
      <c r="F49" s="77"/>
      <c r="G49" s="81"/>
      <c r="H49" s="77"/>
      <c r="I49" s="81"/>
      <c r="J49" s="77"/>
      <c r="K49" s="81"/>
      <c r="L49" s="77"/>
      <c r="M49" s="81"/>
      <c r="N49" s="77"/>
      <c r="O49" s="81"/>
      <c r="P49" s="77"/>
      <c r="Q49" s="81"/>
      <c r="R49" s="77"/>
      <c r="S49" s="81"/>
      <c r="T49" s="77"/>
      <c r="U49" s="81"/>
      <c r="V49" s="77"/>
      <c r="W49" s="81"/>
      <c r="X49" s="77"/>
      <c r="Y49" s="81"/>
      <c r="Z49" s="124"/>
      <c r="AA49" s="81"/>
      <c r="AB49" s="77"/>
      <c r="AC49" s="83"/>
      <c r="AD49" s="78"/>
      <c r="AE49" s="84"/>
      <c r="AF49" s="77"/>
      <c r="AG49" s="81"/>
      <c r="AH49" s="77"/>
      <c r="AI49" s="81"/>
      <c r="AJ49" s="77"/>
      <c r="AK49" s="81"/>
      <c r="AL49" s="77"/>
      <c r="AM49" s="81"/>
      <c r="AN49" s="77"/>
      <c r="AO49" s="81"/>
      <c r="AP49" s="77"/>
      <c r="AQ49" s="81"/>
      <c r="AR49" s="77"/>
      <c r="AS49" s="81"/>
      <c r="AT49" s="77"/>
      <c r="AU49" s="81"/>
      <c r="AV49" s="77"/>
      <c r="AW49" s="81"/>
      <c r="AX49" s="77"/>
      <c r="AY49" s="83"/>
      <c r="AZ49" s="124"/>
      <c r="BA49" s="81"/>
      <c r="BB49" s="124"/>
      <c r="BC49" s="81"/>
      <c r="BD49" s="77"/>
      <c r="BE49" s="83"/>
      <c r="BF49" s="78"/>
      <c r="BG49" s="84"/>
      <c r="BH49" s="77"/>
      <c r="BI49" s="81"/>
      <c r="BJ49" s="77"/>
      <c r="BK49" s="81"/>
      <c r="BL49" s="77"/>
      <c r="BM49" s="81"/>
      <c r="BN49" s="77"/>
      <c r="BO49" s="81"/>
      <c r="BP49" s="77"/>
      <c r="BQ49" s="81"/>
      <c r="BR49" s="77"/>
      <c r="BS49" s="81"/>
      <c r="BT49" s="77"/>
      <c r="BU49" s="81"/>
      <c r="BV49" s="77"/>
      <c r="BW49" s="81"/>
      <c r="BX49" s="77"/>
      <c r="BY49" s="81"/>
      <c r="BZ49" s="77"/>
      <c r="CA49" s="83"/>
      <c r="CB49" s="124"/>
      <c r="CC49" s="81"/>
      <c r="CD49" s="124"/>
      <c r="CE49" s="81"/>
      <c r="CF49" s="77"/>
      <c r="CG49" s="83"/>
      <c r="CH49" s="78"/>
      <c r="CI49" s="84"/>
      <c r="CJ49" s="77"/>
      <c r="CK49" s="81"/>
      <c r="CL49" s="77"/>
      <c r="CM49" s="81"/>
      <c r="CN49" s="77"/>
      <c r="CO49" s="81"/>
      <c r="CP49" s="77"/>
      <c r="CQ49" s="81"/>
      <c r="CR49" s="77"/>
      <c r="CS49" s="81"/>
      <c r="CT49" s="77"/>
      <c r="CU49" s="81"/>
      <c r="CV49" s="77"/>
      <c r="CW49" s="81"/>
      <c r="CX49" s="77"/>
      <c r="CY49" s="81"/>
      <c r="CZ49" s="77"/>
      <c r="DA49" s="81"/>
      <c r="DB49" s="77"/>
      <c r="DC49" s="83"/>
      <c r="DD49" s="124"/>
      <c r="DE49" s="81"/>
      <c r="DF49" s="124"/>
      <c r="DG49" s="81"/>
      <c r="DH49" s="77"/>
      <c r="DI49" s="83"/>
      <c r="DJ49" s="78"/>
      <c r="DK49" s="90"/>
      <c r="DL49" s="90"/>
      <c r="DM49" s="90"/>
      <c r="DN49" s="90"/>
      <c r="DO49" s="90"/>
    </row>
    <row r="50" spans="1:119">
      <c r="A50" s="162" t="s">
        <v>155</v>
      </c>
      <c r="B50" s="149" t="s">
        <v>188</v>
      </c>
      <c r="C50" s="154">
        <v>753.51851851851848</v>
      </c>
      <c r="D50" s="75" t="s">
        <v>188</v>
      </c>
      <c r="E50" s="85">
        <v>733.7962962962963</v>
      </c>
      <c r="F50" s="75" t="s">
        <v>188</v>
      </c>
      <c r="G50" s="85">
        <v>724.53703703703707</v>
      </c>
      <c r="H50" s="75" t="s">
        <v>188</v>
      </c>
      <c r="I50" s="85">
        <v>733.7962962962963</v>
      </c>
      <c r="J50" s="75" t="s">
        <v>188</v>
      </c>
      <c r="K50" s="85">
        <v>738.42592592592598</v>
      </c>
      <c r="L50" s="75" t="s">
        <v>188</v>
      </c>
      <c r="M50" s="85">
        <v>729.16666666666674</v>
      </c>
      <c r="N50" s="75" t="s">
        <v>188</v>
      </c>
      <c r="O50" s="85">
        <v>733.7962962962963</v>
      </c>
      <c r="P50" s="75" t="s">
        <v>188</v>
      </c>
      <c r="Q50" s="85">
        <v>729.16666666666674</v>
      </c>
      <c r="R50" s="75" t="s">
        <v>188</v>
      </c>
      <c r="S50" s="85">
        <v>729.16666666666674</v>
      </c>
      <c r="T50" s="75" t="s">
        <v>188</v>
      </c>
      <c r="U50" s="85">
        <v>733.7962962962963</v>
      </c>
      <c r="V50" s="75" t="s">
        <v>188</v>
      </c>
      <c r="W50" s="85">
        <v>724.53703703703707</v>
      </c>
      <c r="X50" s="75" t="s">
        <v>188</v>
      </c>
      <c r="Y50" s="85">
        <v>729.16666666666674</v>
      </c>
      <c r="Z50" s="155" t="s">
        <v>188</v>
      </c>
      <c r="AA50" s="85">
        <v>733.7962962962963</v>
      </c>
      <c r="AB50" s="75" t="s">
        <v>188</v>
      </c>
      <c r="AC50" s="173">
        <v>724.53703703703707</v>
      </c>
      <c r="AD50" s="76" t="s">
        <v>188</v>
      </c>
      <c r="AE50" s="154">
        <v>753.51851851851848</v>
      </c>
      <c r="AF50" s="75" t="s">
        <v>188</v>
      </c>
      <c r="AG50" s="85">
        <v>748.47222222222229</v>
      </c>
      <c r="AH50" s="75" t="s">
        <v>188</v>
      </c>
      <c r="AI50" s="85">
        <v>739.02777777777783</v>
      </c>
      <c r="AJ50" s="75" t="s">
        <v>188</v>
      </c>
      <c r="AK50" s="85">
        <v>748.47222222222229</v>
      </c>
      <c r="AL50" s="75" t="s">
        <v>188</v>
      </c>
      <c r="AM50" s="85">
        <v>753.19444444444446</v>
      </c>
      <c r="AN50" s="75" t="s">
        <v>188</v>
      </c>
      <c r="AO50" s="85">
        <v>743.75</v>
      </c>
      <c r="AP50" s="75" t="s">
        <v>188</v>
      </c>
      <c r="AQ50" s="85">
        <v>748.47222222222229</v>
      </c>
      <c r="AR50" s="75" t="s">
        <v>188</v>
      </c>
      <c r="AS50" s="85">
        <v>743.75</v>
      </c>
      <c r="AT50" s="75" t="s">
        <v>188</v>
      </c>
      <c r="AU50" s="85">
        <v>743.75</v>
      </c>
      <c r="AV50" s="75" t="s">
        <v>188</v>
      </c>
      <c r="AW50" s="85">
        <v>748.47222222222229</v>
      </c>
      <c r="AX50" s="75" t="s">
        <v>188</v>
      </c>
      <c r="AY50" s="85">
        <v>739.02777777777783</v>
      </c>
      <c r="AZ50" s="155" t="s">
        <v>188</v>
      </c>
      <c r="BA50" s="85">
        <v>743.75</v>
      </c>
      <c r="BB50" s="155" t="s">
        <v>188</v>
      </c>
      <c r="BC50" s="85">
        <v>748.47222222222229</v>
      </c>
      <c r="BD50" s="75" t="s">
        <v>188</v>
      </c>
      <c r="BE50" s="173">
        <v>739.02777777777783</v>
      </c>
      <c r="BF50" s="76" t="s">
        <v>188</v>
      </c>
      <c r="BG50" s="154" t="s">
        <v>188</v>
      </c>
      <c r="BH50" s="75" t="s">
        <v>0</v>
      </c>
      <c r="BI50" s="85">
        <v>553.79999999999995</v>
      </c>
      <c r="BJ50" s="75" t="s">
        <v>186</v>
      </c>
      <c r="BK50" s="85">
        <v>533.19111111111113</v>
      </c>
      <c r="BL50" s="75" t="s">
        <v>188</v>
      </c>
      <c r="BM50" s="85">
        <v>541.52222222222224</v>
      </c>
      <c r="BN50" s="75" t="s">
        <v>188</v>
      </c>
      <c r="BO50" s="85">
        <v>545.6877777777778</v>
      </c>
      <c r="BP50" s="75" t="s">
        <v>188</v>
      </c>
      <c r="BQ50" s="85">
        <v>537.35666666666668</v>
      </c>
      <c r="BR50" s="75" t="s">
        <v>188</v>
      </c>
      <c r="BS50" s="85">
        <v>541.52222222222224</v>
      </c>
      <c r="BT50" s="75" t="s">
        <v>188</v>
      </c>
      <c r="BU50" s="85">
        <v>537.35666666666668</v>
      </c>
      <c r="BV50" s="75" t="s">
        <v>188</v>
      </c>
      <c r="BW50" s="85">
        <v>537.35666666666668</v>
      </c>
      <c r="BX50" s="75" t="s">
        <v>188</v>
      </c>
      <c r="BY50" s="85">
        <v>541.52222222222224</v>
      </c>
      <c r="BZ50" s="75" t="s">
        <v>188</v>
      </c>
      <c r="CA50" s="85">
        <v>533.19111111111113</v>
      </c>
      <c r="CB50" s="155" t="s">
        <v>188</v>
      </c>
      <c r="CC50" s="85">
        <v>537.5</v>
      </c>
      <c r="CD50" s="155" t="s">
        <v>188</v>
      </c>
      <c r="CE50" s="85">
        <v>541.66666666666674</v>
      </c>
      <c r="CF50" s="75" t="s">
        <v>188</v>
      </c>
      <c r="CG50" s="173">
        <v>533.33333333333337</v>
      </c>
      <c r="CH50" s="76" t="s">
        <v>188</v>
      </c>
      <c r="CI50" s="154" t="s">
        <v>188</v>
      </c>
      <c r="CJ50" s="75" t="s">
        <v>0</v>
      </c>
      <c r="CK50" s="85">
        <v>517.68888888888898</v>
      </c>
      <c r="CL50" s="75" t="s">
        <v>186</v>
      </c>
      <c r="CM50" s="85">
        <v>497.70666666666665</v>
      </c>
      <c r="CN50" s="75" t="s">
        <v>188</v>
      </c>
      <c r="CO50" s="85">
        <v>505.48333333333329</v>
      </c>
      <c r="CP50" s="75" t="s">
        <v>188</v>
      </c>
      <c r="CQ50" s="85">
        <v>509.37166666666667</v>
      </c>
      <c r="CR50" s="75" t="s">
        <v>188</v>
      </c>
      <c r="CS50" s="85">
        <v>501.59499999999997</v>
      </c>
      <c r="CT50" s="75" t="s">
        <v>188</v>
      </c>
      <c r="CU50" s="85">
        <v>505.48333333333329</v>
      </c>
      <c r="CV50" s="75" t="s">
        <v>188</v>
      </c>
      <c r="CW50" s="85">
        <v>501.59499999999997</v>
      </c>
      <c r="CX50" s="75" t="s">
        <v>188</v>
      </c>
      <c r="CY50" s="85">
        <v>501.59499999999997</v>
      </c>
      <c r="CZ50" s="75" t="s">
        <v>188</v>
      </c>
      <c r="DA50" s="85">
        <v>505.48333333333329</v>
      </c>
      <c r="DB50" s="75" t="s">
        <v>188</v>
      </c>
      <c r="DC50" s="85">
        <v>497.70666666666665</v>
      </c>
      <c r="DD50" s="155" t="s">
        <v>188</v>
      </c>
      <c r="DE50" s="85">
        <v>501.66666666666669</v>
      </c>
      <c r="DF50" s="155" t="s">
        <v>188</v>
      </c>
      <c r="DG50" s="85">
        <v>505.55555555555554</v>
      </c>
      <c r="DH50" s="75" t="s">
        <v>188</v>
      </c>
      <c r="DI50" s="173">
        <v>497.77777777777777</v>
      </c>
      <c r="DJ50" s="76" t="s">
        <v>188</v>
      </c>
      <c r="DK50" s="90"/>
      <c r="DL50" s="90"/>
      <c r="DM50" s="90"/>
      <c r="DN50" s="90"/>
      <c r="DO50" s="90"/>
    </row>
    <row r="51" spans="1:119">
      <c r="A51" s="162" t="s">
        <v>156</v>
      </c>
      <c r="B51" s="149" t="s">
        <v>188</v>
      </c>
      <c r="C51" s="154">
        <v>784</v>
      </c>
      <c r="D51" s="75" t="s">
        <v>188</v>
      </c>
      <c r="E51" s="85">
        <v>784</v>
      </c>
      <c r="F51" s="75" t="s">
        <v>188</v>
      </c>
      <c r="G51" s="85">
        <v>784</v>
      </c>
      <c r="H51" s="75" t="s">
        <v>188</v>
      </c>
      <c r="I51" s="85">
        <v>784</v>
      </c>
      <c r="J51" s="75" t="s">
        <v>188</v>
      </c>
      <c r="K51" s="85">
        <v>784</v>
      </c>
      <c r="L51" s="75" t="s">
        <v>188</v>
      </c>
      <c r="M51" s="85">
        <v>793</v>
      </c>
      <c r="N51" s="75" t="s">
        <v>188</v>
      </c>
      <c r="O51" s="85">
        <v>793</v>
      </c>
      <c r="P51" s="75" t="s">
        <v>188</v>
      </c>
      <c r="Q51" s="85">
        <v>783.73</v>
      </c>
      <c r="R51" s="75" t="s">
        <v>188</v>
      </c>
      <c r="S51" s="85">
        <v>783.73</v>
      </c>
      <c r="T51" s="75" t="s">
        <v>188</v>
      </c>
      <c r="U51" s="85">
        <v>783.73</v>
      </c>
      <c r="V51" s="75" t="s">
        <v>188</v>
      </c>
      <c r="W51" s="85">
        <v>788.06000000000006</v>
      </c>
      <c r="X51" s="75" t="s">
        <v>188</v>
      </c>
      <c r="Y51" s="85">
        <v>788.06000000000006</v>
      </c>
      <c r="Z51" s="155" t="s">
        <v>188</v>
      </c>
      <c r="AA51" s="85">
        <v>775.07</v>
      </c>
      <c r="AB51" s="75" t="s">
        <v>188</v>
      </c>
      <c r="AC51" s="173">
        <v>775.07</v>
      </c>
      <c r="AD51" s="76" t="s">
        <v>188</v>
      </c>
      <c r="AE51" s="154">
        <v>722</v>
      </c>
      <c r="AF51" s="75" t="s">
        <v>188</v>
      </c>
      <c r="AG51" s="85">
        <v>721.5</v>
      </c>
      <c r="AH51" s="75" t="s">
        <v>188</v>
      </c>
      <c r="AI51" s="85">
        <v>724</v>
      </c>
      <c r="AJ51" s="75" t="s">
        <v>188</v>
      </c>
      <c r="AK51" s="85">
        <v>724</v>
      </c>
      <c r="AL51" s="75" t="s">
        <v>188</v>
      </c>
      <c r="AM51" s="85">
        <v>724</v>
      </c>
      <c r="AN51" s="75" t="s">
        <v>188</v>
      </c>
      <c r="AO51" s="85">
        <v>732</v>
      </c>
      <c r="AP51" s="75" t="s">
        <v>188</v>
      </c>
      <c r="AQ51" s="85">
        <v>732</v>
      </c>
      <c r="AR51" s="75" t="s">
        <v>188</v>
      </c>
      <c r="AS51" s="85">
        <v>721.10400000000004</v>
      </c>
      <c r="AT51" s="75" t="s">
        <v>188</v>
      </c>
      <c r="AU51" s="85">
        <v>721.10400000000004</v>
      </c>
      <c r="AV51" s="75" t="s">
        <v>188</v>
      </c>
      <c r="AW51" s="85">
        <v>721.10400000000004</v>
      </c>
      <c r="AX51" s="75" t="s">
        <v>188</v>
      </c>
      <c r="AY51" s="85">
        <v>728</v>
      </c>
      <c r="AZ51" s="155" t="s">
        <v>188</v>
      </c>
      <c r="BA51" s="85">
        <v>728</v>
      </c>
      <c r="BB51" s="155" t="s">
        <v>188</v>
      </c>
      <c r="BC51" s="85">
        <v>716</v>
      </c>
      <c r="BD51" s="75" t="s">
        <v>188</v>
      </c>
      <c r="BE51" s="173">
        <v>716</v>
      </c>
      <c r="BF51" s="76" t="s">
        <v>188</v>
      </c>
      <c r="BG51" s="154">
        <v>662</v>
      </c>
      <c r="BH51" s="75" t="s">
        <v>188</v>
      </c>
      <c r="BI51" s="85">
        <v>662</v>
      </c>
      <c r="BJ51" s="75" t="s">
        <v>188</v>
      </c>
      <c r="BK51" s="85">
        <v>662.46</v>
      </c>
      <c r="BL51" s="75" t="s">
        <v>188</v>
      </c>
      <c r="BM51" s="85">
        <v>662.46</v>
      </c>
      <c r="BN51" s="75" t="s">
        <v>188</v>
      </c>
      <c r="BO51" s="85">
        <v>662.46</v>
      </c>
      <c r="BP51" s="75" t="s">
        <v>188</v>
      </c>
      <c r="BQ51" s="85">
        <v>670.99987800000008</v>
      </c>
      <c r="BR51" s="75" t="s">
        <v>188</v>
      </c>
      <c r="BS51" s="85">
        <v>670.99987800000008</v>
      </c>
      <c r="BT51" s="75" t="s">
        <v>188</v>
      </c>
      <c r="BU51" s="85">
        <v>661.01200000000006</v>
      </c>
      <c r="BV51" s="75" t="s">
        <v>188</v>
      </c>
      <c r="BW51" s="85">
        <v>661.01200000000006</v>
      </c>
      <c r="BX51" s="75" t="s">
        <v>188</v>
      </c>
      <c r="BY51" s="85">
        <v>661.01200000000006</v>
      </c>
      <c r="BZ51" s="75" t="s">
        <v>188</v>
      </c>
      <c r="CA51" s="85">
        <v>667.93999999999994</v>
      </c>
      <c r="CB51" s="155" t="s">
        <v>188</v>
      </c>
      <c r="CC51" s="85">
        <v>667.93999999999994</v>
      </c>
      <c r="CD51" s="155" t="s">
        <v>188</v>
      </c>
      <c r="CE51" s="85">
        <v>656.93</v>
      </c>
      <c r="CF51" s="75" t="s">
        <v>188</v>
      </c>
      <c r="CG51" s="173">
        <v>656.93</v>
      </c>
      <c r="CH51" s="76" t="s">
        <v>188</v>
      </c>
      <c r="CI51" s="154">
        <v>603</v>
      </c>
      <c r="CJ51" s="75" t="s">
        <v>188</v>
      </c>
      <c r="CK51" s="85">
        <v>603</v>
      </c>
      <c r="CL51" s="75" t="s">
        <v>188</v>
      </c>
      <c r="CM51" s="85">
        <v>602.73</v>
      </c>
      <c r="CN51" s="75" t="s">
        <v>188</v>
      </c>
      <c r="CO51" s="85">
        <v>602.73</v>
      </c>
      <c r="CP51" s="75" t="s">
        <v>188</v>
      </c>
      <c r="CQ51" s="85">
        <v>602.73</v>
      </c>
      <c r="CR51" s="75" t="s">
        <v>188</v>
      </c>
      <c r="CS51" s="85">
        <v>609.99939000000006</v>
      </c>
      <c r="CT51" s="75" t="s">
        <v>188</v>
      </c>
      <c r="CU51" s="85">
        <v>609.99939000000006</v>
      </c>
      <c r="CV51" s="75" t="s">
        <v>188</v>
      </c>
      <c r="CW51" s="85">
        <v>600.91999999999996</v>
      </c>
      <c r="CX51" s="75" t="s">
        <v>188</v>
      </c>
      <c r="CY51" s="85">
        <v>600.91999999999996</v>
      </c>
      <c r="CZ51" s="75" t="s">
        <v>188</v>
      </c>
      <c r="DA51" s="85">
        <v>600.91999999999996</v>
      </c>
      <c r="DB51" s="75" t="s">
        <v>188</v>
      </c>
      <c r="DC51" s="85">
        <v>606.06000000000006</v>
      </c>
      <c r="DD51" s="155" t="s">
        <v>188</v>
      </c>
      <c r="DE51" s="85">
        <v>606.06000000000006</v>
      </c>
      <c r="DF51" s="155" t="s">
        <v>188</v>
      </c>
      <c r="DG51" s="85">
        <v>596.07000000000005</v>
      </c>
      <c r="DH51" s="75" t="s">
        <v>188</v>
      </c>
      <c r="DI51" s="173">
        <v>596.07000000000005</v>
      </c>
      <c r="DJ51" s="76" t="s">
        <v>188</v>
      </c>
      <c r="DK51" s="90"/>
      <c r="DL51" s="90"/>
      <c r="DM51" s="90"/>
      <c r="DN51" s="90"/>
      <c r="DO51" s="90"/>
    </row>
    <row r="52" spans="1:119">
      <c r="A52" s="38" t="s">
        <v>127</v>
      </c>
      <c r="B52" s="153">
        <v>2</v>
      </c>
      <c r="C52" s="84" t="s">
        <v>188</v>
      </c>
      <c r="D52" s="77" t="s">
        <v>0</v>
      </c>
      <c r="E52" s="81" t="s">
        <v>188</v>
      </c>
      <c r="F52" s="77" t="s">
        <v>0</v>
      </c>
      <c r="G52" s="81" t="s">
        <v>188</v>
      </c>
      <c r="H52" s="77" t="s">
        <v>0</v>
      </c>
      <c r="I52" s="81">
        <v>631</v>
      </c>
      <c r="J52" s="77" t="s">
        <v>188</v>
      </c>
      <c r="K52" s="81">
        <v>653.6</v>
      </c>
      <c r="L52" s="77" t="s">
        <v>188</v>
      </c>
      <c r="M52" s="81">
        <v>634.6</v>
      </c>
      <c r="N52" s="77" t="s">
        <v>188</v>
      </c>
      <c r="O52" s="81">
        <v>684</v>
      </c>
      <c r="P52" s="77" t="s">
        <v>188</v>
      </c>
      <c r="Q52" s="81">
        <v>684</v>
      </c>
      <c r="R52" s="77" t="s">
        <v>188</v>
      </c>
      <c r="S52" s="81">
        <v>680.4</v>
      </c>
      <c r="T52" s="77" t="s">
        <v>188</v>
      </c>
      <c r="U52" s="81">
        <v>722</v>
      </c>
      <c r="V52" s="77" t="s">
        <v>188</v>
      </c>
      <c r="W52" s="81">
        <v>722</v>
      </c>
      <c r="X52" s="77" t="s">
        <v>188</v>
      </c>
      <c r="Y52" s="81">
        <v>942.4</v>
      </c>
      <c r="Z52" s="124" t="s">
        <v>188</v>
      </c>
      <c r="AA52" s="81" t="s">
        <v>188</v>
      </c>
      <c r="AB52" s="77" t="s">
        <v>23</v>
      </c>
      <c r="AC52" s="83" t="s">
        <v>188</v>
      </c>
      <c r="AD52" s="78" t="s">
        <v>23</v>
      </c>
      <c r="AE52" s="84" t="s">
        <v>188</v>
      </c>
      <c r="AF52" s="77" t="s">
        <v>0</v>
      </c>
      <c r="AG52" s="81" t="s">
        <v>188</v>
      </c>
      <c r="AH52" s="77" t="s">
        <v>0</v>
      </c>
      <c r="AI52" s="81" t="s">
        <v>188</v>
      </c>
      <c r="AJ52" s="77" t="s">
        <v>0</v>
      </c>
      <c r="AK52" s="81">
        <v>631</v>
      </c>
      <c r="AL52" s="77" t="s">
        <v>188</v>
      </c>
      <c r="AM52" s="81">
        <v>653.6</v>
      </c>
      <c r="AN52" s="77" t="s">
        <v>188</v>
      </c>
      <c r="AO52" s="81">
        <v>634.6</v>
      </c>
      <c r="AP52" s="77" t="s">
        <v>188</v>
      </c>
      <c r="AQ52" s="81">
        <v>684</v>
      </c>
      <c r="AR52" s="77" t="s">
        <v>188</v>
      </c>
      <c r="AS52" s="81">
        <v>684</v>
      </c>
      <c r="AT52" s="77" t="s">
        <v>188</v>
      </c>
      <c r="AU52" s="81">
        <v>680.4</v>
      </c>
      <c r="AV52" s="77" t="s">
        <v>188</v>
      </c>
      <c r="AW52" s="81">
        <v>722</v>
      </c>
      <c r="AX52" s="77" t="s">
        <v>188</v>
      </c>
      <c r="AY52" s="81">
        <v>722</v>
      </c>
      <c r="AZ52" s="124" t="s">
        <v>188</v>
      </c>
      <c r="BA52" s="81">
        <v>942.4</v>
      </c>
      <c r="BB52" s="124" t="s">
        <v>188</v>
      </c>
      <c r="BC52" s="81" t="s">
        <v>188</v>
      </c>
      <c r="BD52" s="77" t="s">
        <v>23</v>
      </c>
      <c r="BE52" s="83" t="s">
        <v>188</v>
      </c>
      <c r="BF52" s="78" t="s">
        <v>23</v>
      </c>
      <c r="BG52" s="84" t="s">
        <v>188</v>
      </c>
      <c r="BH52" s="77" t="s">
        <v>0</v>
      </c>
      <c r="BI52" s="81" t="s">
        <v>188</v>
      </c>
      <c r="BJ52" s="77" t="s">
        <v>0</v>
      </c>
      <c r="BK52" s="81" t="s">
        <v>188</v>
      </c>
      <c r="BL52" s="77" t="s">
        <v>0</v>
      </c>
      <c r="BM52" s="81">
        <v>714</v>
      </c>
      <c r="BN52" s="77" t="s">
        <v>188</v>
      </c>
      <c r="BO52" s="81">
        <v>722</v>
      </c>
      <c r="BP52" s="77" t="s">
        <v>188</v>
      </c>
      <c r="BQ52" s="81">
        <v>714.4</v>
      </c>
      <c r="BR52" s="77" t="s">
        <v>188</v>
      </c>
      <c r="BS52" s="81">
        <v>703</v>
      </c>
      <c r="BT52" s="77" t="s">
        <v>188</v>
      </c>
      <c r="BU52" s="81">
        <v>695</v>
      </c>
      <c r="BV52" s="77" t="s">
        <v>188</v>
      </c>
      <c r="BW52" s="81">
        <v>691.74</v>
      </c>
      <c r="BX52" s="77" t="s">
        <v>188</v>
      </c>
      <c r="BY52" s="81">
        <v>744.80000000000007</v>
      </c>
      <c r="BZ52" s="77" t="s">
        <v>188</v>
      </c>
      <c r="CA52" s="81">
        <v>744.8</v>
      </c>
      <c r="CB52" s="124" t="s">
        <v>188</v>
      </c>
      <c r="CC52" s="81">
        <v>817</v>
      </c>
      <c r="CD52" s="124" t="s">
        <v>188</v>
      </c>
      <c r="CE52" s="81" t="s">
        <v>188</v>
      </c>
      <c r="CF52" s="77" t="s">
        <v>23</v>
      </c>
      <c r="CG52" s="83" t="s">
        <v>188</v>
      </c>
      <c r="CH52" s="78" t="s">
        <v>23</v>
      </c>
      <c r="CI52" s="84" t="s">
        <v>188</v>
      </c>
      <c r="CJ52" s="77" t="s">
        <v>0</v>
      </c>
      <c r="CK52" s="81" t="s">
        <v>188</v>
      </c>
      <c r="CL52" s="77" t="s">
        <v>0</v>
      </c>
      <c r="CM52" s="81" t="s">
        <v>188</v>
      </c>
      <c r="CN52" s="77" t="s">
        <v>0</v>
      </c>
      <c r="CO52" s="81">
        <v>714</v>
      </c>
      <c r="CP52" s="77" t="s">
        <v>188</v>
      </c>
      <c r="CQ52" s="81">
        <v>722</v>
      </c>
      <c r="CR52" s="77" t="s">
        <v>188</v>
      </c>
      <c r="CS52" s="81">
        <v>714.4</v>
      </c>
      <c r="CT52" s="77" t="s">
        <v>188</v>
      </c>
      <c r="CU52" s="81">
        <v>703</v>
      </c>
      <c r="CV52" s="77" t="s">
        <v>188</v>
      </c>
      <c r="CW52" s="81">
        <v>695</v>
      </c>
      <c r="CX52" s="77" t="s">
        <v>188</v>
      </c>
      <c r="CY52" s="81">
        <v>691.74</v>
      </c>
      <c r="CZ52" s="77" t="s">
        <v>188</v>
      </c>
      <c r="DA52" s="81">
        <v>744.80000000000007</v>
      </c>
      <c r="DB52" s="77" t="s">
        <v>188</v>
      </c>
      <c r="DC52" s="81">
        <v>744.8</v>
      </c>
      <c r="DD52" s="124" t="s">
        <v>188</v>
      </c>
      <c r="DE52" s="81">
        <v>817</v>
      </c>
      <c r="DF52" s="124" t="s">
        <v>188</v>
      </c>
      <c r="DG52" s="81" t="s">
        <v>188</v>
      </c>
      <c r="DH52" s="77" t="s">
        <v>23</v>
      </c>
      <c r="DI52" s="83" t="s">
        <v>188</v>
      </c>
      <c r="DJ52" s="78" t="s">
        <v>23</v>
      </c>
      <c r="DK52" s="90"/>
      <c r="DL52" s="90"/>
      <c r="DM52" s="90"/>
      <c r="DN52" s="90"/>
      <c r="DO52" s="90"/>
    </row>
    <row r="53" spans="1:119">
      <c r="A53" s="38" t="s">
        <v>128</v>
      </c>
      <c r="B53" s="153" t="s">
        <v>188</v>
      </c>
      <c r="C53" s="84">
        <v>950</v>
      </c>
      <c r="D53" s="77" t="s">
        <v>188</v>
      </c>
      <c r="E53" s="81">
        <v>893</v>
      </c>
      <c r="F53" s="77" t="s">
        <v>188</v>
      </c>
      <c r="G53" s="81">
        <v>893</v>
      </c>
      <c r="H53" s="77" t="s">
        <v>188</v>
      </c>
      <c r="I53" s="81">
        <v>855</v>
      </c>
      <c r="J53" s="77" t="s">
        <v>188</v>
      </c>
      <c r="K53" s="81">
        <v>855</v>
      </c>
      <c r="L53" s="77" t="s">
        <v>188</v>
      </c>
      <c r="M53" s="81">
        <v>855</v>
      </c>
      <c r="N53" s="77" t="s">
        <v>188</v>
      </c>
      <c r="O53" s="81">
        <v>855</v>
      </c>
      <c r="P53" s="77" t="s">
        <v>188</v>
      </c>
      <c r="Q53" s="81">
        <v>855</v>
      </c>
      <c r="R53" s="77" t="s">
        <v>188</v>
      </c>
      <c r="S53" s="81">
        <v>855</v>
      </c>
      <c r="T53" s="77" t="s">
        <v>188</v>
      </c>
      <c r="U53" s="81">
        <v>855</v>
      </c>
      <c r="V53" s="77" t="s">
        <v>188</v>
      </c>
      <c r="W53" s="81">
        <v>855</v>
      </c>
      <c r="X53" s="77" t="s">
        <v>188</v>
      </c>
      <c r="Y53" s="81">
        <v>855</v>
      </c>
      <c r="Z53" s="124" t="s">
        <v>188</v>
      </c>
      <c r="AA53" s="81">
        <v>855</v>
      </c>
      <c r="AB53" s="77" t="s">
        <v>188</v>
      </c>
      <c r="AC53" s="83">
        <v>855</v>
      </c>
      <c r="AD53" s="78" t="s">
        <v>188</v>
      </c>
      <c r="AE53" s="84">
        <v>950</v>
      </c>
      <c r="AF53" s="77" t="s">
        <v>188</v>
      </c>
      <c r="AG53" s="81">
        <v>893</v>
      </c>
      <c r="AH53" s="77" t="s">
        <v>188</v>
      </c>
      <c r="AI53" s="81">
        <v>893</v>
      </c>
      <c r="AJ53" s="77" t="s">
        <v>188</v>
      </c>
      <c r="AK53" s="81">
        <v>855</v>
      </c>
      <c r="AL53" s="77" t="s">
        <v>188</v>
      </c>
      <c r="AM53" s="81">
        <v>855</v>
      </c>
      <c r="AN53" s="77" t="s">
        <v>188</v>
      </c>
      <c r="AO53" s="81">
        <v>855</v>
      </c>
      <c r="AP53" s="77" t="s">
        <v>188</v>
      </c>
      <c r="AQ53" s="81">
        <v>855</v>
      </c>
      <c r="AR53" s="77" t="s">
        <v>188</v>
      </c>
      <c r="AS53" s="81">
        <v>855</v>
      </c>
      <c r="AT53" s="77" t="s">
        <v>188</v>
      </c>
      <c r="AU53" s="81">
        <v>855</v>
      </c>
      <c r="AV53" s="77" t="s">
        <v>188</v>
      </c>
      <c r="AW53" s="81">
        <v>855</v>
      </c>
      <c r="AX53" s="77" t="s">
        <v>188</v>
      </c>
      <c r="AY53" s="81">
        <v>855</v>
      </c>
      <c r="AZ53" s="124" t="s">
        <v>188</v>
      </c>
      <c r="BA53" s="81">
        <v>855</v>
      </c>
      <c r="BB53" s="124" t="s">
        <v>188</v>
      </c>
      <c r="BC53" s="81">
        <v>855</v>
      </c>
      <c r="BD53" s="77" t="s">
        <v>188</v>
      </c>
      <c r="BE53" s="83">
        <v>855</v>
      </c>
      <c r="BF53" s="78" t="s">
        <v>188</v>
      </c>
      <c r="BG53" s="84">
        <v>893</v>
      </c>
      <c r="BH53" s="77" t="s">
        <v>188</v>
      </c>
      <c r="BI53" s="81">
        <v>893</v>
      </c>
      <c r="BJ53" s="77" t="s">
        <v>188</v>
      </c>
      <c r="BK53" s="81">
        <v>893</v>
      </c>
      <c r="BL53" s="77" t="s">
        <v>188</v>
      </c>
      <c r="BM53" s="81">
        <v>855</v>
      </c>
      <c r="BN53" s="77" t="s">
        <v>188</v>
      </c>
      <c r="BO53" s="81">
        <v>855</v>
      </c>
      <c r="BP53" s="77" t="s">
        <v>188</v>
      </c>
      <c r="BQ53" s="81">
        <v>855</v>
      </c>
      <c r="BR53" s="77" t="s">
        <v>188</v>
      </c>
      <c r="BS53" s="81">
        <v>855</v>
      </c>
      <c r="BT53" s="77" t="s">
        <v>188</v>
      </c>
      <c r="BU53" s="81">
        <v>855</v>
      </c>
      <c r="BV53" s="77" t="s">
        <v>188</v>
      </c>
      <c r="BW53" s="81">
        <v>855</v>
      </c>
      <c r="BX53" s="77" t="s">
        <v>188</v>
      </c>
      <c r="BY53" s="81">
        <v>855</v>
      </c>
      <c r="BZ53" s="77" t="s">
        <v>188</v>
      </c>
      <c r="CA53" s="81">
        <v>855</v>
      </c>
      <c r="CB53" s="124" t="s">
        <v>188</v>
      </c>
      <c r="CC53" s="81">
        <v>855</v>
      </c>
      <c r="CD53" s="124" t="s">
        <v>188</v>
      </c>
      <c r="CE53" s="81">
        <v>855</v>
      </c>
      <c r="CF53" s="77" t="s">
        <v>188</v>
      </c>
      <c r="CG53" s="83">
        <v>855</v>
      </c>
      <c r="CH53" s="78" t="s">
        <v>188</v>
      </c>
      <c r="CI53" s="84">
        <v>893</v>
      </c>
      <c r="CJ53" s="77" t="s">
        <v>188</v>
      </c>
      <c r="CK53" s="81">
        <v>893</v>
      </c>
      <c r="CL53" s="77" t="s">
        <v>188</v>
      </c>
      <c r="CM53" s="81">
        <v>893</v>
      </c>
      <c r="CN53" s="77" t="s">
        <v>188</v>
      </c>
      <c r="CO53" s="81">
        <v>855</v>
      </c>
      <c r="CP53" s="77" t="s">
        <v>188</v>
      </c>
      <c r="CQ53" s="81">
        <v>855</v>
      </c>
      <c r="CR53" s="77" t="s">
        <v>188</v>
      </c>
      <c r="CS53" s="81">
        <v>855</v>
      </c>
      <c r="CT53" s="77" t="s">
        <v>188</v>
      </c>
      <c r="CU53" s="81">
        <v>855</v>
      </c>
      <c r="CV53" s="77" t="s">
        <v>188</v>
      </c>
      <c r="CW53" s="81">
        <v>855</v>
      </c>
      <c r="CX53" s="77" t="s">
        <v>188</v>
      </c>
      <c r="CY53" s="81">
        <v>855</v>
      </c>
      <c r="CZ53" s="77" t="s">
        <v>188</v>
      </c>
      <c r="DA53" s="81">
        <v>855</v>
      </c>
      <c r="DB53" s="77" t="s">
        <v>188</v>
      </c>
      <c r="DC53" s="81">
        <v>855</v>
      </c>
      <c r="DD53" s="124" t="s">
        <v>188</v>
      </c>
      <c r="DE53" s="81">
        <v>855</v>
      </c>
      <c r="DF53" s="124" t="s">
        <v>188</v>
      </c>
      <c r="DG53" s="81">
        <v>855</v>
      </c>
      <c r="DH53" s="77" t="s">
        <v>188</v>
      </c>
      <c r="DI53" s="83">
        <v>855</v>
      </c>
      <c r="DJ53" s="78" t="s">
        <v>188</v>
      </c>
      <c r="DK53" s="90"/>
      <c r="DL53" s="90"/>
      <c r="DM53" s="90"/>
      <c r="DN53" s="90"/>
      <c r="DO53" s="90"/>
    </row>
    <row r="54" spans="1:119">
      <c r="A54" s="38"/>
      <c r="B54" s="79"/>
      <c r="C54" s="84"/>
      <c r="D54" s="77"/>
      <c r="E54" s="81"/>
      <c r="F54" s="77"/>
      <c r="G54" s="81"/>
      <c r="H54" s="77"/>
      <c r="I54" s="81"/>
      <c r="J54" s="77"/>
      <c r="K54" s="81"/>
      <c r="L54" s="77"/>
      <c r="M54" s="81"/>
      <c r="N54" s="77"/>
      <c r="O54" s="81"/>
      <c r="P54" s="77"/>
      <c r="Q54" s="121"/>
      <c r="R54" s="77"/>
      <c r="S54" s="121"/>
      <c r="T54" s="77"/>
      <c r="U54" s="121"/>
      <c r="V54" s="77"/>
      <c r="W54" s="121"/>
      <c r="X54" s="77"/>
      <c r="Y54" s="121"/>
      <c r="Z54" s="124"/>
      <c r="AA54" s="121"/>
      <c r="AB54" s="77"/>
      <c r="AC54" s="174"/>
      <c r="AD54" s="78"/>
      <c r="AE54" s="186"/>
      <c r="AF54" s="77"/>
      <c r="AG54" s="121"/>
      <c r="AH54" s="77"/>
      <c r="AI54" s="121"/>
      <c r="AJ54" s="77"/>
      <c r="AK54" s="121"/>
      <c r="AL54" s="77"/>
      <c r="AM54" s="121"/>
      <c r="AN54" s="77"/>
      <c r="AO54" s="121"/>
      <c r="AP54" s="77"/>
      <c r="AQ54" s="121"/>
      <c r="AR54" s="77"/>
      <c r="AS54" s="121"/>
      <c r="AT54" s="77"/>
      <c r="AU54" s="121"/>
      <c r="AV54" s="77"/>
      <c r="AW54" s="121"/>
      <c r="AX54" s="77"/>
      <c r="AY54" s="124"/>
      <c r="AZ54" s="124"/>
      <c r="BA54" s="121"/>
      <c r="BB54" s="124"/>
      <c r="BC54" s="121"/>
      <c r="BD54" s="77"/>
      <c r="BE54" s="174"/>
      <c r="BF54" s="78"/>
      <c r="BG54" s="186"/>
      <c r="BH54" s="77"/>
      <c r="BI54" s="121"/>
      <c r="BJ54" s="77"/>
      <c r="BK54" s="121"/>
      <c r="BL54" s="77"/>
      <c r="BM54" s="121"/>
      <c r="BN54" s="77"/>
      <c r="BO54" s="121"/>
      <c r="BP54" s="77"/>
      <c r="BQ54" s="121"/>
      <c r="BR54" s="77"/>
      <c r="BS54" s="121"/>
      <c r="BT54" s="77"/>
      <c r="BU54" s="121"/>
      <c r="BV54" s="77"/>
      <c r="BW54" s="121"/>
      <c r="BX54" s="77"/>
      <c r="BY54" s="121"/>
      <c r="BZ54" s="77"/>
      <c r="CA54" s="124"/>
      <c r="CB54" s="124"/>
      <c r="CC54" s="121"/>
      <c r="CD54" s="124"/>
      <c r="CE54" s="121"/>
      <c r="CF54" s="77"/>
      <c r="CG54" s="174"/>
      <c r="CH54" s="78"/>
      <c r="CI54" s="186"/>
      <c r="CJ54" s="77"/>
      <c r="CK54" s="121"/>
      <c r="CL54" s="77"/>
      <c r="CM54" s="121"/>
      <c r="CN54" s="77"/>
      <c r="CO54" s="121"/>
      <c r="CP54" s="77"/>
      <c r="CQ54" s="121"/>
      <c r="CR54" s="77"/>
      <c r="CS54" s="121"/>
      <c r="CT54" s="77"/>
      <c r="CU54" s="121"/>
      <c r="CV54" s="77"/>
      <c r="CW54" s="121"/>
      <c r="CX54" s="77"/>
      <c r="CY54" s="121"/>
      <c r="CZ54" s="77"/>
      <c r="DA54" s="121"/>
      <c r="DB54" s="77"/>
      <c r="DC54" s="124"/>
      <c r="DD54" s="124"/>
      <c r="DE54" s="121"/>
      <c r="DF54" s="124"/>
      <c r="DG54" s="121"/>
      <c r="DH54" s="77"/>
      <c r="DI54" s="174"/>
      <c r="DJ54" s="78"/>
      <c r="DK54" s="90"/>
      <c r="DL54" s="90"/>
      <c r="DM54" s="90"/>
      <c r="DN54" s="90"/>
      <c r="DO54" s="90"/>
    </row>
    <row r="55" spans="1:119">
      <c r="A55" s="163" t="s">
        <v>38</v>
      </c>
      <c r="B55" s="159" t="s">
        <v>188</v>
      </c>
      <c r="C55" s="165" t="s">
        <v>188</v>
      </c>
      <c r="D55" s="166" t="s">
        <v>0</v>
      </c>
      <c r="E55" s="167" t="s">
        <v>188</v>
      </c>
      <c r="F55" s="166" t="s">
        <v>0</v>
      </c>
      <c r="G55" s="167" t="s">
        <v>188</v>
      </c>
      <c r="H55" s="166" t="s">
        <v>0</v>
      </c>
      <c r="I55" s="167" t="s">
        <v>188</v>
      </c>
      <c r="J55" s="166" t="s">
        <v>0</v>
      </c>
      <c r="K55" s="167" t="s">
        <v>188</v>
      </c>
      <c r="L55" s="166" t="s">
        <v>0</v>
      </c>
      <c r="M55" s="167" t="s">
        <v>188</v>
      </c>
      <c r="N55" s="166" t="s">
        <v>0</v>
      </c>
      <c r="O55" s="167" t="s">
        <v>188</v>
      </c>
      <c r="P55" s="166" t="s">
        <v>0</v>
      </c>
      <c r="Q55" s="167">
        <v>1019.1805972503709</v>
      </c>
      <c r="R55" s="166" t="s">
        <v>188</v>
      </c>
      <c r="S55" s="167">
        <v>1013.9087336498259</v>
      </c>
      <c r="T55" s="166" t="s">
        <v>188</v>
      </c>
      <c r="U55" s="167">
        <v>1008.6549926474228</v>
      </c>
      <c r="V55" s="166" t="s">
        <v>188</v>
      </c>
      <c r="W55" s="167">
        <v>1000.1770061739813</v>
      </c>
      <c r="X55" s="166" t="s">
        <v>188</v>
      </c>
      <c r="Y55" s="167">
        <v>999.74461416814847</v>
      </c>
      <c r="Z55" s="169" t="s">
        <v>188</v>
      </c>
      <c r="AA55" s="167">
        <v>1032.574919917135</v>
      </c>
      <c r="AB55" s="166" t="s">
        <v>188</v>
      </c>
      <c r="AC55" s="175">
        <v>1045.5631894255368</v>
      </c>
      <c r="AD55" s="168" t="s">
        <v>188</v>
      </c>
      <c r="AE55" s="165">
        <v>769.54013015792555</v>
      </c>
      <c r="AF55" s="166" t="s">
        <v>188</v>
      </c>
      <c r="AG55" s="167">
        <v>774.79521602932186</v>
      </c>
      <c r="AH55" s="166" t="s">
        <v>188</v>
      </c>
      <c r="AI55" s="167">
        <v>781.78804815445835</v>
      </c>
      <c r="AJ55" s="166" t="s">
        <v>188</v>
      </c>
      <c r="AK55" s="167">
        <v>771.07818624920026</v>
      </c>
      <c r="AL55" s="166" t="s">
        <v>188</v>
      </c>
      <c r="AM55" s="167">
        <v>765.64639134462629</v>
      </c>
      <c r="AN55" s="166" t="s">
        <v>188</v>
      </c>
      <c r="AO55" s="167">
        <v>767.65429932501024</v>
      </c>
      <c r="AP55" s="166" t="s">
        <v>188</v>
      </c>
      <c r="AQ55" s="167">
        <v>772.225566408585</v>
      </c>
      <c r="AR55" s="166" t="s">
        <v>188</v>
      </c>
      <c r="AS55" s="167">
        <v>777.58231487924377</v>
      </c>
      <c r="AT55" s="166" t="s">
        <v>188</v>
      </c>
      <c r="AU55" s="167">
        <v>770.49504693432937</v>
      </c>
      <c r="AV55" s="166" t="s">
        <v>188</v>
      </c>
      <c r="AW55" s="167">
        <v>774.75375579404863</v>
      </c>
      <c r="AX55" s="166" t="s">
        <v>188</v>
      </c>
      <c r="AY55" s="167">
        <v>776.83711256788047</v>
      </c>
      <c r="AZ55" s="169" t="s">
        <v>188</v>
      </c>
      <c r="BA55" s="167">
        <v>793.12867597704837</v>
      </c>
      <c r="BB55" s="169" t="s">
        <v>188</v>
      </c>
      <c r="BC55" s="167">
        <v>776.83816558068463</v>
      </c>
      <c r="BD55" s="166" t="s">
        <v>188</v>
      </c>
      <c r="BE55" s="175">
        <v>776.73960024429311</v>
      </c>
      <c r="BF55" s="168" t="s">
        <v>188</v>
      </c>
      <c r="BG55" s="165">
        <v>679.59053953018076</v>
      </c>
      <c r="BH55" s="166" t="s">
        <v>188</v>
      </c>
      <c r="BI55" s="167">
        <v>679.9252278884137</v>
      </c>
      <c r="BJ55" s="166" t="s">
        <v>188</v>
      </c>
      <c r="BK55" s="167">
        <v>683.50944985554872</v>
      </c>
      <c r="BL55" s="166" t="s">
        <v>188</v>
      </c>
      <c r="BM55" s="167">
        <v>680.63420246030694</v>
      </c>
      <c r="BN55" s="166" t="s">
        <v>188</v>
      </c>
      <c r="BO55" s="167">
        <v>676.9030320612278</v>
      </c>
      <c r="BP55" s="166" t="s">
        <v>188</v>
      </c>
      <c r="BQ55" s="167">
        <v>674.79619703370076</v>
      </c>
      <c r="BR55" s="166" t="s">
        <v>188</v>
      </c>
      <c r="BS55" s="167">
        <v>678.62843507729235</v>
      </c>
      <c r="BT55" s="166" t="s">
        <v>188</v>
      </c>
      <c r="BU55" s="167">
        <v>685.23224439248008</v>
      </c>
      <c r="BV55" s="166" t="s">
        <v>188</v>
      </c>
      <c r="BW55" s="167">
        <v>681.61908460849884</v>
      </c>
      <c r="BX55" s="166" t="s">
        <v>188</v>
      </c>
      <c r="BY55" s="167">
        <v>695.60420280921085</v>
      </c>
      <c r="BZ55" s="166" t="s">
        <v>188</v>
      </c>
      <c r="CA55" s="167">
        <v>686.98210274387088</v>
      </c>
      <c r="CB55" s="169" t="s">
        <v>188</v>
      </c>
      <c r="CC55" s="167">
        <v>705.42583280543886</v>
      </c>
      <c r="CD55" s="169" t="s">
        <v>188</v>
      </c>
      <c r="CE55" s="167">
        <v>697.10545336960286</v>
      </c>
      <c r="CF55" s="166" t="s">
        <v>188</v>
      </c>
      <c r="CG55" s="175">
        <v>695.1477469923401</v>
      </c>
      <c r="CH55" s="168" t="s">
        <v>188</v>
      </c>
      <c r="CI55" s="165">
        <v>628.26629020836901</v>
      </c>
      <c r="CJ55" s="166" t="s">
        <v>188</v>
      </c>
      <c r="CK55" s="167">
        <v>647.58141085504576</v>
      </c>
      <c r="CL55" s="166" t="s">
        <v>188</v>
      </c>
      <c r="CM55" s="167">
        <v>642.81724983538948</v>
      </c>
      <c r="CN55" s="166" t="s">
        <v>188</v>
      </c>
      <c r="CO55" s="167">
        <v>640.64992304286113</v>
      </c>
      <c r="CP55" s="166" t="s">
        <v>188</v>
      </c>
      <c r="CQ55" s="167">
        <v>638.48405861332105</v>
      </c>
      <c r="CR55" s="166" t="s">
        <v>188</v>
      </c>
      <c r="CS55" s="167">
        <v>637.24883104757805</v>
      </c>
      <c r="CT55" s="166" t="s">
        <v>188</v>
      </c>
      <c r="CU55" s="167">
        <v>641.76841635988103</v>
      </c>
      <c r="CV55" s="166" t="s">
        <v>188</v>
      </c>
      <c r="CW55" s="167">
        <v>645.74450989870593</v>
      </c>
      <c r="CX55" s="166" t="s">
        <v>188</v>
      </c>
      <c r="CY55" s="167">
        <v>642.4005589160555</v>
      </c>
      <c r="CZ55" s="166" t="s">
        <v>188</v>
      </c>
      <c r="DA55" s="167">
        <v>649.69668958267039</v>
      </c>
      <c r="DB55" s="166" t="s">
        <v>188</v>
      </c>
      <c r="DC55" s="167">
        <v>643.49358293668183</v>
      </c>
      <c r="DD55" s="169" t="s">
        <v>188</v>
      </c>
      <c r="DE55" s="167">
        <v>661.97978976444756</v>
      </c>
      <c r="DF55" s="169" t="s">
        <v>188</v>
      </c>
      <c r="DG55" s="167">
        <v>650.697087323044</v>
      </c>
      <c r="DH55" s="166" t="s">
        <v>188</v>
      </c>
      <c r="DI55" s="175">
        <v>647.41660876699325</v>
      </c>
      <c r="DJ55" s="168" t="s">
        <v>188</v>
      </c>
      <c r="DK55" s="90"/>
      <c r="DL55" s="90"/>
      <c r="DM55" s="90"/>
      <c r="DN55" s="90"/>
      <c r="DO55" s="90"/>
    </row>
    <row r="56" spans="1:119" ht="24" customHeight="1">
      <c r="A56" s="164" t="s">
        <v>175</v>
      </c>
      <c r="B56" s="159" t="s">
        <v>188</v>
      </c>
      <c r="C56" s="165">
        <v>854.51483539094647</v>
      </c>
      <c r="D56" s="166" t="s">
        <v>188</v>
      </c>
      <c r="E56" s="167">
        <v>842.96270898961654</v>
      </c>
      <c r="F56" s="166" t="s">
        <v>188</v>
      </c>
      <c r="G56" s="167" t="s">
        <v>188</v>
      </c>
      <c r="H56" s="166" t="s">
        <v>0</v>
      </c>
      <c r="I56" s="167" t="s">
        <v>188</v>
      </c>
      <c r="J56" s="166" t="s">
        <v>0</v>
      </c>
      <c r="K56" s="167" t="s">
        <v>188</v>
      </c>
      <c r="L56" s="166" t="s">
        <v>0</v>
      </c>
      <c r="M56" s="167" t="s">
        <v>188</v>
      </c>
      <c r="N56" s="166" t="s">
        <v>0</v>
      </c>
      <c r="O56" s="167">
        <v>839.41267051519435</v>
      </c>
      <c r="P56" s="166" t="s">
        <v>188</v>
      </c>
      <c r="Q56" s="167" t="s">
        <v>188</v>
      </c>
      <c r="R56" s="166" t="s">
        <v>0</v>
      </c>
      <c r="S56" s="167" t="s">
        <v>188</v>
      </c>
      <c r="T56" s="166" t="s">
        <v>0</v>
      </c>
      <c r="U56" s="167" t="s">
        <v>188</v>
      </c>
      <c r="V56" s="166" t="s">
        <v>0</v>
      </c>
      <c r="W56" s="167" t="s">
        <v>188</v>
      </c>
      <c r="X56" s="166" t="s">
        <v>0</v>
      </c>
      <c r="Y56" s="167">
        <v>911.24740140740744</v>
      </c>
      <c r="Z56" s="169" t="s">
        <v>188</v>
      </c>
      <c r="AA56" s="167" t="s">
        <v>188</v>
      </c>
      <c r="AB56" s="166" t="s">
        <v>0</v>
      </c>
      <c r="AC56" s="175">
        <v>937.40078189300402</v>
      </c>
      <c r="AD56" s="168" t="s">
        <v>188</v>
      </c>
      <c r="AE56" s="165">
        <v>776.61378427037005</v>
      </c>
      <c r="AF56" s="166" t="s">
        <v>188</v>
      </c>
      <c r="AG56" s="167">
        <v>774.59889351698621</v>
      </c>
      <c r="AH56" s="166" t="s">
        <v>188</v>
      </c>
      <c r="AI56" s="167" t="s">
        <v>188</v>
      </c>
      <c r="AJ56" s="166" t="s">
        <v>0</v>
      </c>
      <c r="AK56" s="167" t="s">
        <v>188</v>
      </c>
      <c r="AL56" s="166" t="s">
        <v>0</v>
      </c>
      <c r="AM56" s="167" t="s">
        <v>188</v>
      </c>
      <c r="AN56" s="166" t="s">
        <v>0</v>
      </c>
      <c r="AO56" s="167" t="s">
        <v>188</v>
      </c>
      <c r="AP56" s="166" t="s">
        <v>0</v>
      </c>
      <c r="AQ56" s="167">
        <v>781.20034362856813</v>
      </c>
      <c r="AR56" s="166" t="s">
        <v>188</v>
      </c>
      <c r="AS56" s="167" t="s">
        <v>188</v>
      </c>
      <c r="AT56" s="166" t="s">
        <v>0</v>
      </c>
      <c r="AU56" s="167" t="s">
        <v>188</v>
      </c>
      <c r="AV56" s="166" t="s">
        <v>0</v>
      </c>
      <c r="AW56" s="167" t="s">
        <v>188</v>
      </c>
      <c r="AX56" s="166" t="s">
        <v>0</v>
      </c>
      <c r="AY56" s="167" t="s">
        <v>188</v>
      </c>
      <c r="AZ56" s="169" t="s">
        <v>0</v>
      </c>
      <c r="BA56" s="167">
        <v>767.35227544385077</v>
      </c>
      <c r="BB56" s="169" t="s">
        <v>188</v>
      </c>
      <c r="BC56" s="167" t="s">
        <v>188</v>
      </c>
      <c r="BD56" s="166" t="s">
        <v>0</v>
      </c>
      <c r="BE56" s="175">
        <v>784.12321343222061</v>
      </c>
      <c r="BF56" s="168" t="s">
        <v>188</v>
      </c>
      <c r="BG56" s="165">
        <v>681.79012820540606</v>
      </c>
      <c r="BH56" s="166" t="s">
        <v>188</v>
      </c>
      <c r="BI56" s="167">
        <v>673.432434838581</v>
      </c>
      <c r="BJ56" s="166" t="s">
        <v>188</v>
      </c>
      <c r="BK56" s="167" t="s">
        <v>188</v>
      </c>
      <c r="BL56" s="166" t="s">
        <v>0</v>
      </c>
      <c r="BM56" s="167" t="s">
        <v>188</v>
      </c>
      <c r="BN56" s="166" t="s">
        <v>0</v>
      </c>
      <c r="BO56" s="167" t="s">
        <v>188</v>
      </c>
      <c r="BP56" s="166" t="s">
        <v>0</v>
      </c>
      <c r="BQ56" s="167" t="s">
        <v>188</v>
      </c>
      <c r="BR56" s="166" t="s">
        <v>0</v>
      </c>
      <c r="BS56" s="167">
        <v>681.08349535703746</v>
      </c>
      <c r="BT56" s="166" t="s">
        <v>188</v>
      </c>
      <c r="BU56" s="167" t="s">
        <v>188</v>
      </c>
      <c r="BV56" s="166" t="s">
        <v>0</v>
      </c>
      <c r="BW56" s="167" t="s">
        <v>188</v>
      </c>
      <c r="BX56" s="166" t="s">
        <v>0</v>
      </c>
      <c r="BY56" s="167" t="s">
        <v>188</v>
      </c>
      <c r="BZ56" s="166" t="s">
        <v>0</v>
      </c>
      <c r="CA56" s="167" t="s">
        <v>188</v>
      </c>
      <c r="CB56" s="169" t="s">
        <v>0</v>
      </c>
      <c r="CC56" s="167">
        <v>685.23826782192884</v>
      </c>
      <c r="CD56" s="169" t="s">
        <v>188</v>
      </c>
      <c r="CE56" s="167" t="s">
        <v>188</v>
      </c>
      <c r="CF56" s="166" t="s">
        <v>0</v>
      </c>
      <c r="CG56" s="175">
        <v>696.15802015212648</v>
      </c>
      <c r="CH56" s="168" t="s">
        <v>188</v>
      </c>
      <c r="CI56" s="165">
        <v>633.9106987996422</v>
      </c>
      <c r="CJ56" s="166" t="s">
        <v>188</v>
      </c>
      <c r="CK56" s="167">
        <v>632.29547655122656</v>
      </c>
      <c r="CL56" s="166" t="s">
        <v>188</v>
      </c>
      <c r="CM56" s="167" t="s">
        <v>188</v>
      </c>
      <c r="CN56" s="166" t="s">
        <v>0</v>
      </c>
      <c r="CO56" s="167" t="s">
        <v>188</v>
      </c>
      <c r="CP56" s="166" t="s">
        <v>0</v>
      </c>
      <c r="CQ56" s="167" t="s">
        <v>188</v>
      </c>
      <c r="CR56" s="166" t="s">
        <v>0</v>
      </c>
      <c r="CS56" s="167" t="s">
        <v>188</v>
      </c>
      <c r="CT56" s="166" t="s">
        <v>0</v>
      </c>
      <c r="CU56" s="167">
        <v>640.34350117513316</v>
      </c>
      <c r="CV56" s="166" t="s">
        <v>188</v>
      </c>
      <c r="CW56" s="167" t="s">
        <v>188</v>
      </c>
      <c r="CX56" s="166" t="s">
        <v>0</v>
      </c>
      <c r="CY56" s="167" t="s">
        <v>188</v>
      </c>
      <c r="CZ56" s="166" t="s">
        <v>0</v>
      </c>
      <c r="DA56" s="167" t="s">
        <v>188</v>
      </c>
      <c r="DB56" s="166" t="s">
        <v>0</v>
      </c>
      <c r="DC56" s="167" t="s">
        <v>188</v>
      </c>
      <c r="DD56" s="169" t="s">
        <v>0</v>
      </c>
      <c r="DE56" s="167">
        <v>635.21063226146919</v>
      </c>
      <c r="DF56" s="169" t="s">
        <v>188</v>
      </c>
      <c r="DG56" s="167" t="s">
        <v>188</v>
      </c>
      <c r="DH56" s="166" t="s">
        <v>0</v>
      </c>
      <c r="DI56" s="175">
        <v>653.584835131143</v>
      </c>
      <c r="DJ56" s="168" t="s">
        <v>188</v>
      </c>
      <c r="DK56" s="90"/>
      <c r="DL56" s="90"/>
      <c r="DM56" s="90"/>
      <c r="DN56" s="90"/>
      <c r="DO56" s="90"/>
    </row>
    <row r="57" spans="1:119" ht="26.25" customHeight="1">
      <c r="A57" s="164" t="s">
        <v>176</v>
      </c>
      <c r="B57" s="159" t="s">
        <v>188</v>
      </c>
      <c r="C57" s="165">
        <v>868.37621693121685</v>
      </c>
      <c r="D57" s="166" t="s">
        <v>188</v>
      </c>
      <c r="E57" s="167">
        <v>853.52348298664981</v>
      </c>
      <c r="F57" s="166" t="s">
        <v>188</v>
      </c>
      <c r="G57" s="167" t="s">
        <v>188</v>
      </c>
      <c r="H57" s="166" t="s">
        <v>0</v>
      </c>
      <c r="I57" s="167" t="s">
        <v>188</v>
      </c>
      <c r="J57" s="166" t="s">
        <v>0</v>
      </c>
      <c r="K57" s="167" t="s">
        <v>188</v>
      </c>
      <c r="L57" s="166" t="s">
        <v>0</v>
      </c>
      <c r="M57" s="167" t="s">
        <v>188</v>
      </c>
      <c r="N57" s="166" t="s">
        <v>0</v>
      </c>
      <c r="O57" s="167">
        <v>848.95914780524981</v>
      </c>
      <c r="P57" s="166" t="s">
        <v>188</v>
      </c>
      <c r="Q57" s="167" t="s">
        <v>188</v>
      </c>
      <c r="R57" s="166" t="s">
        <v>0</v>
      </c>
      <c r="S57" s="167" t="s">
        <v>188</v>
      </c>
      <c r="T57" s="166" t="s">
        <v>0</v>
      </c>
      <c r="U57" s="167" t="s">
        <v>188</v>
      </c>
      <c r="V57" s="166" t="s">
        <v>0</v>
      </c>
      <c r="W57" s="167" t="s">
        <v>188</v>
      </c>
      <c r="X57" s="166" t="s">
        <v>0</v>
      </c>
      <c r="Y57" s="167">
        <v>941.3180875238096</v>
      </c>
      <c r="Z57" s="169" t="s">
        <v>188</v>
      </c>
      <c r="AA57" s="167" t="s">
        <v>188</v>
      </c>
      <c r="AB57" s="166" t="s">
        <v>0</v>
      </c>
      <c r="AC57" s="175">
        <v>974.94386243386248</v>
      </c>
      <c r="AD57" s="168" t="s">
        <v>188</v>
      </c>
      <c r="AE57" s="165">
        <v>782.64339554883361</v>
      </c>
      <c r="AF57" s="166" t="s">
        <v>188</v>
      </c>
      <c r="AG57" s="167">
        <v>779.99171049157985</v>
      </c>
      <c r="AH57" s="166" t="s">
        <v>188</v>
      </c>
      <c r="AI57" s="167" t="s">
        <v>188</v>
      </c>
      <c r="AJ57" s="166" t="s">
        <v>0</v>
      </c>
      <c r="AK57" s="167" t="s">
        <v>188</v>
      </c>
      <c r="AL57" s="166" t="s">
        <v>0</v>
      </c>
      <c r="AM57" s="167" t="s">
        <v>188</v>
      </c>
      <c r="AN57" s="166" t="s">
        <v>0</v>
      </c>
      <c r="AO57" s="167" t="s">
        <v>188</v>
      </c>
      <c r="AP57" s="166" t="s">
        <v>0</v>
      </c>
      <c r="AQ57" s="167">
        <v>781.56941183090942</v>
      </c>
      <c r="AR57" s="166" t="s">
        <v>188</v>
      </c>
      <c r="AS57" s="167" t="s">
        <v>188</v>
      </c>
      <c r="AT57" s="166" t="s">
        <v>0</v>
      </c>
      <c r="AU57" s="167" t="s">
        <v>188</v>
      </c>
      <c r="AV57" s="166" t="s">
        <v>0</v>
      </c>
      <c r="AW57" s="167" t="s">
        <v>188</v>
      </c>
      <c r="AX57" s="166" t="s">
        <v>0</v>
      </c>
      <c r="AY57" s="167" t="s">
        <v>188</v>
      </c>
      <c r="AZ57" s="169" t="s">
        <v>0</v>
      </c>
      <c r="BA57" s="167">
        <v>766.09681310571466</v>
      </c>
      <c r="BB57" s="169" t="s">
        <v>188</v>
      </c>
      <c r="BC57" s="167" t="s">
        <v>188</v>
      </c>
      <c r="BD57" s="166" t="s">
        <v>0</v>
      </c>
      <c r="BE57" s="175">
        <v>791.19095757166588</v>
      </c>
      <c r="BF57" s="168" t="s">
        <v>188</v>
      </c>
      <c r="BG57" s="165">
        <v>677.84666810627789</v>
      </c>
      <c r="BH57" s="166" t="s">
        <v>188</v>
      </c>
      <c r="BI57" s="167">
        <v>672.97620841379364</v>
      </c>
      <c r="BJ57" s="166" t="s">
        <v>188</v>
      </c>
      <c r="BK57" s="167" t="s">
        <v>188</v>
      </c>
      <c r="BL57" s="166" t="s">
        <v>0</v>
      </c>
      <c r="BM57" s="167" t="s">
        <v>188</v>
      </c>
      <c r="BN57" s="166" t="s">
        <v>0</v>
      </c>
      <c r="BO57" s="167" t="s">
        <v>188</v>
      </c>
      <c r="BP57" s="166" t="s">
        <v>0</v>
      </c>
      <c r="BQ57" s="167" t="s">
        <v>188</v>
      </c>
      <c r="BR57" s="166" t="s">
        <v>0</v>
      </c>
      <c r="BS57" s="167">
        <v>675.93685491645681</v>
      </c>
      <c r="BT57" s="166" t="s">
        <v>188</v>
      </c>
      <c r="BU57" s="167" t="s">
        <v>188</v>
      </c>
      <c r="BV57" s="166" t="s">
        <v>0</v>
      </c>
      <c r="BW57" s="167" t="s">
        <v>188</v>
      </c>
      <c r="BX57" s="166" t="s">
        <v>0</v>
      </c>
      <c r="BY57" s="167" t="s">
        <v>188</v>
      </c>
      <c r="BZ57" s="166" t="s">
        <v>0</v>
      </c>
      <c r="CA57" s="167" t="s">
        <v>188</v>
      </c>
      <c r="CB57" s="169" t="s">
        <v>0</v>
      </c>
      <c r="CC57" s="167">
        <v>679.97546004612889</v>
      </c>
      <c r="CD57" s="169" t="s">
        <v>188</v>
      </c>
      <c r="CE57" s="167" t="s">
        <v>188</v>
      </c>
      <c r="CF57" s="166" t="s">
        <v>0</v>
      </c>
      <c r="CG57" s="175">
        <v>697.49429466972629</v>
      </c>
      <c r="CH57" s="168" t="s">
        <v>188</v>
      </c>
      <c r="CI57" s="165">
        <v>660.33659467883137</v>
      </c>
      <c r="CJ57" s="166" t="s">
        <v>188</v>
      </c>
      <c r="CK57" s="167">
        <v>654.62966717171719</v>
      </c>
      <c r="CL57" s="166" t="s">
        <v>188</v>
      </c>
      <c r="CM57" s="167" t="s">
        <v>188</v>
      </c>
      <c r="CN57" s="166" t="s">
        <v>0</v>
      </c>
      <c r="CO57" s="167" t="s">
        <v>188</v>
      </c>
      <c r="CP57" s="166" t="s">
        <v>0</v>
      </c>
      <c r="CQ57" s="167" t="s">
        <v>188</v>
      </c>
      <c r="CR57" s="166" t="s">
        <v>0</v>
      </c>
      <c r="CS57" s="167" t="s">
        <v>188</v>
      </c>
      <c r="CT57" s="166" t="s">
        <v>0</v>
      </c>
      <c r="CU57" s="167">
        <v>661.12221667806273</v>
      </c>
      <c r="CV57" s="166" t="s">
        <v>188</v>
      </c>
      <c r="CW57" s="167" t="s">
        <v>188</v>
      </c>
      <c r="CX57" s="166" t="s">
        <v>0</v>
      </c>
      <c r="CY57" s="167" t="s">
        <v>188</v>
      </c>
      <c r="CZ57" s="166" t="s">
        <v>0</v>
      </c>
      <c r="DA57" s="167" t="s">
        <v>188</v>
      </c>
      <c r="DB57" s="166" t="s">
        <v>0</v>
      </c>
      <c r="DC57" s="167" t="s">
        <v>188</v>
      </c>
      <c r="DD57" s="169" t="s">
        <v>0</v>
      </c>
      <c r="DE57" s="167">
        <v>657.33436445013774</v>
      </c>
      <c r="DF57" s="169" t="s">
        <v>188</v>
      </c>
      <c r="DG57" s="167" t="s">
        <v>188</v>
      </c>
      <c r="DH57" s="166" t="s">
        <v>0</v>
      </c>
      <c r="DI57" s="175">
        <v>682.01819590590117</v>
      </c>
      <c r="DJ57" s="168" t="s">
        <v>188</v>
      </c>
      <c r="DK57" s="90"/>
      <c r="DL57" s="90"/>
      <c r="DM57" s="90"/>
      <c r="DN57" s="90"/>
      <c r="DO57" s="90"/>
    </row>
    <row r="58" spans="1:119">
      <c r="A58" s="233"/>
      <c r="B58" s="79"/>
      <c r="C58" s="84"/>
      <c r="D58" s="77"/>
      <c r="E58" s="81"/>
      <c r="F58" s="77"/>
      <c r="G58" s="81"/>
      <c r="H58" s="77"/>
      <c r="I58" s="81"/>
      <c r="J58" s="77"/>
      <c r="K58" s="81"/>
      <c r="L58" s="77"/>
      <c r="M58" s="81"/>
      <c r="N58" s="77"/>
      <c r="O58" s="81"/>
      <c r="P58" s="77"/>
      <c r="Q58" s="81"/>
      <c r="R58" s="77"/>
      <c r="S58" s="81"/>
      <c r="T58" s="77"/>
      <c r="U58" s="81"/>
      <c r="V58" s="77"/>
      <c r="W58" s="81"/>
      <c r="X58" s="77"/>
      <c r="Y58" s="81"/>
      <c r="Z58" s="124"/>
      <c r="AA58" s="81"/>
      <c r="AB58" s="77"/>
      <c r="AC58" s="83"/>
      <c r="AD58" s="78"/>
      <c r="AE58" s="84"/>
      <c r="AF58" s="77"/>
      <c r="AG58" s="81"/>
      <c r="AH58" s="77"/>
      <c r="AI58" s="81"/>
      <c r="AJ58" s="77"/>
      <c r="AK58" s="81"/>
      <c r="AL58" s="77"/>
      <c r="AM58" s="81"/>
      <c r="AN58" s="77"/>
      <c r="AO58" s="81"/>
      <c r="AP58" s="77"/>
      <c r="AQ58" s="81"/>
      <c r="AR58" s="77"/>
      <c r="AS58" s="81"/>
      <c r="AT58" s="77"/>
      <c r="AU58" s="81"/>
      <c r="AV58" s="77"/>
      <c r="AW58" s="81"/>
      <c r="AX58" s="77"/>
      <c r="AY58" s="124"/>
      <c r="AZ58" s="124"/>
      <c r="BA58" s="81"/>
      <c r="BB58" s="124"/>
      <c r="BC58" s="81"/>
      <c r="BD58" s="77"/>
      <c r="BE58" s="83"/>
      <c r="BF58" s="78"/>
      <c r="BG58" s="84"/>
      <c r="BH58" s="77"/>
      <c r="BI58" s="81"/>
      <c r="BJ58" s="77"/>
      <c r="BK58" s="81"/>
      <c r="BL58" s="77"/>
      <c r="BM58" s="81"/>
      <c r="BN58" s="77"/>
      <c r="BO58" s="81"/>
      <c r="BP58" s="77"/>
      <c r="BQ58" s="81"/>
      <c r="BR58" s="77"/>
      <c r="BS58" s="81"/>
      <c r="BT58" s="77"/>
      <c r="BU58" s="81"/>
      <c r="BV58" s="77"/>
      <c r="BW58" s="81"/>
      <c r="BX58" s="77"/>
      <c r="BY58" s="81"/>
      <c r="BZ58" s="77"/>
      <c r="CA58" s="124"/>
      <c r="CB58" s="124"/>
      <c r="CC58" s="81"/>
      <c r="CD58" s="124"/>
      <c r="CE58" s="81"/>
      <c r="CF58" s="77"/>
      <c r="CG58" s="83"/>
      <c r="CH58" s="78"/>
      <c r="CI58" s="84"/>
      <c r="CJ58" s="77"/>
      <c r="CK58" s="81"/>
      <c r="CL58" s="77"/>
      <c r="CM58" s="81"/>
      <c r="CN58" s="77"/>
      <c r="CO58" s="81"/>
      <c r="CP58" s="77"/>
      <c r="CQ58" s="81"/>
      <c r="CR58" s="77"/>
      <c r="CS58" s="81"/>
      <c r="CT58" s="77"/>
      <c r="CU58" s="81"/>
      <c r="CV58" s="77"/>
      <c r="CW58" s="81"/>
      <c r="CX58" s="77"/>
      <c r="CY58" s="81"/>
      <c r="CZ58" s="77"/>
      <c r="DA58" s="81"/>
      <c r="DB58" s="77"/>
      <c r="DC58" s="124"/>
      <c r="DD58" s="124"/>
      <c r="DE58" s="81"/>
      <c r="DF58" s="124"/>
      <c r="DG58" s="81"/>
      <c r="DH58" s="77"/>
      <c r="DI58" s="83"/>
      <c r="DJ58" s="78"/>
      <c r="DK58" s="90"/>
      <c r="DL58" s="90"/>
      <c r="DM58" s="90"/>
      <c r="DN58" s="90"/>
      <c r="DO58" s="90"/>
    </row>
    <row r="59" spans="1:119">
      <c r="A59" s="39" t="s">
        <v>71</v>
      </c>
      <c r="B59" s="79"/>
      <c r="C59" s="84"/>
      <c r="D59" s="77"/>
      <c r="E59" s="81"/>
      <c r="F59" s="77"/>
      <c r="G59" s="81"/>
      <c r="H59" s="77"/>
      <c r="I59" s="81"/>
      <c r="J59" s="77"/>
      <c r="K59" s="81"/>
      <c r="L59" s="77"/>
      <c r="M59" s="81"/>
      <c r="N59" s="77"/>
      <c r="O59" s="81"/>
      <c r="P59" s="77"/>
      <c r="Q59" s="81"/>
      <c r="R59" s="77"/>
      <c r="S59" s="81"/>
      <c r="T59" s="77"/>
      <c r="U59" s="81"/>
      <c r="V59" s="77"/>
      <c r="W59" s="81"/>
      <c r="X59" s="77"/>
      <c r="Y59" s="81"/>
      <c r="Z59" s="124"/>
      <c r="AA59" s="81"/>
      <c r="AB59" s="77"/>
      <c r="AC59" s="83"/>
      <c r="AD59" s="78"/>
      <c r="AE59" s="84"/>
      <c r="AF59" s="77"/>
      <c r="AG59" s="81"/>
      <c r="AH59" s="77"/>
      <c r="AI59" s="81"/>
      <c r="AJ59" s="77"/>
      <c r="AK59" s="81"/>
      <c r="AL59" s="77"/>
      <c r="AM59" s="81"/>
      <c r="AN59" s="77"/>
      <c r="AO59" s="81"/>
      <c r="AP59" s="77"/>
      <c r="AQ59" s="81"/>
      <c r="AR59" s="77"/>
      <c r="AS59" s="81"/>
      <c r="AT59" s="77"/>
      <c r="AU59" s="81"/>
      <c r="AV59" s="77"/>
      <c r="AW59" s="81"/>
      <c r="AX59" s="77"/>
      <c r="AY59" s="124"/>
      <c r="AZ59" s="124"/>
      <c r="BA59" s="81"/>
      <c r="BB59" s="124"/>
      <c r="BC59" s="81"/>
      <c r="BD59" s="77"/>
      <c r="BE59" s="83"/>
      <c r="BF59" s="78"/>
      <c r="BG59" s="84"/>
      <c r="BH59" s="77"/>
      <c r="BI59" s="81"/>
      <c r="BJ59" s="77"/>
      <c r="BK59" s="81"/>
      <c r="BL59" s="77"/>
      <c r="BM59" s="81"/>
      <c r="BN59" s="77"/>
      <c r="BO59" s="81"/>
      <c r="BP59" s="77"/>
      <c r="BQ59" s="81"/>
      <c r="BR59" s="77"/>
      <c r="BS59" s="81"/>
      <c r="BT59" s="77"/>
      <c r="BU59" s="81"/>
      <c r="BV59" s="77"/>
      <c r="BW59" s="81"/>
      <c r="BX59" s="77"/>
      <c r="BY59" s="81"/>
      <c r="BZ59" s="77"/>
      <c r="CA59" s="124"/>
      <c r="CB59" s="124"/>
      <c r="CC59" s="81"/>
      <c r="CD59" s="124"/>
      <c r="CE59" s="81"/>
      <c r="CF59" s="77"/>
      <c r="CG59" s="83"/>
      <c r="CH59" s="78"/>
      <c r="CI59" s="84"/>
      <c r="CJ59" s="77"/>
      <c r="CK59" s="81"/>
      <c r="CL59" s="77"/>
      <c r="CM59" s="81"/>
      <c r="CN59" s="77"/>
      <c r="CO59" s="81"/>
      <c r="CP59" s="77"/>
      <c r="CQ59" s="81"/>
      <c r="CR59" s="77"/>
      <c r="CS59" s="81"/>
      <c r="CT59" s="77"/>
      <c r="CU59" s="81"/>
      <c r="CV59" s="77"/>
      <c r="CW59" s="81"/>
      <c r="CX59" s="77"/>
      <c r="CY59" s="81"/>
      <c r="CZ59" s="77"/>
      <c r="DA59" s="81"/>
      <c r="DB59" s="77"/>
      <c r="DC59" s="124"/>
      <c r="DD59" s="124"/>
      <c r="DE59" s="81"/>
      <c r="DF59" s="124"/>
      <c r="DG59" s="81"/>
      <c r="DH59" s="77"/>
      <c r="DI59" s="83"/>
      <c r="DJ59" s="78"/>
      <c r="DK59" s="90"/>
      <c r="DL59" s="90"/>
      <c r="DM59" s="90"/>
      <c r="DN59" s="90"/>
      <c r="DO59" s="90"/>
    </row>
    <row r="60" spans="1:119">
      <c r="A60" s="162" t="s">
        <v>50</v>
      </c>
      <c r="B60" s="149" t="s">
        <v>188</v>
      </c>
      <c r="C60" s="154" t="s">
        <v>188</v>
      </c>
      <c r="D60" s="75" t="s">
        <v>0</v>
      </c>
      <c r="E60" s="85" t="s">
        <v>188</v>
      </c>
      <c r="F60" s="75" t="s">
        <v>0</v>
      </c>
      <c r="G60" s="85" t="s">
        <v>188</v>
      </c>
      <c r="H60" s="75" t="s">
        <v>0</v>
      </c>
      <c r="I60" s="85" t="s">
        <v>188</v>
      </c>
      <c r="J60" s="75" t="s">
        <v>0</v>
      </c>
      <c r="K60" s="85" t="s">
        <v>188</v>
      </c>
      <c r="L60" s="75" t="s">
        <v>0</v>
      </c>
      <c r="M60" s="85" t="s">
        <v>188</v>
      </c>
      <c r="N60" s="75" t="s">
        <v>0</v>
      </c>
      <c r="O60" s="85" t="s">
        <v>188</v>
      </c>
      <c r="P60" s="75" t="s">
        <v>0</v>
      </c>
      <c r="Q60" s="85" t="s">
        <v>188</v>
      </c>
      <c r="R60" s="75" t="s">
        <v>0</v>
      </c>
      <c r="S60" s="85" t="s">
        <v>188</v>
      </c>
      <c r="T60" s="75" t="s">
        <v>0</v>
      </c>
      <c r="U60" s="85" t="s">
        <v>188</v>
      </c>
      <c r="V60" s="75" t="s">
        <v>0</v>
      </c>
      <c r="W60" s="85" t="s">
        <v>188</v>
      </c>
      <c r="X60" s="75" t="s">
        <v>0</v>
      </c>
      <c r="Y60" s="85" t="s">
        <v>188</v>
      </c>
      <c r="Z60" s="155" t="s">
        <v>0</v>
      </c>
      <c r="AA60" s="85" t="s">
        <v>188</v>
      </c>
      <c r="AB60" s="75" t="s">
        <v>0</v>
      </c>
      <c r="AC60" s="173" t="s">
        <v>188</v>
      </c>
      <c r="AD60" s="76" t="s">
        <v>0</v>
      </c>
      <c r="AE60" s="154" t="s">
        <v>188</v>
      </c>
      <c r="AF60" s="75" t="s">
        <v>0</v>
      </c>
      <c r="AG60" s="85" t="s">
        <v>188</v>
      </c>
      <c r="AH60" s="75" t="s">
        <v>0</v>
      </c>
      <c r="AI60" s="85" t="s">
        <v>188</v>
      </c>
      <c r="AJ60" s="75" t="s">
        <v>0</v>
      </c>
      <c r="AK60" s="85" t="s">
        <v>188</v>
      </c>
      <c r="AL60" s="75" t="s">
        <v>0</v>
      </c>
      <c r="AM60" s="85" t="s">
        <v>188</v>
      </c>
      <c r="AN60" s="75" t="s">
        <v>0</v>
      </c>
      <c r="AO60" s="85" t="s">
        <v>188</v>
      </c>
      <c r="AP60" s="75" t="s">
        <v>0</v>
      </c>
      <c r="AQ60" s="85" t="s">
        <v>188</v>
      </c>
      <c r="AR60" s="75" t="s">
        <v>0</v>
      </c>
      <c r="AS60" s="85" t="s">
        <v>188</v>
      </c>
      <c r="AT60" s="75" t="s">
        <v>0</v>
      </c>
      <c r="AU60" s="85" t="s">
        <v>188</v>
      </c>
      <c r="AV60" s="75" t="s">
        <v>0</v>
      </c>
      <c r="AW60" s="85" t="s">
        <v>188</v>
      </c>
      <c r="AX60" s="75" t="s">
        <v>0</v>
      </c>
      <c r="AY60" s="85" t="s">
        <v>188</v>
      </c>
      <c r="AZ60" s="155" t="s">
        <v>0</v>
      </c>
      <c r="BA60" s="85" t="s">
        <v>188</v>
      </c>
      <c r="BB60" s="155" t="s">
        <v>0</v>
      </c>
      <c r="BC60" s="85" t="s">
        <v>188</v>
      </c>
      <c r="BD60" s="75" t="s">
        <v>0</v>
      </c>
      <c r="BE60" s="173" t="s">
        <v>188</v>
      </c>
      <c r="BF60" s="76" t="s">
        <v>0</v>
      </c>
      <c r="BG60" s="154" t="s">
        <v>188</v>
      </c>
      <c r="BH60" s="75" t="s">
        <v>0</v>
      </c>
      <c r="BI60" s="85" t="s">
        <v>188</v>
      </c>
      <c r="BJ60" s="75" t="s">
        <v>0</v>
      </c>
      <c r="BK60" s="85" t="s">
        <v>188</v>
      </c>
      <c r="BL60" s="75" t="s">
        <v>0</v>
      </c>
      <c r="BM60" s="85" t="s">
        <v>188</v>
      </c>
      <c r="BN60" s="75" t="s">
        <v>0</v>
      </c>
      <c r="BO60" s="85" t="s">
        <v>188</v>
      </c>
      <c r="BP60" s="75" t="s">
        <v>0</v>
      </c>
      <c r="BQ60" s="85" t="s">
        <v>188</v>
      </c>
      <c r="BR60" s="75" t="s">
        <v>0</v>
      </c>
      <c r="BS60" s="85" t="s">
        <v>188</v>
      </c>
      <c r="BT60" s="75" t="s">
        <v>0</v>
      </c>
      <c r="BU60" s="85" t="s">
        <v>188</v>
      </c>
      <c r="BV60" s="75" t="s">
        <v>0</v>
      </c>
      <c r="BW60" s="85" t="s">
        <v>188</v>
      </c>
      <c r="BX60" s="75" t="s">
        <v>0</v>
      </c>
      <c r="BY60" s="85" t="s">
        <v>188</v>
      </c>
      <c r="BZ60" s="75" t="s">
        <v>0</v>
      </c>
      <c r="CA60" s="85" t="s">
        <v>188</v>
      </c>
      <c r="CB60" s="155" t="s">
        <v>0</v>
      </c>
      <c r="CC60" s="85" t="s">
        <v>188</v>
      </c>
      <c r="CD60" s="155" t="s">
        <v>0</v>
      </c>
      <c r="CE60" s="85" t="s">
        <v>188</v>
      </c>
      <c r="CF60" s="75" t="s">
        <v>0</v>
      </c>
      <c r="CG60" s="173" t="s">
        <v>188</v>
      </c>
      <c r="CH60" s="76" t="s">
        <v>0</v>
      </c>
      <c r="CI60" s="154" t="s">
        <v>188</v>
      </c>
      <c r="CJ60" s="75" t="s">
        <v>0</v>
      </c>
      <c r="CK60" s="85" t="s">
        <v>188</v>
      </c>
      <c r="CL60" s="75" t="s">
        <v>0</v>
      </c>
      <c r="CM60" s="85" t="s">
        <v>188</v>
      </c>
      <c r="CN60" s="75" t="s">
        <v>0</v>
      </c>
      <c r="CO60" s="85" t="s">
        <v>188</v>
      </c>
      <c r="CP60" s="75" t="s">
        <v>0</v>
      </c>
      <c r="CQ60" s="85" t="s">
        <v>188</v>
      </c>
      <c r="CR60" s="75" t="s">
        <v>0</v>
      </c>
      <c r="CS60" s="85" t="s">
        <v>188</v>
      </c>
      <c r="CT60" s="75" t="s">
        <v>0</v>
      </c>
      <c r="CU60" s="85" t="s">
        <v>188</v>
      </c>
      <c r="CV60" s="75" t="s">
        <v>0</v>
      </c>
      <c r="CW60" s="85" t="s">
        <v>188</v>
      </c>
      <c r="CX60" s="75" t="s">
        <v>0</v>
      </c>
      <c r="CY60" s="85" t="s">
        <v>188</v>
      </c>
      <c r="CZ60" s="75" t="s">
        <v>0</v>
      </c>
      <c r="DA60" s="85" t="s">
        <v>188</v>
      </c>
      <c r="DB60" s="75" t="s">
        <v>0</v>
      </c>
      <c r="DC60" s="85" t="s">
        <v>188</v>
      </c>
      <c r="DD60" s="155" t="s">
        <v>0</v>
      </c>
      <c r="DE60" s="85" t="s">
        <v>188</v>
      </c>
      <c r="DF60" s="155" t="s">
        <v>0</v>
      </c>
      <c r="DG60" s="85" t="s">
        <v>188</v>
      </c>
      <c r="DH60" s="75" t="s">
        <v>0</v>
      </c>
      <c r="DI60" s="173" t="s">
        <v>188</v>
      </c>
      <c r="DJ60" s="76" t="s">
        <v>0</v>
      </c>
      <c r="DK60" s="90"/>
      <c r="DL60" s="90"/>
      <c r="DM60" s="90"/>
      <c r="DN60" s="90"/>
      <c r="DO60" s="90"/>
    </row>
    <row r="61" spans="1:119">
      <c r="A61" s="162" t="s">
        <v>40</v>
      </c>
      <c r="B61" s="149" t="s">
        <v>188</v>
      </c>
      <c r="C61" s="154" t="s">
        <v>188</v>
      </c>
      <c r="D61" s="75" t="s">
        <v>0</v>
      </c>
      <c r="E61" s="85" t="s">
        <v>188</v>
      </c>
      <c r="F61" s="75" t="s">
        <v>0</v>
      </c>
      <c r="G61" s="85" t="s">
        <v>188</v>
      </c>
      <c r="H61" s="75" t="s">
        <v>0</v>
      </c>
      <c r="I61" s="85" t="s">
        <v>188</v>
      </c>
      <c r="J61" s="75" t="s">
        <v>0</v>
      </c>
      <c r="K61" s="85" t="s">
        <v>188</v>
      </c>
      <c r="L61" s="75" t="s">
        <v>0</v>
      </c>
      <c r="M61" s="85" t="s">
        <v>188</v>
      </c>
      <c r="N61" s="75" t="s">
        <v>0</v>
      </c>
      <c r="O61" s="85" t="s">
        <v>188</v>
      </c>
      <c r="P61" s="75" t="s">
        <v>0</v>
      </c>
      <c r="Q61" s="85" t="s">
        <v>188</v>
      </c>
      <c r="R61" s="75" t="s">
        <v>0</v>
      </c>
      <c r="S61" s="85" t="s">
        <v>188</v>
      </c>
      <c r="T61" s="75" t="s">
        <v>0</v>
      </c>
      <c r="U61" s="85" t="s">
        <v>188</v>
      </c>
      <c r="V61" s="75" t="s">
        <v>0</v>
      </c>
      <c r="W61" s="85" t="s">
        <v>188</v>
      </c>
      <c r="X61" s="75" t="s">
        <v>0</v>
      </c>
      <c r="Y61" s="85" t="s">
        <v>188</v>
      </c>
      <c r="Z61" s="155" t="s">
        <v>0</v>
      </c>
      <c r="AA61" s="85" t="s">
        <v>188</v>
      </c>
      <c r="AB61" s="75" t="s">
        <v>0</v>
      </c>
      <c r="AC61" s="173" t="s">
        <v>188</v>
      </c>
      <c r="AD61" s="76" t="s">
        <v>0</v>
      </c>
      <c r="AE61" s="154" t="s">
        <v>188</v>
      </c>
      <c r="AF61" s="75" t="s">
        <v>0</v>
      </c>
      <c r="AG61" s="85" t="s">
        <v>188</v>
      </c>
      <c r="AH61" s="75" t="s">
        <v>0</v>
      </c>
      <c r="AI61" s="85" t="s">
        <v>188</v>
      </c>
      <c r="AJ61" s="75" t="s">
        <v>0</v>
      </c>
      <c r="AK61" s="85" t="s">
        <v>188</v>
      </c>
      <c r="AL61" s="75" t="s">
        <v>0</v>
      </c>
      <c r="AM61" s="85" t="s">
        <v>188</v>
      </c>
      <c r="AN61" s="75" t="s">
        <v>0</v>
      </c>
      <c r="AO61" s="85" t="s">
        <v>188</v>
      </c>
      <c r="AP61" s="75" t="s">
        <v>0</v>
      </c>
      <c r="AQ61" s="85" t="s">
        <v>188</v>
      </c>
      <c r="AR61" s="75" t="s">
        <v>0</v>
      </c>
      <c r="AS61" s="85" t="s">
        <v>188</v>
      </c>
      <c r="AT61" s="75" t="s">
        <v>0</v>
      </c>
      <c r="AU61" s="85" t="s">
        <v>188</v>
      </c>
      <c r="AV61" s="75" t="s">
        <v>0</v>
      </c>
      <c r="AW61" s="85" t="s">
        <v>188</v>
      </c>
      <c r="AX61" s="75" t="s">
        <v>0</v>
      </c>
      <c r="AY61" s="85" t="s">
        <v>188</v>
      </c>
      <c r="AZ61" s="155" t="s">
        <v>0</v>
      </c>
      <c r="BA61" s="85" t="s">
        <v>188</v>
      </c>
      <c r="BB61" s="155" t="s">
        <v>0</v>
      </c>
      <c r="BC61" s="85" t="s">
        <v>188</v>
      </c>
      <c r="BD61" s="75" t="s">
        <v>0</v>
      </c>
      <c r="BE61" s="173" t="s">
        <v>188</v>
      </c>
      <c r="BF61" s="76" t="s">
        <v>0</v>
      </c>
      <c r="BG61" s="154" t="s">
        <v>188</v>
      </c>
      <c r="BH61" s="75" t="s">
        <v>0</v>
      </c>
      <c r="BI61" s="85" t="s">
        <v>188</v>
      </c>
      <c r="BJ61" s="75" t="s">
        <v>0</v>
      </c>
      <c r="BK61" s="85" t="s">
        <v>188</v>
      </c>
      <c r="BL61" s="75" t="s">
        <v>0</v>
      </c>
      <c r="BM61" s="85" t="s">
        <v>188</v>
      </c>
      <c r="BN61" s="75" t="s">
        <v>0</v>
      </c>
      <c r="BO61" s="85" t="s">
        <v>188</v>
      </c>
      <c r="BP61" s="75" t="s">
        <v>0</v>
      </c>
      <c r="BQ61" s="85" t="s">
        <v>188</v>
      </c>
      <c r="BR61" s="75" t="s">
        <v>0</v>
      </c>
      <c r="BS61" s="85" t="s">
        <v>188</v>
      </c>
      <c r="BT61" s="75" t="s">
        <v>0</v>
      </c>
      <c r="BU61" s="85" t="s">
        <v>188</v>
      </c>
      <c r="BV61" s="75" t="s">
        <v>0</v>
      </c>
      <c r="BW61" s="85" t="s">
        <v>188</v>
      </c>
      <c r="BX61" s="75" t="s">
        <v>0</v>
      </c>
      <c r="BY61" s="85" t="s">
        <v>188</v>
      </c>
      <c r="BZ61" s="75" t="s">
        <v>0</v>
      </c>
      <c r="CA61" s="85" t="s">
        <v>188</v>
      </c>
      <c r="CB61" s="155" t="s">
        <v>0</v>
      </c>
      <c r="CC61" s="85" t="s">
        <v>188</v>
      </c>
      <c r="CD61" s="155" t="s">
        <v>0</v>
      </c>
      <c r="CE61" s="85" t="s">
        <v>188</v>
      </c>
      <c r="CF61" s="75" t="s">
        <v>0</v>
      </c>
      <c r="CG61" s="173" t="s">
        <v>188</v>
      </c>
      <c r="CH61" s="76" t="s">
        <v>0</v>
      </c>
      <c r="CI61" s="154" t="s">
        <v>188</v>
      </c>
      <c r="CJ61" s="75" t="s">
        <v>0</v>
      </c>
      <c r="CK61" s="85" t="s">
        <v>0</v>
      </c>
      <c r="CL61" s="75" t="s">
        <v>188</v>
      </c>
      <c r="CM61" s="85" t="s">
        <v>188</v>
      </c>
      <c r="CN61" s="75" t="s">
        <v>0</v>
      </c>
      <c r="CO61" s="85" t="s">
        <v>188</v>
      </c>
      <c r="CP61" s="75" t="s">
        <v>0</v>
      </c>
      <c r="CQ61" s="85" t="s">
        <v>188</v>
      </c>
      <c r="CR61" s="75" t="s">
        <v>0</v>
      </c>
      <c r="CS61" s="85" t="s">
        <v>188</v>
      </c>
      <c r="CT61" s="75" t="s">
        <v>0</v>
      </c>
      <c r="CU61" s="85" t="s">
        <v>188</v>
      </c>
      <c r="CV61" s="75" t="s">
        <v>0</v>
      </c>
      <c r="CW61" s="85" t="s">
        <v>188</v>
      </c>
      <c r="CX61" s="75" t="s">
        <v>0</v>
      </c>
      <c r="CY61" s="85" t="s">
        <v>188</v>
      </c>
      <c r="CZ61" s="75" t="s">
        <v>0</v>
      </c>
      <c r="DA61" s="85" t="s">
        <v>188</v>
      </c>
      <c r="DB61" s="75" t="s">
        <v>0</v>
      </c>
      <c r="DC61" s="85" t="s">
        <v>188</v>
      </c>
      <c r="DD61" s="155" t="s">
        <v>0</v>
      </c>
      <c r="DE61" s="85" t="s">
        <v>188</v>
      </c>
      <c r="DF61" s="155" t="s">
        <v>0</v>
      </c>
      <c r="DG61" s="85" t="s">
        <v>188</v>
      </c>
      <c r="DH61" s="75" t="s">
        <v>0</v>
      </c>
      <c r="DI61" s="173" t="s">
        <v>188</v>
      </c>
      <c r="DJ61" s="76" t="s">
        <v>0</v>
      </c>
      <c r="DK61" s="90"/>
      <c r="DL61" s="90"/>
      <c r="DM61" s="90"/>
      <c r="DN61" s="90"/>
      <c r="DO61" s="90"/>
    </row>
    <row r="62" spans="1:119">
      <c r="A62" s="38" t="s">
        <v>47</v>
      </c>
      <c r="B62" s="153" t="s">
        <v>188</v>
      </c>
      <c r="C62" s="84" t="s">
        <v>188</v>
      </c>
      <c r="D62" s="77" t="s">
        <v>0</v>
      </c>
      <c r="E62" s="81" t="s">
        <v>188</v>
      </c>
      <c r="F62" s="77" t="s">
        <v>0</v>
      </c>
      <c r="G62" s="81" t="s">
        <v>188</v>
      </c>
      <c r="H62" s="77" t="s">
        <v>0</v>
      </c>
      <c r="I62" s="81" t="s">
        <v>188</v>
      </c>
      <c r="J62" s="77" t="s">
        <v>0</v>
      </c>
      <c r="K62" s="81" t="s">
        <v>188</v>
      </c>
      <c r="L62" s="77" t="s">
        <v>0</v>
      </c>
      <c r="M62" s="81" t="s">
        <v>188</v>
      </c>
      <c r="N62" s="77" t="s">
        <v>0</v>
      </c>
      <c r="O62" s="81" t="s">
        <v>188</v>
      </c>
      <c r="P62" s="77" t="s">
        <v>0</v>
      </c>
      <c r="Q62" s="81" t="s">
        <v>188</v>
      </c>
      <c r="R62" s="77" t="s">
        <v>0</v>
      </c>
      <c r="S62" s="81" t="s">
        <v>188</v>
      </c>
      <c r="T62" s="77" t="s">
        <v>0</v>
      </c>
      <c r="U62" s="81" t="s">
        <v>188</v>
      </c>
      <c r="V62" s="77" t="s">
        <v>0</v>
      </c>
      <c r="W62" s="81" t="s">
        <v>188</v>
      </c>
      <c r="X62" s="77" t="s">
        <v>0</v>
      </c>
      <c r="Y62" s="81" t="s">
        <v>188</v>
      </c>
      <c r="Z62" s="124" t="s">
        <v>0</v>
      </c>
      <c r="AA62" s="81" t="s">
        <v>188</v>
      </c>
      <c r="AB62" s="77" t="s">
        <v>0</v>
      </c>
      <c r="AC62" s="83" t="s">
        <v>188</v>
      </c>
      <c r="AD62" s="78" t="s">
        <v>0</v>
      </c>
      <c r="AE62" s="84" t="s">
        <v>188</v>
      </c>
      <c r="AF62" s="77" t="s">
        <v>0</v>
      </c>
      <c r="AG62" s="81" t="s">
        <v>188</v>
      </c>
      <c r="AH62" s="77" t="s">
        <v>0</v>
      </c>
      <c r="AI62" s="81" t="s">
        <v>188</v>
      </c>
      <c r="AJ62" s="77" t="s">
        <v>0</v>
      </c>
      <c r="AK62" s="81" t="s">
        <v>188</v>
      </c>
      <c r="AL62" s="77" t="s">
        <v>0</v>
      </c>
      <c r="AM62" s="81" t="s">
        <v>188</v>
      </c>
      <c r="AN62" s="77" t="s">
        <v>0</v>
      </c>
      <c r="AO62" s="81" t="s">
        <v>188</v>
      </c>
      <c r="AP62" s="77" t="s">
        <v>0</v>
      </c>
      <c r="AQ62" s="81" t="s">
        <v>188</v>
      </c>
      <c r="AR62" s="77" t="s">
        <v>0</v>
      </c>
      <c r="AS62" s="81" t="s">
        <v>188</v>
      </c>
      <c r="AT62" s="77" t="s">
        <v>0</v>
      </c>
      <c r="AU62" s="81" t="s">
        <v>188</v>
      </c>
      <c r="AV62" s="77" t="s">
        <v>0</v>
      </c>
      <c r="AW62" s="81" t="s">
        <v>188</v>
      </c>
      <c r="AX62" s="77" t="s">
        <v>0</v>
      </c>
      <c r="AY62" s="81" t="s">
        <v>188</v>
      </c>
      <c r="AZ62" s="124" t="s">
        <v>0</v>
      </c>
      <c r="BA62" s="81" t="s">
        <v>188</v>
      </c>
      <c r="BB62" s="124" t="s">
        <v>0</v>
      </c>
      <c r="BC62" s="81" t="s">
        <v>188</v>
      </c>
      <c r="BD62" s="77" t="s">
        <v>0</v>
      </c>
      <c r="BE62" s="83" t="s">
        <v>188</v>
      </c>
      <c r="BF62" s="78" t="s">
        <v>0</v>
      </c>
      <c r="BG62" s="84" t="s">
        <v>188</v>
      </c>
      <c r="BH62" s="77" t="s">
        <v>0</v>
      </c>
      <c r="BI62" s="81" t="s">
        <v>188</v>
      </c>
      <c r="BJ62" s="77" t="s">
        <v>0</v>
      </c>
      <c r="BK62" s="81" t="s">
        <v>188</v>
      </c>
      <c r="BL62" s="77" t="s">
        <v>0</v>
      </c>
      <c r="BM62" s="81" t="s">
        <v>188</v>
      </c>
      <c r="BN62" s="77" t="s">
        <v>0</v>
      </c>
      <c r="BO62" s="81" t="s">
        <v>188</v>
      </c>
      <c r="BP62" s="77" t="s">
        <v>0</v>
      </c>
      <c r="BQ62" s="81" t="s">
        <v>188</v>
      </c>
      <c r="BR62" s="77" t="s">
        <v>0</v>
      </c>
      <c r="BS62" s="81" t="s">
        <v>188</v>
      </c>
      <c r="BT62" s="77" t="s">
        <v>0</v>
      </c>
      <c r="BU62" s="81" t="s">
        <v>188</v>
      </c>
      <c r="BV62" s="77" t="s">
        <v>0</v>
      </c>
      <c r="BW62" s="81" t="s">
        <v>188</v>
      </c>
      <c r="BX62" s="77" t="s">
        <v>0</v>
      </c>
      <c r="BY62" s="81" t="s">
        <v>188</v>
      </c>
      <c r="BZ62" s="77" t="s">
        <v>0</v>
      </c>
      <c r="CA62" s="81" t="s">
        <v>188</v>
      </c>
      <c r="CB62" s="124" t="s">
        <v>0</v>
      </c>
      <c r="CC62" s="81" t="s">
        <v>188</v>
      </c>
      <c r="CD62" s="124" t="s">
        <v>0</v>
      </c>
      <c r="CE62" s="81" t="s">
        <v>188</v>
      </c>
      <c r="CF62" s="77" t="s">
        <v>0</v>
      </c>
      <c r="CG62" s="83" t="s">
        <v>188</v>
      </c>
      <c r="CH62" s="78" t="s">
        <v>0</v>
      </c>
      <c r="CI62" s="84" t="s">
        <v>188</v>
      </c>
      <c r="CJ62" s="77" t="s">
        <v>0</v>
      </c>
      <c r="CK62" s="81" t="s">
        <v>188</v>
      </c>
      <c r="CL62" s="77" t="s">
        <v>0</v>
      </c>
      <c r="CM62" s="81" t="s">
        <v>188</v>
      </c>
      <c r="CN62" s="77" t="s">
        <v>0</v>
      </c>
      <c r="CO62" s="81" t="s">
        <v>188</v>
      </c>
      <c r="CP62" s="77" t="s">
        <v>0</v>
      </c>
      <c r="CQ62" s="81" t="s">
        <v>188</v>
      </c>
      <c r="CR62" s="77" t="s">
        <v>0</v>
      </c>
      <c r="CS62" s="81" t="s">
        <v>188</v>
      </c>
      <c r="CT62" s="77" t="s">
        <v>0</v>
      </c>
      <c r="CU62" s="81" t="s">
        <v>188</v>
      </c>
      <c r="CV62" s="77" t="s">
        <v>0</v>
      </c>
      <c r="CW62" s="81" t="s">
        <v>188</v>
      </c>
      <c r="CX62" s="77" t="s">
        <v>0</v>
      </c>
      <c r="CY62" s="81" t="s">
        <v>188</v>
      </c>
      <c r="CZ62" s="77" t="s">
        <v>0</v>
      </c>
      <c r="DA62" s="81" t="s">
        <v>188</v>
      </c>
      <c r="DB62" s="77" t="s">
        <v>0</v>
      </c>
      <c r="DC62" s="81" t="s">
        <v>188</v>
      </c>
      <c r="DD62" s="124" t="s">
        <v>0</v>
      </c>
      <c r="DE62" s="81" t="s">
        <v>188</v>
      </c>
      <c r="DF62" s="124" t="s">
        <v>0</v>
      </c>
      <c r="DG62" s="81" t="s">
        <v>188</v>
      </c>
      <c r="DH62" s="77" t="s">
        <v>0</v>
      </c>
      <c r="DI62" s="83" t="s">
        <v>188</v>
      </c>
      <c r="DJ62" s="78" t="s">
        <v>0</v>
      </c>
      <c r="DK62" s="90"/>
      <c r="DL62" s="90"/>
      <c r="DM62" s="90"/>
      <c r="DN62" s="90"/>
      <c r="DO62" s="90"/>
    </row>
    <row r="63" spans="1:119">
      <c r="A63" s="38" t="s">
        <v>72</v>
      </c>
      <c r="B63" s="153" t="s">
        <v>188</v>
      </c>
      <c r="C63" s="84" t="s">
        <v>188</v>
      </c>
      <c r="D63" s="77" t="s">
        <v>0</v>
      </c>
      <c r="E63" s="81">
        <v>800</v>
      </c>
      <c r="F63" s="77" t="s">
        <v>188</v>
      </c>
      <c r="G63" s="81">
        <v>800</v>
      </c>
      <c r="H63" s="77" t="s">
        <v>188</v>
      </c>
      <c r="I63" s="81">
        <v>800</v>
      </c>
      <c r="J63" s="77" t="s">
        <v>188</v>
      </c>
      <c r="K63" s="81">
        <v>800</v>
      </c>
      <c r="L63" s="77" t="s">
        <v>188</v>
      </c>
      <c r="M63" s="81">
        <v>800</v>
      </c>
      <c r="N63" s="77" t="s">
        <v>188</v>
      </c>
      <c r="O63" s="81">
        <v>800</v>
      </c>
      <c r="P63" s="77" t="s">
        <v>188</v>
      </c>
      <c r="Q63" s="81">
        <v>800</v>
      </c>
      <c r="R63" s="77" t="s">
        <v>188</v>
      </c>
      <c r="S63" s="81">
        <v>800</v>
      </c>
      <c r="T63" s="77" t="s">
        <v>188</v>
      </c>
      <c r="U63" s="81">
        <v>800</v>
      </c>
      <c r="V63" s="77" t="s">
        <v>188</v>
      </c>
      <c r="W63" s="81">
        <v>800</v>
      </c>
      <c r="X63" s="77" t="s">
        <v>188</v>
      </c>
      <c r="Y63" s="81">
        <v>800</v>
      </c>
      <c r="Z63" s="124" t="s">
        <v>188</v>
      </c>
      <c r="AA63" s="81">
        <v>800</v>
      </c>
      <c r="AB63" s="77" t="s">
        <v>188</v>
      </c>
      <c r="AC63" s="83">
        <v>800</v>
      </c>
      <c r="AD63" s="78" t="s">
        <v>188</v>
      </c>
      <c r="AE63" s="84" t="s">
        <v>188</v>
      </c>
      <c r="AF63" s="77" t="s">
        <v>0</v>
      </c>
      <c r="AG63" s="81">
        <v>1000</v>
      </c>
      <c r="AH63" s="77" t="s">
        <v>188</v>
      </c>
      <c r="AI63" s="81">
        <v>1000</v>
      </c>
      <c r="AJ63" s="77" t="s">
        <v>188</v>
      </c>
      <c r="AK63" s="81">
        <v>1000</v>
      </c>
      <c r="AL63" s="77" t="s">
        <v>188</v>
      </c>
      <c r="AM63" s="81">
        <v>1000</v>
      </c>
      <c r="AN63" s="77" t="s">
        <v>188</v>
      </c>
      <c r="AO63" s="81">
        <v>1000</v>
      </c>
      <c r="AP63" s="77" t="s">
        <v>188</v>
      </c>
      <c r="AQ63" s="81">
        <v>1000</v>
      </c>
      <c r="AR63" s="77" t="s">
        <v>188</v>
      </c>
      <c r="AS63" s="81">
        <v>1000</v>
      </c>
      <c r="AT63" s="77" t="s">
        <v>188</v>
      </c>
      <c r="AU63" s="81">
        <v>1000</v>
      </c>
      <c r="AV63" s="77" t="s">
        <v>188</v>
      </c>
      <c r="AW63" s="81">
        <v>1000</v>
      </c>
      <c r="AX63" s="77" t="s">
        <v>188</v>
      </c>
      <c r="AY63" s="81">
        <v>1000</v>
      </c>
      <c r="AZ63" s="124" t="s">
        <v>188</v>
      </c>
      <c r="BA63" s="81">
        <v>1000</v>
      </c>
      <c r="BB63" s="124" t="s">
        <v>188</v>
      </c>
      <c r="BC63" s="81">
        <v>1000</v>
      </c>
      <c r="BD63" s="77" t="s">
        <v>188</v>
      </c>
      <c r="BE63" s="83">
        <v>1000</v>
      </c>
      <c r="BF63" s="78" t="s">
        <v>188</v>
      </c>
      <c r="BG63" s="84" t="s">
        <v>188</v>
      </c>
      <c r="BH63" s="77" t="s">
        <v>0</v>
      </c>
      <c r="BI63" s="81">
        <v>1200</v>
      </c>
      <c r="BJ63" s="77" t="s">
        <v>188</v>
      </c>
      <c r="BK63" s="81">
        <v>1200</v>
      </c>
      <c r="BL63" s="77" t="s">
        <v>188</v>
      </c>
      <c r="BM63" s="81">
        <v>1200</v>
      </c>
      <c r="BN63" s="77" t="s">
        <v>188</v>
      </c>
      <c r="BO63" s="81">
        <v>1200</v>
      </c>
      <c r="BP63" s="77" t="s">
        <v>188</v>
      </c>
      <c r="BQ63" s="81">
        <v>1200</v>
      </c>
      <c r="BR63" s="77" t="s">
        <v>188</v>
      </c>
      <c r="BS63" s="81">
        <v>1200</v>
      </c>
      <c r="BT63" s="77" t="s">
        <v>188</v>
      </c>
      <c r="BU63" s="81">
        <v>1200</v>
      </c>
      <c r="BV63" s="77" t="s">
        <v>188</v>
      </c>
      <c r="BW63" s="81">
        <v>1200</v>
      </c>
      <c r="BX63" s="77" t="s">
        <v>188</v>
      </c>
      <c r="BY63" s="81">
        <v>1200</v>
      </c>
      <c r="BZ63" s="77" t="s">
        <v>188</v>
      </c>
      <c r="CA63" s="81">
        <v>1200</v>
      </c>
      <c r="CB63" s="124" t="s">
        <v>188</v>
      </c>
      <c r="CC63" s="81">
        <v>1200</v>
      </c>
      <c r="CD63" s="124" t="s">
        <v>188</v>
      </c>
      <c r="CE63" s="81">
        <v>1200</v>
      </c>
      <c r="CF63" s="77" t="s">
        <v>188</v>
      </c>
      <c r="CG63" s="83">
        <v>1200</v>
      </c>
      <c r="CH63" s="78" t="s">
        <v>188</v>
      </c>
      <c r="CI63" s="84" t="s">
        <v>188</v>
      </c>
      <c r="CJ63" s="77" t="s">
        <v>0</v>
      </c>
      <c r="CK63" s="81">
        <v>1200</v>
      </c>
      <c r="CL63" s="77" t="s">
        <v>188</v>
      </c>
      <c r="CM63" s="81">
        <v>1200</v>
      </c>
      <c r="CN63" s="77" t="s">
        <v>188</v>
      </c>
      <c r="CO63" s="81">
        <v>1200</v>
      </c>
      <c r="CP63" s="77" t="s">
        <v>188</v>
      </c>
      <c r="CQ63" s="81">
        <v>1200</v>
      </c>
      <c r="CR63" s="77" t="s">
        <v>188</v>
      </c>
      <c r="CS63" s="81">
        <v>1200</v>
      </c>
      <c r="CT63" s="77" t="s">
        <v>188</v>
      </c>
      <c r="CU63" s="81">
        <v>1200</v>
      </c>
      <c r="CV63" s="77" t="s">
        <v>188</v>
      </c>
      <c r="CW63" s="81">
        <v>1200</v>
      </c>
      <c r="CX63" s="77" t="s">
        <v>188</v>
      </c>
      <c r="CY63" s="81">
        <v>1200</v>
      </c>
      <c r="CZ63" s="77" t="s">
        <v>188</v>
      </c>
      <c r="DA63" s="81">
        <v>1200</v>
      </c>
      <c r="DB63" s="77" t="s">
        <v>188</v>
      </c>
      <c r="DC63" s="81">
        <v>1200</v>
      </c>
      <c r="DD63" s="124" t="s">
        <v>188</v>
      </c>
      <c r="DE63" s="81">
        <v>1200</v>
      </c>
      <c r="DF63" s="124" t="s">
        <v>188</v>
      </c>
      <c r="DG63" s="81">
        <v>1200</v>
      </c>
      <c r="DH63" s="77" t="s">
        <v>188</v>
      </c>
      <c r="DI63" s="83">
        <v>1200</v>
      </c>
      <c r="DJ63" s="78" t="s">
        <v>188</v>
      </c>
      <c r="DK63" s="90"/>
      <c r="DL63" s="90"/>
      <c r="DM63" s="90"/>
      <c r="DN63" s="90"/>
      <c r="DO63" s="90"/>
    </row>
    <row r="64" spans="1:119">
      <c r="A64" s="162" t="s">
        <v>82</v>
      </c>
      <c r="B64" s="149" t="s">
        <v>188</v>
      </c>
      <c r="C64" s="154" t="s">
        <v>188</v>
      </c>
      <c r="D64" s="75" t="s">
        <v>0</v>
      </c>
      <c r="E64" s="85" t="s">
        <v>188</v>
      </c>
      <c r="F64" s="75" t="s">
        <v>0</v>
      </c>
      <c r="G64" s="85" t="s">
        <v>188</v>
      </c>
      <c r="H64" s="75" t="s">
        <v>0</v>
      </c>
      <c r="I64" s="85" t="s">
        <v>188</v>
      </c>
      <c r="J64" s="75" t="s">
        <v>0</v>
      </c>
      <c r="K64" s="85" t="s">
        <v>188</v>
      </c>
      <c r="L64" s="75" t="s">
        <v>0</v>
      </c>
      <c r="M64" s="85" t="s">
        <v>188</v>
      </c>
      <c r="N64" s="75" t="s">
        <v>0</v>
      </c>
      <c r="O64" s="85" t="s">
        <v>188</v>
      </c>
      <c r="P64" s="75" t="s">
        <v>0</v>
      </c>
      <c r="Q64" s="85" t="s">
        <v>188</v>
      </c>
      <c r="R64" s="75" t="s">
        <v>0</v>
      </c>
      <c r="S64" s="85" t="s">
        <v>188</v>
      </c>
      <c r="T64" s="75" t="s">
        <v>0</v>
      </c>
      <c r="U64" s="85" t="s">
        <v>188</v>
      </c>
      <c r="V64" s="75" t="s">
        <v>0</v>
      </c>
      <c r="W64" s="85" t="s">
        <v>188</v>
      </c>
      <c r="X64" s="75" t="s">
        <v>0</v>
      </c>
      <c r="Y64" s="85">
        <v>811.8</v>
      </c>
      <c r="Z64" s="155" t="s">
        <v>188</v>
      </c>
      <c r="AA64" s="85">
        <v>811.8</v>
      </c>
      <c r="AB64" s="75" t="s">
        <v>188</v>
      </c>
      <c r="AC64" s="173">
        <v>811.8</v>
      </c>
      <c r="AD64" s="76" t="s">
        <v>188</v>
      </c>
      <c r="AE64" s="154" t="s">
        <v>188</v>
      </c>
      <c r="AF64" s="75" t="s">
        <v>0</v>
      </c>
      <c r="AG64" s="85" t="s">
        <v>188</v>
      </c>
      <c r="AH64" s="75" t="s">
        <v>0</v>
      </c>
      <c r="AI64" s="85" t="s">
        <v>188</v>
      </c>
      <c r="AJ64" s="75" t="s">
        <v>0</v>
      </c>
      <c r="AK64" s="85" t="s">
        <v>188</v>
      </c>
      <c r="AL64" s="75" t="s">
        <v>0</v>
      </c>
      <c r="AM64" s="85" t="s">
        <v>188</v>
      </c>
      <c r="AN64" s="75" t="s">
        <v>0</v>
      </c>
      <c r="AO64" s="85" t="s">
        <v>188</v>
      </c>
      <c r="AP64" s="75" t="s">
        <v>0</v>
      </c>
      <c r="AQ64" s="85" t="s">
        <v>188</v>
      </c>
      <c r="AR64" s="75" t="s">
        <v>0</v>
      </c>
      <c r="AS64" s="85" t="s">
        <v>188</v>
      </c>
      <c r="AT64" s="75" t="s">
        <v>0</v>
      </c>
      <c r="AU64" s="85" t="s">
        <v>188</v>
      </c>
      <c r="AV64" s="75" t="s">
        <v>0</v>
      </c>
      <c r="AW64" s="85" t="s">
        <v>188</v>
      </c>
      <c r="AX64" s="75" t="s">
        <v>0</v>
      </c>
      <c r="AY64" s="85" t="s">
        <v>188</v>
      </c>
      <c r="AZ64" s="155" t="s">
        <v>0</v>
      </c>
      <c r="BA64" s="85">
        <v>1188</v>
      </c>
      <c r="BB64" s="155" t="s">
        <v>188</v>
      </c>
      <c r="BC64" s="85">
        <v>1188</v>
      </c>
      <c r="BD64" s="75" t="s">
        <v>188</v>
      </c>
      <c r="BE64" s="173">
        <v>1188</v>
      </c>
      <c r="BF64" s="76" t="s">
        <v>188</v>
      </c>
      <c r="BG64" s="154" t="s">
        <v>188</v>
      </c>
      <c r="BH64" s="75" t="s">
        <v>0</v>
      </c>
      <c r="BI64" s="85" t="s">
        <v>188</v>
      </c>
      <c r="BJ64" s="75" t="s">
        <v>0</v>
      </c>
      <c r="BK64" s="85" t="s">
        <v>188</v>
      </c>
      <c r="BL64" s="75" t="s">
        <v>0</v>
      </c>
      <c r="BM64" s="85" t="s">
        <v>188</v>
      </c>
      <c r="BN64" s="75" t="s">
        <v>0</v>
      </c>
      <c r="BO64" s="85" t="s">
        <v>188</v>
      </c>
      <c r="BP64" s="75" t="s">
        <v>0</v>
      </c>
      <c r="BQ64" s="85" t="s">
        <v>188</v>
      </c>
      <c r="BR64" s="75" t="s">
        <v>0</v>
      </c>
      <c r="BS64" s="85" t="s">
        <v>188</v>
      </c>
      <c r="BT64" s="75" t="s">
        <v>0</v>
      </c>
      <c r="BU64" s="85" t="s">
        <v>188</v>
      </c>
      <c r="BV64" s="75" t="s">
        <v>0</v>
      </c>
      <c r="BW64" s="85" t="s">
        <v>188</v>
      </c>
      <c r="BX64" s="75" t="s">
        <v>0</v>
      </c>
      <c r="BY64" s="85" t="s">
        <v>188</v>
      </c>
      <c r="BZ64" s="75" t="s">
        <v>0</v>
      </c>
      <c r="CA64" s="85" t="s">
        <v>188</v>
      </c>
      <c r="CB64" s="155" t="s">
        <v>0</v>
      </c>
      <c r="CC64" s="85">
        <v>1267.2</v>
      </c>
      <c r="CD64" s="155" t="s">
        <v>188</v>
      </c>
      <c r="CE64" s="85">
        <v>1267.2</v>
      </c>
      <c r="CF64" s="75" t="s">
        <v>188</v>
      </c>
      <c r="CG64" s="173">
        <v>1267.2</v>
      </c>
      <c r="CH64" s="76" t="s">
        <v>188</v>
      </c>
      <c r="CI64" s="154" t="s">
        <v>188</v>
      </c>
      <c r="CJ64" s="75" t="s">
        <v>0</v>
      </c>
      <c r="CK64" s="85" t="s">
        <v>188</v>
      </c>
      <c r="CL64" s="75" t="s">
        <v>0</v>
      </c>
      <c r="CM64" s="85" t="s">
        <v>188</v>
      </c>
      <c r="CN64" s="75" t="s">
        <v>0</v>
      </c>
      <c r="CO64" s="85" t="s">
        <v>188</v>
      </c>
      <c r="CP64" s="75" t="s">
        <v>0</v>
      </c>
      <c r="CQ64" s="85" t="s">
        <v>188</v>
      </c>
      <c r="CR64" s="75" t="s">
        <v>0</v>
      </c>
      <c r="CS64" s="85" t="s">
        <v>188</v>
      </c>
      <c r="CT64" s="75" t="s">
        <v>0</v>
      </c>
      <c r="CU64" s="85" t="s">
        <v>188</v>
      </c>
      <c r="CV64" s="75" t="s">
        <v>0</v>
      </c>
      <c r="CW64" s="85" t="s">
        <v>188</v>
      </c>
      <c r="CX64" s="75" t="s">
        <v>0</v>
      </c>
      <c r="CY64" s="85" t="s">
        <v>188</v>
      </c>
      <c r="CZ64" s="75" t="s">
        <v>0</v>
      </c>
      <c r="DA64" s="85" t="s">
        <v>188</v>
      </c>
      <c r="DB64" s="75" t="s">
        <v>0</v>
      </c>
      <c r="DC64" s="85" t="s">
        <v>188</v>
      </c>
      <c r="DD64" s="155" t="s">
        <v>0</v>
      </c>
      <c r="DE64" s="85">
        <v>1267.2</v>
      </c>
      <c r="DF64" s="155" t="s">
        <v>188</v>
      </c>
      <c r="DG64" s="85">
        <v>1267.2</v>
      </c>
      <c r="DH64" s="75" t="s">
        <v>188</v>
      </c>
      <c r="DI64" s="173">
        <v>1267.2</v>
      </c>
      <c r="DJ64" s="76" t="s">
        <v>188</v>
      </c>
      <c r="DK64" s="90"/>
      <c r="DL64" s="90"/>
      <c r="DM64" s="90"/>
      <c r="DN64" s="90"/>
      <c r="DO64" s="90"/>
    </row>
    <row r="65" spans="1:120">
      <c r="A65" s="162" t="s">
        <v>48</v>
      </c>
      <c r="B65" s="149" t="s">
        <v>188</v>
      </c>
      <c r="C65" s="154" t="s">
        <v>188</v>
      </c>
      <c r="D65" s="75" t="s">
        <v>0</v>
      </c>
      <c r="E65" s="85" t="s">
        <v>188</v>
      </c>
      <c r="F65" s="75" t="s">
        <v>0</v>
      </c>
      <c r="G65" s="85" t="s">
        <v>188</v>
      </c>
      <c r="H65" s="75" t="s">
        <v>0</v>
      </c>
      <c r="I65" s="85" t="s">
        <v>188</v>
      </c>
      <c r="J65" s="75" t="s">
        <v>0</v>
      </c>
      <c r="K65" s="85" t="s">
        <v>188</v>
      </c>
      <c r="L65" s="75" t="s">
        <v>0</v>
      </c>
      <c r="M65" s="85" t="s">
        <v>188</v>
      </c>
      <c r="N65" s="75" t="s">
        <v>0</v>
      </c>
      <c r="O65" s="85" t="s">
        <v>188</v>
      </c>
      <c r="P65" s="75" t="s">
        <v>0</v>
      </c>
      <c r="Q65" s="85" t="s">
        <v>188</v>
      </c>
      <c r="R65" s="75" t="s">
        <v>0</v>
      </c>
      <c r="S65" s="85" t="s">
        <v>188</v>
      </c>
      <c r="T65" s="75" t="s">
        <v>0</v>
      </c>
      <c r="U65" s="85" t="s">
        <v>188</v>
      </c>
      <c r="V65" s="75" t="s">
        <v>0</v>
      </c>
      <c r="W65" s="85" t="s">
        <v>188</v>
      </c>
      <c r="X65" s="75" t="s">
        <v>0</v>
      </c>
      <c r="Y65" s="85" t="s">
        <v>188</v>
      </c>
      <c r="Z65" s="155" t="s">
        <v>0</v>
      </c>
      <c r="AA65" s="85" t="s">
        <v>188</v>
      </c>
      <c r="AB65" s="75" t="s">
        <v>0</v>
      </c>
      <c r="AC65" s="173" t="s">
        <v>188</v>
      </c>
      <c r="AD65" s="76" t="s">
        <v>0</v>
      </c>
      <c r="AE65" s="154" t="s">
        <v>188</v>
      </c>
      <c r="AF65" s="75" t="s">
        <v>0</v>
      </c>
      <c r="AG65" s="85" t="s">
        <v>188</v>
      </c>
      <c r="AH65" s="75" t="s">
        <v>0</v>
      </c>
      <c r="AI65" s="85" t="s">
        <v>188</v>
      </c>
      <c r="AJ65" s="75" t="s">
        <v>0</v>
      </c>
      <c r="AK65" s="85" t="s">
        <v>188</v>
      </c>
      <c r="AL65" s="75" t="s">
        <v>0</v>
      </c>
      <c r="AM65" s="85" t="s">
        <v>188</v>
      </c>
      <c r="AN65" s="75" t="s">
        <v>0</v>
      </c>
      <c r="AO65" s="85" t="s">
        <v>188</v>
      </c>
      <c r="AP65" s="75" t="s">
        <v>0</v>
      </c>
      <c r="AQ65" s="85" t="s">
        <v>188</v>
      </c>
      <c r="AR65" s="75" t="s">
        <v>0</v>
      </c>
      <c r="AS65" s="85" t="s">
        <v>188</v>
      </c>
      <c r="AT65" s="75" t="s">
        <v>0</v>
      </c>
      <c r="AU65" s="85" t="s">
        <v>188</v>
      </c>
      <c r="AV65" s="75" t="s">
        <v>0</v>
      </c>
      <c r="AW65" s="85" t="s">
        <v>188</v>
      </c>
      <c r="AX65" s="75" t="s">
        <v>0</v>
      </c>
      <c r="AY65" s="85" t="s">
        <v>188</v>
      </c>
      <c r="AZ65" s="155" t="s">
        <v>0</v>
      </c>
      <c r="BA65" s="85" t="s">
        <v>188</v>
      </c>
      <c r="BB65" s="155" t="s">
        <v>0</v>
      </c>
      <c r="BC65" s="85" t="s">
        <v>188</v>
      </c>
      <c r="BD65" s="75" t="s">
        <v>0</v>
      </c>
      <c r="BE65" s="173" t="s">
        <v>188</v>
      </c>
      <c r="BF65" s="76" t="s">
        <v>0</v>
      </c>
      <c r="BG65" s="154" t="s">
        <v>188</v>
      </c>
      <c r="BH65" s="75" t="s">
        <v>0</v>
      </c>
      <c r="BI65" s="85" t="s">
        <v>188</v>
      </c>
      <c r="BJ65" s="75" t="s">
        <v>0</v>
      </c>
      <c r="BK65" s="85" t="s">
        <v>188</v>
      </c>
      <c r="BL65" s="75" t="s">
        <v>0</v>
      </c>
      <c r="BM65" s="85" t="s">
        <v>188</v>
      </c>
      <c r="BN65" s="75" t="s">
        <v>0</v>
      </c>
      <c r="BO65" s="85" t="s">
        <v>188</v>
      </c>
      <c r="BP65" s="75" t="s">
        <v>0</v>
      </c>
      <c r="BQ65" s="85" t="s">
        <v>188</v>
      </c>
      <c r="BR65" s="75" t="s">
        <v>0</v>
      </c>
      <c r="BS65" s="85" t="s">
        <v>188</v>
      </c>
      <c r="BT65" s="75" t="s">
        <v>0</v>
      </c>
      <c r="BU65" s="85" t="s">
        <v>188</v>
      </c>
      <c r="BV65" s="75" t="s">
        <v>0</v>
      </c>
      <c r="BW65" s="85" t="s">
        <v>188</v>
      </c>
      <c r="BX65" s="75" t="s">
        <v>0</v>
      </c>
      <c r="BY65" s="85" t="s">
        <v>188</v>
      </c>
      <c r="BZ65" s="75" t="s">
        <v>0</v>
      </c>
      <c r="CA65" s="85" t="s">
        <v>188</v>
      </c>
      <c r="CB65" s="155" t="s">
        <v>0</v>
      </c>
      <c r="CC65" s="85" t="s">
        <v>188</v>
      </c>
      <c r="CD65" s="155" t="s">
        <v>0</v>
      </c>
      <c r="CE65" s="85" t="s">
        <v>188</v>
      </c>
      <c r="CF65" s="75" t="s">
        <v>0</v>
      </c>
      <c r="CG65" s="173" t="s">
        <v>188</v>
      </c>
      <c r="CH65" s="76" t="s">
        <v>0</v>
      </c>
      <c r="CI65" s="154" t="s">
        <v>188</v>
      </c>
      <c r="CJ65" s="75" t="s">
        <v>0</v>
      </c>
      <c r="CK65" s="85" t="s">
        <v>188</v>
      </c>
      <c r="CL65" s="75" t="s">
        <v>0</v>
      </c>
      <c r="CM65" s="85" t="s">
        <v>188</v>
      </c>
      <c r="CN65" s="75" t="s">
        <v>0</v>
      </c>
      <c r="CO65" s="85" t="s">
        <v>188</v>
      </c>
      <c r="CP65" s="75" t="s">
        <v>0</v>
      </c>
      <c r="CQ65" s="85" t="s">
        <v>188</v>
      </c>
      <c r="CR65" s="75" t="s">
        <v>0</v>
      </c>
      <c r="CS65" s="85" t="s">
        <v>188</v>
      </c>
      <c r="CT65" s="75" t="s">
        <v>0</v>
      </c>
      <c r="CU65" s="85" t="s">
        <v>188</v>
      </c>
      <c r="CV65" s="75" t="s">
        <v>0</v>
      </c>
      <c r="CW65" s="85" t="s">
        <v>188</v>
      </c>
      <c r="CX65" s="75" t="s">
        <v>0</v>
      </c>
      <c r="CY65" s="85" t="s">
        <v>188</v>
      </c>
      <c r="CZ65" s="75" t="s">
        <v>0</v>
      </c>
      <c r="DA65" s="85" t="s">
        <v>188</v>
      </c>
      <c r="DB65" s="75" t="s">
        <v>0</v>
      </c>
      <c r="DC65" s="85" t="s">
        <v>188</v>
      </c>
      <c r="DD65" s="155" t="s">
        <v>0</v>
      </c>
      <c r="DE65" s="85" t="s">
        <v>188</v>
      </c>
      <c r="DF65" s="155" t="s">
        <v>0</v>
      </c>
      <c r="DG65" s="85" t="s">
        <v>188</v>
      </c>
      <c r="DH65" s="75" t="s">
        <v>0</v>
      </c>
      <c r="DI65" s="173" t="s">
        <v>188</v>
      </c>
      <c r="DJ65" s="76" t="s">
        <v>0</v>
      </c>
      <c r="DK65" s="90"/>
      <c r="DL65" s="90"/>
      <c r="DM65" s="90"/>
      <c r="DN65" s="90"/>
      <c r="DO65" s="90"/>
    </row>
    <row r="66" spans="1:120">
      <c r="A66" s="38" t="s">
        <v>49</v>
      </c>
      <c r="B66" s="153" t="s">
        <v>188</v>
      </c>
      <c r="C66" s="84" t="s">
        <v>188</v>
      </c>
      <c r="D66" s="77" t="s">
        <v>0</v>
      </c>
      <c r="E66" s="81" t="s">
        <v>188</v>
      </c>
      <c r="F66" s="77" t="s">
        <v>0</v>
      </c>
      <c r="G66" s="81" t="s">
        <v>188</v>
      </c>
      <c r="H66" s="77" t="s">
        <v>0</v>
      </c>
      <c r="I66" s="81" t="s">
        <v>188</v>
      </c>
      <c r="J66" s="77" t="s">
        <v>0</v>
      </c>
      <c r="K66" s="81" t="s">
        <v>188</v>
      </c>
      <c r="L66" s="77" t="s">
        <v>0</v>
      </c>
      <c r="M66" s="81" t="s">
        <v>188</v>
      </c>
      <c r="N66" s="77" t="s">
        <v>0</v>
      </c>
      <c r="O66" s="81" t="s">
        <v>188</v>
      </c>
      <c r="P66" s="77" t="s">
        <v>0</v>
      </c>
      <c r="Q66" s="81" t="s">
        <v>188</v>
      </c>
      <c r="R66" s="77" t="s">
        <v>0</v>
      </c>
      <c r="S66" s="81" t="s">
        <v>188</v>
      </c>
      <c r="T66" s="77" t="s">
        <v>0</v>
      </c>
      <c r="U66" s="81" t="s">
        <v>188</v>
      </c>
      <c r="V66" s="77" t="s">
        <v>0</v>
      </c>
      <c r="W66" s="81" t="s">
        <v>188</v>
      </c>
      <c r="X66" s="77" t="s">
        <v>0</v>
      </c>
      <c r="Y66" s="81" t="s">
        <v>188</v>
      </c>
      <c r="Z66" s="124" t="s">
        <v>0</v>
      </c>
      <c r="AA66" s="81" t="s">
        <v>188</v>
      </c>
      <c r="AB66" s="77" t="s">
        <v>0</v>
      </c>
      <c r="AC66" s="83" t="s">
        <v>188</v>
      </c>
      <c r="AD66" s="78" t="s">
        <v>0</v>
      </c>
      <c r="AE66" s="84" t="s">
        <v>188</v>
      </c>
      <c r="AF66" s="77" t="s">
        <v>0</v>
      </c>
      <c r="AG66" s="81" t="s">
        <v>188</v>
      </c>
      <c r="AH66" s="77" t="s">
        <v>0</v>
      </c>
      <c r="AI66" s="81" t="s">
        <v>188</v>
      </c>
      <c r="AJ66" s="77" t="s">
        <v>0</v>
      </c>
      <c r="AK66" s="81" t="s">
        <v>188</v>
      </c>
      <c r="AL66" s="77" t="s">
        <v>0</v>
      </c>
      <c r="AM66" s="81" t="s">
        <v>188</v>
      </c>
      <c r="AN66" s="77" t="s">
        <v>0</v>
      </c>
      <c r="AO66" s="81" t="s">
        <v>188</v>
      </c>
      <c r="AP66" s="77" t="s">
        <v>0</v>
      </c>
      <c r="AQ66" s="81" t="s">
        <v>188</v>
      </c>
      <c r="AR66" s="77" t="s">
        <v>0</v>
      </c>
      <c r="AS66" s="81" t="s">
        <v>188</v>
      </c>
      <c r="AT66" s="77" t="s">
        <v>0</v>
      </c>
      <c r="AU66" s="81" t="s">
        <v>188</v>
      </c>
      <c r="AV66" s="77" t="s">
        <v>0</v>
      </c>
      <c r="AW66" s="81" t="s">
        <v>188</v>
      </c>
      <c r="AX66" s="77" t="s">
        <v>0</v>
      </c>
      <c r="AY66" s="81" t="s">
        <v>188</v>
      </c>
      <c r="AZ66" s="124" t="s">
        <v>0</v>
      </c>
      <c r="BA66" s="81" t="s">
        <v>188</v>
      </c>
      <c r="BB66" s="124" t="s">
        <v>0</v>
      </c>
      <c r="BC66" s="81" t="s">
        <v>188</v>
      </c>
      <c r="BD66" s="77" t="s">
        <v>0</v>
      </c>
      <c r="BE66" s="83" t="s">
        <v>188</v>
      </c>
      <c r="BF66" s="78" t="s">
        <v>0</v>
      </c>
      <c r="BG66" s="84" t="s">
        <v>188</v>
      </c>
      <c r="BH66" s="77" t="s">
        <v>0</v>
      </c>
      <c r="BI66" s="81" t="s">
        <v>188</v>
      </c>
      <c r="BJ66" s="77" t="s">
        <v>0</v>
      </c>
      <c r="BK66" s="81" t="s">
        <v>188</v>
      </c>
      <c r="BL66" s="77" t="s">
        <v>0</v>
      </c>
      <c r="BM66" s="81" t="s">
        <v>188</v>
      </c>
      <c r="BN66" s="77" t="s">
        <v>0</v>
      </c>
      <c r="BO66" s="81" t="s">
        <v>188</v>
      </c>
      <c r="BP66" s="77" t="s">
        <v>0</v>
      </c>
      <c r="BQ66" s="81" t="s">
        <v>188</v>
      </c>
      <c r="BR66" s="77" t="s">
        <v>0</v>
      </c>
      <c r="BS66" s="81" t="s">
        <v>188</v>
      </c>
      <c r="BT66" s="77" t="s">
        <v>0</v>
      </c>
      <c r="BU66" s="81" t="s">
        <v>188</v>
      </c>
      <c r="BV66" s="77" t="s">
        <v>0</v>
      </c>
      <c r="BW66" s="81" t="s">
        <v>188</v>
      </c>
      <c r="BX66" s="77" t="s">
        <v>0</v>
      </c>
      <c r="BY66" s="81" t="s">
        <v>188</v>
      </c>
      <c r="BZ66" s="77" t="s">
        <v>0</v>
      </c>
      <c r="CA66" s="81" t="s">
        <v>188</v>
      </c>
      <c r="CB66" s="124" t="s">
        <v>0</v>
      </c>
      <c r="CC66" s="81" t="s">
        <v>188</v>
      </c>
      <c r="CD66" s="124" t="s">
        <v>0</v>
      </c>
      <c r="CE66" s="81" t="s">
        <v>188</v>
      </c>
      <c r="CF66" s="77" t="s">
        <v>0</v>
      </c>
      <c r="CG66" s="83" t="s">
        <v>188</v>
      </c>
      <c r="CH66" s="78" t="s">
        <v>0</v>
      </c>
      <c r="CI66" s="84" t="s">
        <v>188</v>
      </c>
      <c r="CJ66" s="77" t="s">
        <v>0</v>
      </c>
      <c r="CK66" s="81" t="s">
        <v>188</v>
      </c>
      <c r="CL66" s="77" t="s">
        <v>0</v>
      </c>
      <c r="CM66" s="81" t="s">
        <v>188</v>
      </c>
      <c r="CN66" s="77" t="s">
        <v>0</v>
      </c>
      <c r="CO66" s="81" t="s">
        <v>188</v>
      </c>
      <c r="CP66" s="77" t="s">
        <v>0</v>
      </c>
      <c r="CQ66" s="81" t="s">
        <v>188</v>
      </c>
      <c r="CR66" s="77" t="s">
        <v>0</v>
      </c>
      <c r="CS66" s="81" t="s">
        <v>188</v>
      </c>
      <c r="CT66" s="77" t="s">
        <v>0</v>
      </c>
      <c r="CU66" s="81" t="s">
        <v>188</v>
      </c>
      <c r="CV66" s="77" t="s">
        <v>0</v>
      </c>
      <c r="CW66" s="81" t="s">
        <v>188</v>
      </c>
      <c r="CX66" s="77" t="s">
        <v>0</v>
      </c>
      <c r="CY66" s="81" t="s">
        <v>188</v>
      </c>
      <c r="CZ66" s="77" t="s">
        <v>0</v>
      </c>
      <c r="DA66" s="81" t="s">
        <v>188</v>
      </c>
      <c r="DB66" s="77" t="s">
        <v>0</v>
      </c>
      <c r="DC66" s="81" t="s">
        <v>188</v>
      </c>
      <c r="DD66" s="124" t="s">
        <v>0</v>
      </c>
      <c r="DE66" s="81" t="s">
        <v>188</v>
      </c>
      <c r="DF66" s="124" t="s">
        <v>0</v>
      </c>
      <c r="DG66" s="81" t="s">
        <v>188</v>
      </c>
      <c r="DH66" s="77" t="s">
        <v>0</v>
      </c>
      <c r="DI66" s="83" t="s">
        <v>188</v>
      </c>
      <c r="DJ66" s="78" t="s">
        <v>0</v>
      </c>
      <c r="DK66" s="90"/>
      <c r="DL66" s="90"/>
      <c r="DM66" s="90"/>
      <c r="DN66" s="90"/>
      <c r="DO66" s="90"/>
    </row>
    <row r="67" spans="1:120">
      <c r="A67" s="38" t="s">
        <v>83</v>
      </c>
      <c r="B67" s="153" t="s">
        <v>188</v>
      </c>
      <c r="C67" s="84" t="s">
        <v>188</v>
      </c>
      <c r="D67" s="77" t="s">
        <v>0</v>
      </c>
      <c r="E67" s="81" t="s">
        <v>188</v>
      </c>
      <c r="F67" s="77" t="s">
        <v>0</v>
      </c>
      <c r="G67" s="81" t="s">
        <v>188</v>
      </c>
      <c r="H67" s="77" t="s">
        <v>0</v>
      </c>
      <c r="I67" s="81" t="s">
        <v>188</v>
      </c>
      <c r="J67" s="77" t="s">
        <v>0</v>
      </c>
      <c r="K67" s="81" t="s">
        <v>188</v>
      </c>
      <c r="L67" s="77" t="s">
        <v>0</v>
      </c>
      <c r="M67" s="81" t="s">
        <v>188</v>
      </c>
      <c r="N67" s="77" t="s">
        <v>0</v>
      </c>
      <c r="O67" s="81" t="s">
        <v>188</v>
      </c>
      <c r="P67" s="77" t="s">
        <v>0</v>
      </c>
      <c r="Q67" s="81" t="s">
        <v>188</v>
      </c>
      <c r="R67" s="77" t="s">
        <v>0</v>
      </c>
      <c r="S67" s="81" t="s">
        <v>188</v>
      </c>
      <c r="T67" s="77" t="s">
        <v>0</v>
      </c>
      <c r="U67" s="81" t="s">
        <v>188</v>
      </c>
      <c r="V67" s="77" t="s">
        <v>0</v>
      </c>
      <c r="W67" s="81" t="s">
        <v>188</v>
      </c>
      <c r="X67" s="77" t="s">
        <v>0</v>
      </c>
      <c r="Y67" s="81">
        <v>628</v>
      </c>
      <c r="Z67" s="124" t="s">
        <v>188</v>
      </c>
      <c r="AA67" s="81">
        <v>640</v>
      </c>
      <c r="AB67" s="77" t="s">
        <v>188</v>
      </c>
      <c r="AC67" s="83">
        <v>640</v>
      </c>
      <c r="AD67" s="78" t="s">
        <v>188</v>
      </c>
      <c r="AE67" s="84" t="s">
        <v>188</v>
      </c>
      <c r="AF67" s="77" t="s">
        <v>0</v>
      </c>
      <c r="AG67" s="81" t="s">
        <v>188</v>
      </c>
      <c r="AH67" s="77" t="s">
        <v>0</v>
      </c>
      <c r="AI67" s="81" t="s">
        <v>188</v>
      </c>
      <c r="AJ67" s="77" t="s">
        <v>0</v>
      </c>
      <c r="AK67" s="81" t="s">
        <v>188</v>
      </c>
      <c r="AL67" s="77" t="s">
        <v>0</v>
      </c>
      <c r="AM67" s="81" t="s">
        <v>188</v>
      </c>
      <c r="AN67" s="77" t="s">
        <v>0</v>
      </c>
      <c r="AO67" s="81" t="s">
        <v>188</v>
      </c>
      <c r="AP67" s="77" t="s">
        <v>0</v>
      </c>
      <c r="AQ67" s="81" t="s">
        <v>188</v>
      </c>
      <c r="AR67" s="77" t="s">
        <v>0</v>
      </c>
      <c r="AS67" s="81" t="s">
        <v>188</v>
      </c>
      <c r="AT67" s="77" t="s">
        <v>0</v>
      </c>
      <c r="AU67" s="81" t="s">
        <v>188</v>
      </c>
      <c r="AV67" s="77" t="s">
        <v>0</v>
      </c>
      <c r="AW67" s="81" t="s">
        <v>188</v>
      </c>
      <c r="AX67" s="77" t="s">
        <v>0</v>
      </c>
      <c r="AY67" s="81" t="s">
        <v>188</v>
      </c>
      <c r="AZ67" s="124" t="s">
        <v>0</v>
      </c>
      <c r="BA67" s="81">
        <v>565.20000000000005</v>
      </c>
      <c r="BB67" s="124" t="s">
        <v>188</v>
      </c>
      <c r="BC67" s="81">
        <v>576</v>
      </c>
      <c r="BD67" s="77" t="s">
        <v>188</v>
      </c>
      <c r="BE67" s="83">
        <v>576</v>
      </c>
      <c r="BF67" s="78" t="s">
        <v>188</v>
      </c>
      <c r="BG67" s="84" t="s">
        <v>188</v>
      </c>
      <c r="BH67" s="77" t="s">
        <v>0</v>
      </c>
      <c r="BI67" s="81" t="s">
        <v>188</v>
      </c>
      <c r="BJ67" s="77" t="s">
        <v>0</v>
      </c>
      <c r="BK67" s="81" t="s">
        <v>188</v>
      </c>
      <c r="BL67" s="77" t="s">
        <v>0</v>
      </c>
      <c r="BM67" s="81" t="s">
        <v>188</v>
      </c>
      <c r="BN67" s="77" t="s">
        <v>0</v>
      </c>
      <c r="BO67" s="81" t="s">
        <v>188</v>
      </c>
      <c r="BP67" s="77" t="s">
        <v>0</v>
      </c>
      <c r="BQ67" s="81" t="s">
        <v>188</v>
      </c>
      <c r="BR67" s="77" t="s">
        <v>0</v>
      </c>
      <c r="BS67" s="81" t="s">
        <v>188</v>
      </c>
      <c r="BT67" s="77" t="s">
        <v>0</v>
      </c>
      <c r="BU67" s="81" t="s">
        <v>188</v>
      </c>
      <c r="BV67" s="77" t="s">
        <v>0</v>
      </c>
      <c r="BW67" s="81" t="s">
        <v>188</v>
      </c>
      <c r="BX67" s="77" t="s">
        <v>0</v>
      </c>
      <c r="BY67" s="81" t="s">
        <v>188</v>
      </c>
      <c r="BZ67" s="77" t="s">
        <v>0</v>
      </c>
      <c r="CA67" s="81" t="s">
        <v>188</v>
      </c>
      <c r="CB67" s="124" t="s">
        <v>0</v>
      </c>
      <c r="CC67" s="81">
        <v>610.20000000000005</v>
      </c>
      <c r="CD67" s="124" t="s">
        <v>188</v>
      </c>
      <c r="CE67" s="81">
        <v>612</v>
      </c>
      <c r="CF67" s="77" t="s">
        <v>188</v>
      </c>
      <c r="CG67" s="83">
        <v>612</v>
      </c>
      <c r="CH67" s="78" t="s">
        <v>188</v>
      </c>
      <c r="CI67" s="84" t="s">
        <v>188</v>
      </c>
      <c r="CJ67" s="77" t="s">
        <v>0</v>
      </c>
      <c r="CK67" s="81" t="s">
        <v>188</v>
      </c>
      <c r="CL67" s="77" t="s">
        <v>0</v>
      </c>
      <c r="CM67" s="81" t="s">
        <v>188</v>
      </c>
      <c r="CN67" s="77" t="s">
        <v>0</v>
      </c>
      <c r="CO67" s="81" t="s">
        <v>188</v>
      </c>
      <c r="CP67" s="77" t="s">
        <v>0</v>
      </c>
      <c r="CQ67" s="81" t="s">
        <v>188</v>
      </c>
      <c r="CR67" s="77" t="s">
        <v>0</v>
      </c>
      <c r="CS67" s="81" t="s">
        <v>188</v>
      </c>
      <c r="CT67" s="77" t="s">
        <v>0</v>
      </c>
      <c r="CU67" s="81" t="s">
        <v>188</v>
      </c>
      <c r="CV67" s="77" t="s">
        <v>0</v>
      </c>
      <c r="CW67" s="81" t="s">
        <v>188</v>
      </c>
      <c r="CX67" s="77" t="s">
        <v>0</v>
      </c>
      <c r="CY67" s="81" t="s">
        <v>188</v>
      </c>
      <c r="CZ67" s="77" t="s">
        <v>0</v>
      </c>
      <c r="DA67" s="81" t="s">
        <v>188</v>
      </c>
      <c r="DB67" s="77" t="s">
        <v>0</v>
      </c>
      <c r="DC67" s="81" t="s">
        <v>188</v>
      </c>
      <c r="DD67" s="124" t="s">
        <v>0</v>
      </c>
      <c r="DE67" s="81">
        <v>610.20000000000005</v>
      </c>
      <c r="DF67" s="124" t="s">
        <v>188</v>
      </c>
      <c r="DG67" s="81">
        <v>603</v>
      </c>
      <c r="DH67" s="77" t="s">
        <v>188</v>
      </c>
      <c r="DI67" s="83">
        <v>603</v>
      </c>
      <c r="DJ67" s="78" t="s">
        <v>188</v>
      </c>
      <c r="DK67" s="90"/>
      <c r="DL67" s="90"/>
      <c r="DM67" s="90"/>
      <c r="DN67" s="90"/>
      <c r="DO67" s="90"/>
    </row>
    <row r="68" spans="1:120">
      <c r="A68" s="162" t="s">
        <v>42</v>
      </c>
      <c r="B68" s="149">
        <v>2</v>
      </c>
      <c r="C68" s="154" t="s">
        <v>188</v>
      </c>
      <c r="D68" s="75" t="s">
        <v>0</v>
      </c>
      <c r="E68" s="85" t="s">
        <v>188</v>
      </c>
      <c r="F68" s="75" t="s">
        <v>0</v>
      </c>
      <c r="G68" s="85" t="s">
        <v>188</v>
      </c>
      <c r="H68" s="75" t="s">
        <v>0</v>
      </c>
      <c r="I68" s="85" t="s">
        <v>188</v>
      </c>
      <c r="J68" s="75" t="s">
        <v>0</v>
      </c>
      <c r="K68" s="85" t="s">
        <v>188</v>
      </c>
      <c r="L68" s="75" t="s">
        <v>0</v>
      </c>
      <c r="M68" s="85" t="s">
        <v>188</v>
      </c>
      <c r="N68" s="75" t="s">
        <v>0</v>
      </c>
      <c r="O68" s="85" t="s">
        <v>188</v>
      </c>
      <c r="P68" s="75" t="s">
        <v>0</v>
      </c>
      <c r="Q68" s="85" t="s">
        <v>188</v>
      </c>
      <c r="R68" s="75" t="s">
        <v>0</v>
      </c>
      <c r="S68" s="85" t="s">
        <v>188</v>
      </c>
      <c r="T68" s="75" t="s">
        <v>0</v>
      </c>
      <c r="U68" s="85" t="s">
        <v>188</v>
      </c>
      <c r="V68" s="75" t="s">
        <v>0</v>
      </c>
      <c r="W68" s="85" t="s">
        <v>188</v>
      </c>
      <c r="X68" s="75" t="s">
        <v>0</v>
      </c>
      <c r="Y68" s="85" t="s">
        <v>188</v>
      </c>
      <c r="Z68" s="155" t="s">
        <v>0</v>
      </c>
      <c r="AA68" s="85" t="s">
        <v>188</v>
      </c>
      <c r="AB68" s="75" t="s">
        <v>0</v>
      </c>
      <c r="AC68" s="173" t="s">
        <v>188</v>
      </c>
      <c r="AD68" s="76" t="s">
        <v>0</v>
      </c>
      <c r="AE68" s="154" t="s">
        <v>188</v>
      </c>
      <c r="AF68" s="75" t="s">
        <v>0</v>
      </c>
      <c r="AG68" s="85">
        <v>615</v>
      </c>
      <c r="AH68" s="75" t="s">
        <v>188</v>
      </c>
      <c r="AI68" s="85">
        <v>615</v>
      </c>
      <c r="AJ68" s="75" t="s">
        <v>188</v>
      </c>
      <c r="AK68" s="85">
        <v>615</v>
      </c>
      <c r="AL68" s="75" t="s">
        <v>188</v>
      </c>
      <c r="AM68" s="85">
        <v>615</v>
      </c>
      <c r="AN68" s="75" t="s">
        <v>188</v>
      </c>
      <c r="AO68" s="85">
        <v>615</v>
      </c>
      <c r="AP68" s="75" t="s">
        <v>188</v>
      </c>
      <c r="AQ68" s="85">
        <v>615</v>
      </c>
      <c r="AR68" s="75" t="s">
        <v>188</v>
      </c>
      <c r="AS68" s="85">
        <v>561</v>
      </c>
      <c r="AT68" s="75" t="s">
        <v>188</v>
      </c>
      <c r="AU68" s="85">
        <v>561</v>
      </c>
      <c r="AV68" s="75" t="s">
        <v>188</v>
      </c>
      <c r="AW68" s="85">
        <v>561</v>
      </c>
      <c r="AX68" s="75" t="s">
        <v>188</v>
      </c>
      <c r="AY68" s="85">
        <v>561</v>
      </c>
      <c r="AZ68" s="155" t="s">
        <v>188</v>
      </c>
      <c r="BA68" s="85">
        <v>561</v>
      </c>
      <c r="BB68" s="155" t="s">
        <v>188</v>
      </c>
      <c r="BC68" s="85" t="s">
        <v>188</v>
      </c>
      <c r="BD68" s="75" t="s">
        <v>0</v>
      </c>
      <c r="BE68" s="173" t="s">
        <v>188</v>
      </c>
      <c r="BF68" s="76" t="s">
        <v>0</v>
      </c>
      <c r="BG68" s="154" t="s">
        <v>188</v>
      </c>
      <c r="BH68" s="75" t="s">
        <v>0</v>
      </c>
      <c r="BI68" s="85">
        <v>507</v>
      </c>
      <c r="BJ68" s="75" t="s">
        <v>188</v>
      </c>
      <c r="BK68" s="85">
        <v>507</v>
      </c>
      <c r="BL68" s="75" t="s">
        <v>188</v>
      </c>
      <c r="BM68" s="85">
        <v>507</v>
      </c>
      <c r="BN68" s="75" t="s">
        <v>188</v>
      </c>
      <c r="BO68" s="85">
        <v>507</v>
      </c>
      <c r="BP68" s="75" t="s">
        <v>188</v>
      </c>
      <c r="BQ68" s="85">
        <v>507</v>
      </c>
      <c r="BR68" s="75" t="s">
        <v>188</v>
      </c>
      <c r="BS68" s="85">
        <v>507</v>
      </c>
      <c r="BT68" s="75" t="s">
        <v>188</v>
      </c>
      <c r="BU68" s="85">
        <v>482.99999999999994</v>
      </c>
      <c r="BV68" s="75" t="s">
        <v>188</v>
      </c>
      <c r="BW68" s="85">
        <v>482.99999999999994</v>
      </c>
      <c r="BX68" s="75" t="s">
        <v>188</v>
      </c>
      <c r="BY68" s="85">
        <v>483</v>
      </c>
      <c r="BZ68" s="75" t="s">
        <v>188</v>
      </c>
      <c r="CA68" s="85">
        <v>482.99999999999994</v>
      </c>
      <c r="CB68" s="155" t="s">
        <v>188</v>
      </c>
      <c r="CC68" s="85">
        <v>482.99999999999994</v>
      </c>
      <c r="CD68" s="155" t="s">
        <v>188</v>
      </c>
      <c r="CE68" s="85" t="s">
        <v>188</v>
      </c>
      <c r="CF68" s="75" t="s">
        <v>0</v>
      </c>
      <c r="CG68" s="173" t="s">
        <v>188</v>
      </c>
      <c r="CH68" s="76" t="s">
        <v>0</v>
      </c>
      <c r="CI68" s="154" t="s">
        <v>188</v>
      </c>
      <c r="CJ68" s="75" t="s">
        <v>0</v>
      </c>
      <c r="CK68" s="85">
        <v>507</v>
      </c>
      <c r="CL68" s="75" t="s">
        <v>188</v>
      </c>
      <c r="CM68" s="85">
        <v>507</v>
      </c>
      <c r="CN68" s="75" t="s">
        <v>188</v>
      </c>
      <c r="CO68" s="85">
        <v>507</v>
      </c>
      <c r="CP68" s="75" t="s">
        <v>188</v>
      </c>
      <c r="CQ68" s="85">
        <v>507</v>
      </c>
      <c r="CR68" s="75" t="s">
        <v>188</v>
      </c>
      <c r="CS68" s="85">
        <v>507</v>
      </c>
      <c r="CT68" s="75" t="s">
        <v>188</v>
      </c>
      <c r="CU68" s="85">
        <v>507</v>
      </c>
      <c r="CV68" s="75" t="s">
        <v>188</v>
      </c>
      <c r="CW68" s="85">
        <v>482.99999999999994</v>
      </c>
      <c r="CX68" s="75" t="s">
        <v>188</v>
      </c>
      <c r="CY68" s="85">
        <v>482.99999999999994</v>
      </c>
      <c r="CZ68" s="75" t="s">
        <v>188</v>
      </c>
      <c r="DA68" s="85">
        <v>483</v>
      </c>
      <c r="DB68" s="75" t="s">
        <v>188</v>
      </c>
      <c r="DC68" s="85">
        <v>482.99999999999994</v>
      </c>
      <c r="DD68" s="155" t="s">
        <v>188</v>
      </c>
      <c r="DE68" s="85">
        <v>482.99999999999994</v>
      </c>
      <c r="DF68" s="155" t="s">
        <v>188</v>
      </c>
      <c r="DG68" s="85" t="s">
        <v>188</v>
      </c>
      <c r="DH68" s="75" t="s">
        <v>0</v>
      </c>
      <c r="DI68" s="173" t="s">
        <v>188</v>
      </c>
      <c r="DJ68" s="76" t="s">
        <v>0</v>
      </c>
      <c r="DK68" s="90"/>
      <c r="DL68" s="90"/>
      <c r="DM68" s="90"/>
      <c r="DN68" s="90"/>
      <c r="DO68" s="90"/>
    </row>
    <row r="69" spans="1:120">
      <c r="A69" s="162" t="s">
        <v>55</v>
      </c>
      <c r="B69" s="149" t="s">
        <v>188</v>
      </c>
      <c r="C69" s="154" t="s">
        <v>188</v>
      </c>
      <c r="D69" s="75" t="s">
        <v>0</v>
      </c>
      <c r="E69" s="85" t="s">
        <v>188</v>
      </c>
      <c r="F69" s="75" t="s">
        <v>0</v>
      </c>
      <c r="G69" s="85" t="s">
        <v>188</v>
      </c>
      <c r="H69" s="75" t="s">
        <v>0</v>
      </c>
      <c r="I69" s="85" t="s">
        <v>188</v>
      </c>
      <c r="J69" s="75" t="s">
        <v>0</v>
      </c>
      <c r="K69" s="85" t="s">
        <v>188</v>
      </c>
      <c r="L69" s="75" t="s">
        <v>0</v>
      </c>
      <c r="M69" s="85" t="s">
        <v>188</v>
      </c>
      <c r="N69" s="75" t="s">
        <v>0</v>
      </c>
      <c r="O69" s="85" t="s">
        <v>188</v>
      </c>
      <c r="P69" s="75" t="s">
        <v>0</v>
      </c>
      <c r="Q69" s="85" t="s">
        <v>188</v>
      </c>
      <c r="R69" s="75" t="s">
        <v>0</v>
      </c>
      <c r="S69" s="85" t="s">
        <v>188</v>
      </c>
      <c r="T69" s="75" t="s">
        <v>0</v>
      </c>
      <c r="U69" s="85" t="s">
        <v>188</v>
      </c>
      <c r="V69" s="75" t="s">
        <v>0</v>
      </c>
      <c r="W69" s="85" t="s">
        <v>188</v>
      </c>
      <c r="X69" s="75" t="s">
        <v>0</v>
      </c>
      <c r="Y69" s="85" t="s">
        <v>188</v>
      </c>
      <c r="Z69" s="155" t="s">
        <v>0</v>
      </c>
      <c r="AA69" s="85" t="s">
        <v>188</v>
      </c>
      <c r="AB69" s="75" t="s">
        <v>0</v>
      </c>
      <c r="AC69" s="173" t="s">
        <v>188</v>
      </c>
      <c r="AD69" s="76" t="s">
        <v>0</v>
      </c>
      <c r="AE69" s="154" t="s">
        <v>188</v>
      </c>
      <c r="AF69" s="75" t="s">
        <v>0</v>
      </c>
      <c r="AG69" s="85" t="s">
        <v>188</v>
      </c>
      <c r="AH69" s="75" t="s">
        <v>0</v>
      </c>
      <c r="AI69" s="85" t="s">
        <v>188</v>
      </c>
      <c r="AJ69" s="75" t="s">
        <v>0</v>
      </c>
      <c r="AK69" s="85" t="s">
        <v>188</v>
      </c>
      <c r="AL69" s="75" t="s">
        <v>0</v>
      </c>
      <c r="AM69" s="85" t="s">
        <v>188</v>
      </c>
      <c r="AN69" s="75" t="s">
        <v>0</v>
      </c>
      <c r="AO69" s="85" t="s">
        <v>188</v>
      </c>
      <c r="AP69" s="75" t="s">
        <v>0</v>
      </c>
      <c r="AQ69" s="85" t="s">
        <v>188</v>
      </c>
      <c r="AR69" s="75" t="s">
        <v>0</v>
      </c>
      <c r="AS69" s="85" t="s">
        <v>188</v>
      </c>
      <c r="AT69" s="75" t="s">
        <v>0</v>
      </c>
      <c r="AU69" s="85" t="s">
        <v>188</v>
      </c>
      <c r="AV69" s="75" t="s">
        <v>0</v>
      </c>
      <c r="AW69" s="85" t="s">
        <v>188</v>
      </c>
      <c r="AX69" s="75" t="s">
        <v>0</v>
      </c>
      <c r="AY69" s="85" t="s">
        <v>188</v>
      </c>
      <c r="AZ69" s="155" t="s">
        <v>0</v>
      </c>
      <c r="BA69" s="85" t="s">
        <v>188</v>
      </c>
      <c r="BB69" s="155" t="s">
        <v>0</v>
      </c>
      <c r="BC69" s="85" t="s">
        <v>188</v>
      </c>
      <c r="BD69" s="75" t="s">
        <v>0</v>
      </c>
      <c r="BE69" s="173" t="s">
        <v>188</v>
      </c>
      <c r="BF69" s="76" t="s">
        <v>0</v>
      </c>
      <c r="BG69" s="154" t="s">
        <v>188</v>
      </c>
      <c r="BH69" s="75" t="s">
        <v>0</v>
      </c>
      <c r="BI69" s="85" t="s">
        <v>188</v>
      </c>
      <c r="BJ69" s="75" t="s">
        <v>0</v>
      </c>
      <c r="BK69" s="85" t="s">
        <v>188</v>
      </c>
      <c r="BL69" s="75" t="s">
        <v>0</v>
      </c>
      <c r="BM69" s="85" t="s">
        <v>188</v>
      </c>
      <c r="BN69" s="75" t="s">
        <v>0</v>
      </c>
      <c r="BO69" s="85" t="s">
        <v>188</v>
      </c>
      <c r="BP69" s="75" t="s">
        <v>0</v>
      </c>
      <c r="BQ69" s="85" t="s">
        <v>188</v>
      </c>
      <c r="BR69" s="75" t="s">
        <v>0</v>
      </c>
      <c r="BS69" s="85" t="s">
        <v>188</v>
      </c>
      <c r="BT69" s="75" t="s">
        <v>0</v>
      </c>
      <c r="BU69" s="85" t="s">
        <v>188</v>
      </c>
      <c r="BV69" s="75" t="s">
        <v>0</v>
      </c>
      <c r="BW69" s="85" t="s">
        <v>188</v>
      </c>
      <c r="BX69" s="75" t="s">
        <v>0</v>
      </c>
      <c r="BY69" s="85" t="s">
        <v>188</v>
      </c>
      <c r="BZ69" s="75" t="s">
        <v>0</v>
      </c>
      <c r="CA69" s="85" t="s">
        <v>188</v>
      </c>
      <c r="CB69" s="155" t="s">
        <v>0</v>
      </c>
      <c r="CC69" s="85" t="s">
        <v>188</v>
      </c>
      <c r="CD69" s="155" t="s">
        <v>0</v>
      </c>
      <c r="CE69" s="85" t="s">
        <v>188</v>
      </c>
      <c r="CF69" s="75" t="s">
        <v>0</v>
      </c>
      <c r="CG69" s="173" t="s">
        <v>188</v>
      </c>
      <c r="CH69" s="76" t="s">
        <v>0</v>
      </c>
      <c r="CI69" s="154" t="s">
        <v>188</v>
      </c>
      <c r="CJ69" s="75" t="s">
        <v>0</v>
      </c>
      <c r="CK69" s="85" t="s">
        <v>188</v>
      </c>
      <c r="CL69" s="75" t="s">
        <v>0</v>
      </c>
      <c r="CM69" s="85" t="s">
        <v>188</v>
      </c>
      <c r="CN69" s="75" t="s">
        <v>0</v>
      </c>
      <c r="CO69" s="85" t="s">
        <v>188</v>
      </c>
      <c r="CP69" s="75" t="s">
        <v>0</v>
      </c>
      <c r="CQ69" s="85" t="s">
        <v>188</v>
      </c>
      <c r="CR69" s="75" t="s">
        <v>0</v>
      </c>
      <c r="CS69" s="85" t="s">
        <v>188</v>
      </c>
      <c r="CT69" s="75" t="s">
        <v>0</v>
      </c>
      <c r="CU69" s="85" t="s">
        <v>188</v>
      </c>
      <c r="CV69" s="75" t="s">
        <v>0</v>
      </c>
      <c r="CW69" s="85" t="s">
        <v>188</v>
      </c>
      <c r="CX69" s="75" t="s">
        <v>0</v>
      </c>
      <c r="CY69" s="85" t="s">
        <v>188</v>
      </c>
      <c r="CZ69" s="75" t="s">
        <v>0</v>
      </c>
      <c r="DA69" s="85" t="s">
        <v>188</v>
      </c>
      <c r="DB69" s="75" t="s">
        <v>0</v>
      </c>
      <c r="DC69" s="85" t="s">
        <v>188</v>
      </c>
      <c r="DD69" s="155" t="s">
        <v>0</v>
      </c>
      <c r="DE69" s="85" t="s">
        <v>188</v>
      </c>
      <c r="DF69" s="155" t="s">
        <v>0</v>
      </c>
      <c r="DG69" s="85" t="s">
        <v>188</v>
      </c>
      <c r="DH69" s="75" t="s">
        <v>0</v>
      </c>
      <c r="DI69" s="173" t="s">
        <v>188</v>
      </c>
      <c r="DJ69" s="76" t="s">
        <v>0</v>
      </c>
      <c r="DK69" s="90"/>
      <c r="DL69" s="90"/>
      <c r="DM69" s="90"/>
      <c r="DN69" s="90"/>
      <c r="DO69" s="90"/>
    </row>
    <row r="70" spans="1:120">
      <c r="A70" s="38" t="s">
        <v>51</v>
      </c>
      <c r="B70" s="153" t="s">
        <v>188</v>
      </c>
      <c r="C70" s="84" t="s">
        <v>188</v>
      </c>
      <c r="D70" s="77" t="s">
        <v>0</v>
      </c>
      <c r="E70" s="81" t="s">
        <v>188</v>
      </c>
      <c r="F70" s="77" t="s">
        <v>0</v>
      </c>
      <c r="G70" s="81" t="s">
        <v>188</v>
      </c>
      <c r="H70" s="77" t="s">
        <v>0</v>
      </c>
      <c r="I70" s="81" t="s">
        <v>188</v>
      </c>
      <c r="J70" s="77" t="s">
        <v>0</v>
      </c>
      <c r="K70" s="81" t="s">
        <v>188</v>
      </c>
      <c r="L70" s="77" t="s">
        <v>0</v>
      </c>
      <c r="M70" s="81" t="s">
        <v>188</v>
      </c>
      <c r="N70" s="77" t="s">
        <v>0</v>
      </c>
      <c r="O70" s="81" t="s">
        <v>188</v>
      </c>
      <c r="P70" s="77" t="s">
        <v>0</v>
      </c>
      <c r="Q70" s="81" t="s">
        <v>188</v>
      </c>
      <c r="R70" s="77" t="s">
        <v>0</v>
      </c>
      <c r="S70" s="81" t="s">
        <v>188</v>
      </c>
      <c r="T70" s="77" t="s">
        <v>0</v>
      </c>
      <c r="U70" s="81" t="s">
        <v>188</v>
      </c>
      <c r="V70" s="77" t="s">
        <v>0</v>
      </c>
      <c r="W70" s="81" t="s">
        <v>188</v>
      </c>
      <c r="X70" s="77" t="s">
        <v>0</v>
      </c>
      <c r="Y70" s="81" t="s">
        <v>188</v>
      </c>
      <c r="Z70" s="124" t="s">
        <v>0</v>
      </c>
      <c r="AA70" s="81" t="s">
        <v>188</v>
      </c>
      <c r="AB70" s="77" t="s">
        <v>0</v>
      </c>
      <c r="AC70" s="83" t="s">
        <v>188</v>
      </c>
      <c r="AD70" s="78" t="s">
        <v>0</v>
      </c>
      <c r="AE70" s="84" t="s">
        <v>188</v>
      </c>
      <c r="AF70" s="77" t="s">
        <v>0</v>
      </c>
      <c r="AG70" s="81" t="s">
        <v>188</v>
      </c>
      <c r="AH70" s="77" t="s">
        <v>0</v>
      </c>
      <c r="AI70" s="81" t="s">
        <v>188</v>
      </c>
      <c r="AJ70" s="77" t="s">
        <v>0</v>
      </c>
      <c r="AK70" s="81" t="s">
        <v>188</v>
      </c>
      <c r="AL70" s="77" t="s">
        <v>0</v>
      </c>
      <c r="AM70" s="81" t="s">
        <v>188</v>
      </c>
      <c r="AN70" s="77" t="s">
        <v>0</v>
      </c>
      <c r="AO70" s="81" t="s">
        <v>188</v>
      </c>
      <c r="AP70" s="77" t="s">
        <v>0</v>
      </c>
      <c r="AQ70" s="81" t="s">
        <v>188</v>
      </c>
      <c r="AR70" s="77" t="s">
        <v>0</v>
      </c>
      <c r="AS70" s="81" t="s">
        <v>188</v>
      </c>
      <c r="AT70" s="77" t="s">
        <v>0</v>
      </c>
      <c r="AU70" s="81" t="s">
        <v>188</v>
      </c>
      <c r="AV70" s="77" t="s">
        <v>0</v>
      </c>
      <c r="AW70" s="81" t="s">
        <v>188</v>
      </c>
      <c r="AX70" s="77" t="s">
        <v>0</v>
      </c>
      <c r="AY70" s="81" t="s">
        <v>188</v>
      </c>
      <c r="AZ70" s="124" t="s">
        <v>0</v>
      </c>
      <c r="BA70" s="81" t="s">
        <v>188</v>
      </c>
      <c r="BB70" s="124" t="s">
        <v>0</v>
      </c>
      <c r="BC70" s="81" t="s">
        <v>188</v>
      </c>
      <c r="BD70" s="77" t="s">
        <v>0</v>
      </c>
      <c r="BE70" s="83" t="s">
        <v>188</v>
      </c>
      <c r="BF70" s="78" t="s">
        <v>0</v>
      </c>
      <c r="BG70" s="84" t="s">
        <v>188</v>
      </c>
      <c r="BH70" s="77" t="s">
        <v>0</v>
      </c>
      <c r="BI70" s="81" t="s">
        <v>188</v>
      </c>
      <c r="BJ70" s="77" t="s">
        <v>0</v>
      </c>
      <c r="BK70" s="81" t="s">
        <v>188</v>
      </c>
      <c r="BL70" s="77" t="s">
        <v>0</v>
      </c>
      <c r="BM70" s="81" t="s">
        <v>188</v>
      </c>
      <c r="BN70" s="77" t="s">
        <v>0</v>
      </c>
      <c r="BO70" s="81" t="s">
        <v>188</v>
      </c>
      <c r="BP70" s="77" t="s">
        <v>0</v>
      </c>
      <c r="BQ70" s="81" t="s">
        <v>188</v>
      </c>
      <c r="BR70" s="77" t="s">
        <v>0</v>
      </c>
      <c r="BS70" s="81" t="s">
        <v>188</v>
      </c>
      <c r="BT70" s="77" t="s">
        <v>0</v>
      </c>
      <c r="BU70" s="81" t="s">
        <v>188</v>
      </c>
      <c r="BV70" s="77" t="s">
        <v>0</v>
      </c>
      <c r="BW70" s="81" t="s">
        <v>188</v>
      </c>
      <c r="BX70" s="77" t="s">
        <v>0</v>
      </c>
      <c r="BY70" s="81" t="s">
        <v>188</v>
      </c>
      <c r="BZ70" s="77" t="s">
        <v>0</v>
      </c>
      <c r="CA70" s="81" t="s">
        <v>188</v>
      </c>
      <c r="CB70" s="124" t="s">
        <v>0</v>
      </c>
      <c r="CC70" s="81" t="s">
        <v>188</v>
      </c>
      <c r="CD70" s="124" t="s">
        <v>0</v>
      </c>
      <c r="CE70" s="81" t="s">
        <v>188</v>
      </c>
      <c r="CF70" s="77" t="s">
        <v>0</v>
      </c>
      <c r="CG70" s="83" t="s">
        <v>188</v>
      </c>
      <c r="CH70" s="78" t="s">
        <v>0</v>
      </c>
      <c r="CI70" s="84" t="s">
        <v>188</v>
      </c>
      <c r="CJ70" s="77" t="s">
        <v>0</v>
      </c>
      <c r="CK70" s="81" t="s">
        <v>188</v>
      </c>
      <c r="CL70" s="77" t="s">
        <v>0</v>
      </c>
      <c r="CM70" s="81" t="s">
        <v>188</v>
      </c>
      <c r="CN70" s="77" t="s">
        <v>0</v>
      </c>
      <c r="CO70" s="81" t="s">
        <v>188</v>
      </c>
      <c r="CP70" s="77" t="s">
        <v>0</v>
      </c>
      <c r="CQ70" s="81" t="s">
        <v>188</v>
      </c>
      <c r="CR70" s="77" t="s">
        <v>0</v>
      </c>
      <c r="CS70" s="81" t="s">
        <v>188</v>
      </c>
      <c r="CT70" s="77" t="s">
        <v>0</v>
      </c>
      <c r="CU70" s="81" t="s">
        <v>188</v>
      </c>
      <c r="CV70" s="77" t="s">
        <v>0</v>
      </c>
      <c r="CW70" s="81" t="s">
        <v>188</v>
      </c>
      <c r="CX70" s="77" t="s">
        <v>0</v>
      </c>
      <c r="CY70" s="81" t="s">
        <v>188</v>
      </c>
      <c r="CZ70" s="77" t="s">
        <v>0</v>
      </c>
      <c r="DA70" s="81" t="s">
        <v>188</v>
      </c>
      <c r="DB70" s="77" t="s">
        <v>0</v>
      </c>
      <c r="DC70" s="81" t="s">
        <v>188</v>
      </c>
      <c r="DD70" s="124" t="s">
        <v>0</v>
      </c>
      <c r="DE70" s="81" t="s">
        <v>188</v>
      </c>
      <c r="DF70" s="124" t="s">
        <v>0</v>
      </c>
      <c r="DG70" s="81" t="s">
        <v>188</v>
      </c>
      <c r="DH70" s="77" t="s">
        <v>0</v>
      </c>
      <c r="DI70" s="83" t="s">
        <v>188</v>
      </c>
      <c r="DJ70" s="78" t="s">
        <v>0</v>
      </c>
      <c r="DK70" s="90"/>
      <c r="DL70" s="90"/>
      <c r="DM70" s="90"/>
      <c r="DN70" s="90"/>
      <c r="DO70" s="90"/>
    </row>
    <row r="71" spans="1:120">
      <c r="A71" s="42"/>
      <c r="B71" s="153"/>
      <c r="C71" s="84"/>
      <c r="D71" s="77"/>
      <c r="E71" s="81"/>
      <c r="F71" s="77"/>
      <c r="G71" s="81"/>
      <c r="H71" s="77"/>
      <c r="I71" s="81"/>
      <c r="J71" s="77"/>
      <c r="K71" s="81"/>
      <c r="L71" s="77"/>
      <c r="M71" s="81"/>
      <c r="N71" s="77"/>
      <c r="O71" s="81"/>
      <c r="P71" s="77"/>
      <c r="Q71" s="81"/>
      <c r="R71" s="77"/>
      <c r="S71" s="81"/>
      <c r="T71" s="77"/>
      <c r="U71" s="81"/>
      <c r="V71" s="77"/>
      <c r="W71" s="81"/>
      <c r="X71" s="77"/>
      <c r="Y71" s="81"/>
      <c r="Z71" s="124"/>
      <c r="AA71" s="81"/>
      <c r="AB71" s="77"/>
      <c r="AC71" s="83"/>
      <c r="AD71" s="78"/>
      <c r="AE71" s="84"/>
      <c r="AF71" s="77"/>
      <c r="AG71" s="81"/>
      <c r="AH71" s="77"/>
      <c r="AI71" s="81"/>
      <c r="AJ71" s="77"/>
      <c r="AK71" s="81"/>
      <c r="AL71" s="77"/>
      <c r="AM71" s="81"/>
      <c r="AN71" s="77"/>
      <c r="AO71" s="81"/>
      <c r="AP71" s="77"/>
      <c r="AQ71" s="81"/>
      <c r="AR71" s="77"/>
      <c r="AS71" s="81"/>
      <c r="AT71" s="77"/>
      <c r="AU71" s="81"/>
      <c r="AV71" s="77"/>
      <c r="AW71" s="81"/>
      <c r="AX71" s="77"/>
      <c r="AY71" s="81"/>
      <c r="AZ71" s="124"/>
      <c r="BA71" s="81"/>
      <c r="BB71" s="124"/>
      <c r="BC71" s="81"/>
      <c r="BD71" s="77"/>
      <c r="BE71" s="83"/>
      <c r="BF71" s="78"/>
      <c r="BG71" s="84"/>
      <c r="BH71" s="77"/>
      <c r="BI71" s="81"/>
      <c r="BJ71" s="77"/>
      <c r="BK71" s="81"/>
      <c r="BL71" s="77"/>
      <c r="BM71" s="81"/>
      <c r="BN71" s="77"/>
      <c r="BO71" s="81"/>
      <c r="BP71" s="77"/>
      <c r="BQ71" s="81"/>
      <c r="BR71" s="77"/>
      <c r="BS71" s="81"/>
      <c r="BT71" s="77"/>
      <c r="BU71" s="81"/>
      <c r="BV71" s="77"/>
      <c r="BW71" s="81"/>
      <c r="BX71" s="77"/>
      <c r="BY71" s="81"/>
      <c r="BZ71" s="77"/>
      <c r="CA71" s="81"/>
      <c r="CB71" s="124"/>
      <c r="CC71" s="81"/>
      <c r="CD71" s="124"/>
      <c r="CE71" s="81"/>
      <c r="CF71" s="77"/>
      <c r="CG71" s="83"/>
      <c r="CH71" s="78"/>
      <c r="CI71" s="84"/>
      <c r="CJ71" s="77"/>
      <c r="CK71" s="81"/>
      <c r="CL71" s="77"/>
      <c r="CM71" s="81"/>
      <c r="CN71" s="77"/>
      <c r="CO71" s="81"/>
      <c r="CP71" s="77"/>
      <c r="CQ71" s="81"/>
      <c r="CR71" s="77"/>
      <c r="CS71" s="81"/>
      <c r="CT71" s="77"/>
      <c r="CU71" s="81"/>
      <c r="CV71" s="77"/>
      <c r="CW71" s="81"/>
      <c r="CX71" s="77"/>
      <c r="CY71" s="81"/>
      <c r="CZ71" s="77"/>
      <c r="DA71" s="81"/>
      <c r="DB71" s="77"/>
      <c r="DC71" s="81"/>
      <c r="DD71" s="124"/>
      <c r="DE71" s="81"/>
      <c r="DF71" s="124"/>
      <c r="DG71" s="81"/>
      <c r="DH71" s="77"/>
      <c r="DI71" s="83"/>
      <c r="DJ71" s="78"/>
      <c r="DK71" s="90"/>
      <c r="DL71" s="90"/>
      <c r="DM71" s="90"/>
      <c r="DN71" s="90"/>
      <c r="DO71" s="90"/>
    </row>
    <row r="72" spans="1:120" s="91" customFormat="1" ht="10.8" thickBot="1">
      <c r="A72" s="170" t="s">
        <v>60</v>
      </c>
      <c r="B72" s="159" t="s">
        <v>188</v>
      </c>
      <c r="C72" s="180" t="s">
        <v>188</v>
      </c>
      <c r="D72" s="181" t="s">
        <v>0</v>
      </c>
      <c r="E72" s="182" t="s">
        <v>188</v>
      </c>
      <c r="F72" s="181" t="s">
        <v>0</v>
      </c>
      <c r="G72" s="182" t="s">
        <v>188</v>
      </c>
      <c r="H72" s="181" t="s">
        <v>0</v>
      </c>
      <c r="I72" s="182" t="s">
        <v>188</v>
      </c>
      <c r="J72" s="181" t="s">
        <v>0</v>
      </c>
      <c r="K72" s="182" t="s">
        <v>188</v>
      </c>
      <c r="L72" s="181" t="s">
        <v>0</v>
      </c>
      <c r="M72" s="182" t="s">
        <v>188</v>
      </c>
      <c r="N72" s="181" t="s">
        <v>0</v>
      </c>
      <c r="O72" s="182" t="s">
        <v>188</v>
      </c>
      <c r="P72" s="181" t="s">
        <v>0</v>
      </c>
      <c r="Q72" s="182" t="s">
        <v>188</v>
      </c>
      <c r="R72" s="181" t="s">
        <v>0</v>
      </c>
      <c r="S72" s="182" t="s">
        <v>188</v>
      </c>
      <c r="T72" s="181" t="s">
        <v>0</v>
      </c>
      <c r="U72" s="182" t="s">
        <v>188</v>
      </c>
      <c r="V72" s="181" t="s">
        <v>0</v>
      </c>
      <c r="W72" s="182" t="s">
        <v>188</v>
      </c>
      <c r="X72" s="181" t="s">
        <v>0</v>
      </c>
      <c r="Y72" s="182" t="s">
        <v>188</v>
      </c>
      <c r="Z72" s="183" t="s">
        <v>0</v>
      </c>
      <c r="AA72" s="182" t="s">
        <v>188</v>
      </c>
      <c r="AB72" s="181" t="s">
        <v>0</v>
      </c>
      <c r="AC72" s="184" t="s">
        <v>188</v>
      </c>
      <c r="AD72" s="185" t="s">
        <v>0</v>
      </c>
      <c r="AE72" s="180" t="s">
        <v>188</v>
      </c>
      <c r="AF72" s="181" t="s">
        <v>0</v>
      </c>
      <c r="AG72" s="182" t="s">
        <v>188</v>
      </c>
      <c r="AH72" s="181" t="s">
        <v>0</v>
      </c>
      <c r="AI72" s="182" t="s">
        <v>188</v>
      </c>
      <c r="AJ72" s="181" t="s">
        <v>0</v>
      </c>
      <c r="AK72" s="182" t="s">
        <v>188</v>
      </c>
      <c r="AL72" s="181" t="s">
        <v>0</v>
      </c>
      <c r="AM72" s="182" t="s">
        <v>188</v>
      </c>
      <c r="AN72" s="181" t="s">
        <v>0</v>
      </c>
      <c r="AO72" s="182" t="s">
        <v>188</v>
      </c>
      <c r="AP72" s="181" t="s">
        <v>0</v>
      </c>
      <c r="AQ72" s="182" t="s">
        <v>188</v>
      </c>
      <c r="AR72" s="181" t="s">
        <v>0</v>
      </c>
      <c r="AS72" s="182" t="s">
        <v>188</v>
      </c>
      <c r="AT72" s="181" t="s">
        <v>0</v>
      </c>
      <c r="AU72" s="182" t="s">
        <v>188</v>
      </c>
      <c r="AV72" s="181" t="s">
        <v>0</v>
      </c>
      <c r="AW72" s="182" t="s">
        <v>188</v>
      </c>
      <c r="AX72" s="181" t="s">
        <v>0</v>
      </c>
      <c r="AY72" s="182" t="s">
        <v>188</v>
      </c>
      <c r="AZ72" s="183" t="s">
        <v>0</v>
      </c>
      <c r="BA72" s="182" t="s">
        <v>188</v>
      </c>
      <c r="BB72" s="183" t="s">
        <v>0</v>
      </c>
      <c r="BC72" s="182" t="s">
        <v>188</v>
      </c>
      <c r="BD72" s="181" t="s">
        <v>0</v>
      </c>
      <c r="BE72" s="184" t="s">
        <v>188</v>
      </c>
      <c r="BF72" s="185" t="s">
        <v>0</v>
      </c>
      <c r="BG72" s="180" t="s">
        <v>188</v>
      </c>
      <c r="BH72" s="181" t="s">
        <v>0</v>
      </c>
      <c r="BI72" s="182" t="s">
        <v>188</v>
      </c>
      <c r="BJ72" s="181" t="s">
        <v>0</v>
      </c>
      <c r="BK72" s="182" t="s">
        <v>188</v>
      </c>
      <c r="BL72" s="181" t="s">
        <v>0</v>
      </c>
      <c r="BM72" s="182" t="s">
        <v>188</v>
      </c>
      <c r="BN72" s="181" t="s">
        <v>0</v>
      </c>
      <c r="BO72" s="182" t="s">
        <v>188</v>
      </c>
      <c r="BP72" s="181" t="s">
        <v>0</v>
      </c>
      <c r="BQ72" s="182" t="s">
        <v>188</v>
      </c>
      <c r="BR72" s="181" t="s">
        <v>0</v>
      </c>
      <c r="BS72" s="182" t="s">
        <v>188</v>
      </c>
      <c r="BT72" s="181" t="s">
        <v>0</v>
      </c>
      <c r="BU72" s="182" t="s">
        <v>188</v>
      </c>
      <c r="BV72" s="181" t="s">
        <v>0</v>
      </c>
      <c r="BW72" s="182" t="s">
        <v>188</v>
      </c>
      <c r="BX72" s="181" t="s">
        <v>0</v>
      </c>
      <c r="BY72" s="182" t="s">
        <v>188</v>
      </c>
      <c r="BZ72" s="181" t="s">
        <v>0</v>
      </c>
      <c r="CA72" s="182" t="s">
        <v>188</v>
      </c>
      <c r="CB72" s="183" t="s">
        <v>0</v>
      </c>
      <c r="CC72" s="182" t="s">
        <v>188</v>
      </c>
      <c r="CD72" s="183" t="s">
        <v>0</v>
      </c>
      <c r="CE72" s="182" t="s">
        <v>188</v>
      </c>
      <c r="CF72" s="181" t="s">
        <v>0</v>
      </c>
      <c r="CG72" s="184" t="s">
        <v>188</v>
      </c>
      <c r="CH72" s="185" t="s">
        <v>0</v>
      </c>
      <c r="CI72" s="180" t="s">
        <v>188</v>
      </c>
      <c r="CJ72" s="181" t="s">
        <v>0</v>
      </c>
      <c r="CK72" s="182" t="s">
        <v>188</v>
      </c>
      <c r="CL72" s="181" t="s">
        <v>0</v>
      </c>
      <c r="CM72" s="182" t="s">
        <v>188</v>
      </c>
      <c r="CN72" s="181" t="s">
        <v>0</v>
      </c>
      <c r="CO72" s="182" t="s">
        <v>188</v>
      </c>
      <c r="CP72" s="181" t="s">
        <v>0</v>
      </c>
      <c r="CQ72" s="182" t="s">
        <v>188</v>
      </c>
      <c r="CR72" s="181" t="s">
        <v>0</v>
      </c>
      <c r="CS72" s="182" t="s">
        <v>188</v>
      </c>
      <c r="CT72" s="181" t="s">
        <v>0</v>
      </c>
      <c r="CU72" s="182" t="s">
        <v>188</v>
      </c>
      <c r="CV72" s="181" t="s">
        <v>0</v>
      </c>
      <c r="CW72" s="182" t="s">
        <v>188</v>
      </c>
      <c r="CX72" s="181" t="s">
        <v>0</v>
      </c>
      <c r="CY72" s="182" t="s">
        <v>188</v>
      </c>
      <c r="CZ72" s="181" t="s">
        <v>0</v>
      </c>
      <c r="DA72" s="182" t="s">
        <v>188</v>
      </c>
      <c r="DB72" s="181" t="s">
        <v>0</v>
      </c>
      <c r="DC72" s="182" t="s">
        <v>188</v>
      </c>
      <c r="DD72" s="183" t="s">
        <v>0</v>
      </c>
      <c r="DE72" s="182" t="s">
        <v>188</v>
      </c>
      <c r="DF72" s="183" t="s">
        <v>0</v>
      </c>
      <c r="DG72" s="182" t="s">
        <v>188</v>
      </c>
      <c r="DH72" s="181" t="s">
        <v>0</v>
      </c>
      <c r="DI72" s="184" t="s">
        <v>188</v>
      </c>
      <c r="DJ72" s="185" t="s">
        <v>0</v>
      </c>
      <c r="DK72" s="90"/>
      <c r="DL72" s="90"/>
      <c r="DM72" s="90"/>
      <c r="DN72" s="90"/>
      <c r="DO72" s="90"/>
      <c r="DP72" s="90"/>
    </row>
    <row r="73" spans="1:120" s="91" customFormat="1" ht="10.8" thickBot="1">
      <c r="A73" s="234" t="s">
        <v>210</v>
      </c>
      <c r="B73" s="235" t="s">
        <v>188</v>
      </c>
      <c r="C73" s="180" t="s">
        <v>188</v>
      </c>
      <c r="D73" s="181" t="s">
        <v>0</v>
      </c>
      <c r="E73" s="182" t="s">
        <v>188</v>
      </c>
      <c r="F73" s="181" t="s">
        <v>0</v>
      </c>
      <c r="G73" s="182" t="s">
        <v>188</v>
      </c>
      <c r="H73" s="181" t="s">
        <v>0</v>
      </c>
      <c r="I73" s="182" t="s">
        <v>188</v>
      </c>
      <c r="J73" s="181" t="s">
        <v>0</v>
      </c>
      <c r="K73" s="182" t="s">
        <v>188</v>
      </c>
      <c r="L73" s="181" t="s">
        <v>0</v>
      </c>
      <c r="M73" s="182" t="s">
        <v>188</v>
      </c>
      <c r="N73" s="181" t="s">
        <v>0</v>
      </c>
      <c r="O73" s="182" t="s">
        <v>188</v>
      </c>
      <c r="P73" s="181" t="s">
        <v>0</v>
      </c>
      <c r="Q73" s="182">
        <v>1019.1805972503709</v>
      </c>
      <c r="R73" s="181" t="s">
        <v>188</v>
      </c>
      <c r="S73" s="182">
        <v>1013.9087336498259</v>
      </c>
      <c r="T73" s="181" t="s">
        <v>188</v>
      </c>
      <c r="U73" s="182">
        <v>1008.6549926474228</v>
      </c>
      <c r="V73" s="181" t="s">
        <v>188</v>
      </c>
      <c r="W73" s="182">
        <v>1000.1770061739813</v>
      </c>
      <c r="X73" s="181" t="s">
        <v>188</v>
      </c>
      <c r="Y73" s="182">
        <v>986.92583436924679</v>
      </c>
      <c r="Z73" s="183" t="s">
        <v>188</v>
      </c>
      <c r="AA73" s="182">
        <v>1018.0351080683523</v>
      </c>
      <c r="AB73" s="181" t="s">
        <v>188</v>
      </c>
      <c r="AC73" s="184">
        <v>1029.9646052168623</v>
      </c>
      <c r="AD73" s="185" t="s">
        <v>188</v>
      </c>
      <c r="AE73" s="180">
        <v>769.54013015792555</v>
      </c>
      <c r="AF73" s="181" t="s">
        <v>188</v>
      </c>
      <c r="AG73" s="182">
        <v>774.79521602932186</v>
      </c>
      <c r="AH73" s="181" t="s">
        <v>188</v>
      </c>
      <c r="AI73" s="182">
        <v>781.78804815445835</v>
      </c>
      <c r="AJ73" s="181" t="s">
        <v>188</v>
      </c>
      <c r="AK73" s="182">
        <v>771.07818624920026</v>
      </c>
      <c r="AL73" s="181" t="s">
        <v>188</v>
      </c>
      <c r="AM73" s="182">
        <v>765.64639134462629</v>
      </c>
      <c r="AN73" s="181" t="s">
        <v>188</v>
      </c>
      <c r="AO73" s="182">
        <v>767.65429932501024</v>
      </c>
      <c r="AP73" s="181" t="s">
        <v>188</v>
      </c>
      <c r="AQ73" s="182">
        <v>772.225566408585</v>
      </c>
      <c r="AR73" s="181" t="s">
        <v>188</v>
      </c>
      <c r="AS73" s="182">
        <v>777.58231487924377</v>
      </c>
      <c r="AT73" s="181" t="s">
        <v>188</v>
      </c>
      <c r="AU73" s="182">
        <v>770.49504693432937</v>
      </c>
      <c r="AV73" s="181" t="s">
        <v>188</v>
      </c>
      <c r="AW73" s="182">
        <v>774.75375579404863</v>
      </c>
      <c r="AX73" s="181" t="s">
        <v>188</v>
      </c>
      <c r="AY73" s="182">
        <v>776.83711256788047</v>
      </c>
      <c r="AZ73" s="183" t="s">
        <v>188</v>
      </c>
      <c r="BA73" s="182">
        <v>786.79732386657486</v>
      </c>
      <c r="BB73" s="183" t="s">
        <v>188</v>
      </c>
      <c r="BC73" s="182">
        <v>770.93116071066447</v>
      </c>
      <c r="BD73" s="181" t="s">
        <v>188</v>
      </c>
      <c r="BE73" s="184">
        <v>770.65658205507214</v>
      </c>
      <c r="BF73" s="185" t="s">
        <v>188</v>
      </c>
      <c r="BG73" s="180">
        <v>679.59053953018076</v>
      </c>
      <c r="BH73" s="181" t="s">
        <v>188</v>
      </c>
      <c r="BI73" s="182">
        <v>679.9252278884137</v>
      </c>
      <c r="BJ73" s="181" t="s">
        <v>188</v>
      </c>
      <c r="BK73" s="182">
        <v>683.50944985554872</v>
      </c>
      <c r="BL73" s="181" t="s">
        <v>188</v>
      </c>
      <c r="BM73" s="182">
        <v>680.63420246030694</v>
      </c>
      <c r="BN73" s="181" t="s">
        <v>188</v>
      </c>
      <c r="BO73" s="182">
        <v>676.9030320612278</v>
      </c>
      <c r="BP73" s="181" t="s">
        <v>188</v>
      </c>
      <c r="BQ73" s="182">
        <v>674.79619703370076</v>
      </c>
      <c r="BR73" s="181" t="s">
        <v>188</v>
      </c>
      <c r="BS73" s="182">
        <v>678.62843507729235</v>
      </c>
      <c r="BT73" s="181" t="s">
        <v>188</v>
      </c>
      <c r="BU73" s="182">
        <v>685.23224439248008</v>
      </c>
      <c r="BV73" s="181" t="s">
        <v>188</v>
      </c>
      <c r="BW73" s="182">
        <v>681.61908460849884</v>
      </c>
      <c r="BX73" s="181" t="s">
        <v>188</v>
      </c>
      <c r="BY73" s="182">
        <v>695.60420280921085</v>
      </c>
      <c r="BZ73" s="181" t="s">
        <v>188</v>
      </c>
      <c r="CA73" s="182">
        <v>686.98210274387088</v>
      </c>
      <c r="CB73" s="183" t="s">
        <v>188</v>
      </c>
      <c r="CC73" s="182">
        <v>702.78067078306549</v>
      </c>
      <c r="CD73" s="183" t="s">
        <v>188</v>
      </c>
      <c r="CE73" s="182">
        <v>694.60235179990866</v>
      </c>
      <c r="CF73" s="181" t="s">
        <v>188</v>
      </c>
      <c r="CG73" s="184">
        <v>692.62811829560258</v>
      </c>
      <c r="CH73" s="185" t="s">
        <v>188</v>
      </c>
      <c r="CI73" s="180">
        <v>628.26629020836901</v>
      </c>
      <c r="CJ73" s="181" t="s">
        <v>188</v>
      </c>
      <c r="CK73" s="182">
        <v>647.58141085504576</v>
      </c>
      <c r="CL73" s="181" t="s">
        <v>188</v>
      </c>
      <c r="CM73" s="182">
        <v>642.81724983538948</v>
      </c>
      <c r="CN73" s="181" t="s">
        <v>188</v>
      </c>
      <c r="CO73" s="182">
        <v>640.64992304286113</v>
      </c>
      <c r="CP73" s="181" t="s">
        <v>188</v>
      </c>
      <c r="CQ73" s="182">
        <v>638.48405861332105</v>
      </c>
      <c r="CR73" s="181" t="s">
        <v>188</v>
      </c>
      <c r="CS73" s="182">
        <v>637.24883104757805</v>
      </c>
      <c r="CT73" s="181" t="s">
        <v>188</v>
      </c>
      <c r="CU73" s="182">
        <v>641.76841635988103</v>
      </c>
      <c r="CV73" s="181" t="s">
        <v>188</v>
      </c>
      <c r="CW73" s="182">
        <v>645.74450989870593</v>
      </c>
      <c r="CX73" s="181" t="s">
        <v>188</v>
      </c>
      <c r="CY73" s="182">
        <v>642.4005589160555</v>
      </c>
      <c r="CZ73" s="181" t="s">
        <v>188</v>
      </c>
      <c r="DA73" s="182">
        <v>649.69668958267039</v>
      </c>
      <c r="DB73" s="181" t="s">
        <v>188</v>
      </c>
      <c r="DC73" s="182">
        <v>643.49358293668183</v>
      </c>
      <c r="DD73" s="183" t="s">
        <v>188</v>
      </c>
      <c r="DE73" s="182">
        <v>660.54146227099068</v>
      </c>
      <c r="DF73" s="183" t="s">
        <v>188</v>
      </c>
      <c r="DG73" s="182">
        <v>649.33431339952847</v>
      </c>
      <c r="DH73" s="181" t="s">
        <v>188</v>
      </c>
      <c r="DI73" s="184">
        <v>646.11023792090521</v>
      </c>
      <c r="DJ73" s="185" t="s">
        <v>188</v>
      </c>
      <c r="DK73" s="90"/>
      <c r="DL73" s="90"/>
      <c r="DM73" s="90"/>
      <c r="DN73" s="90"/>
      <c r="DO73" s="90"/>
      <c r="DP73" s="90"/>
    </row>
    <row r="74" spans="1:120" s="91" customFormat="1" ht="10.8" thickBot="1">
      <c r="A74" s="199" t="s">
        <v>211</v>
      </c>
      <c r="B74" s="236" t="s">
        <v>188</v>
      </c>
      <c r="C74" s="180" t="s">
        <v>188</v>
      </c>
      <c r="D74" s="181" t="s">
        <v>0</v>
      </c>
      <c r="E74" s="182" t="s">
        <v>188</v>
      </c>
      <c r="F74" s="181" t="s">
        <v>0</v>
      </c>
      <c r="G74" s="182" t="s">
        <v>188</v>
      </c>
      <c r="H74" s="181" t="s">
        <v>0</v>
      </c>
      <c r="I74" s="182" t="s">
        <v>188</v>
      </c>
      <c r="J74" s="181" t="s">
        <v>0</v>
      </c>
      <c r="K74" s="182" t="s">
        <v>188</v>
      </c>
      <c r="L74" s="181" t="s">
        <v>0</v>
      </c>
      <c r="M74" s="182" t="s">
        <v>188</v>
      </c>
      <c r="N74" s="181" t="s">
        <v>0</v>
      </c>
      <c r="O74" s="182" t="s">
        <v>188</v>
      </c>
      <c r="P74" s="181" t="s">
        <v>0</v>
      </c>
      <c r="Q74" s="182">
        <v>1019.7151937033836</v>
      </c>
      <c r="R74" s="181" t="s">
        <v>188</v>
      </c>
      <c r="S74" s="182">
        <v>1015.445497490703</v>
      </c>
      <c r="T74" s="181" t="s">
        <v>188</v>
      </c>
      <c r="U74" s="182">
        <v>1012.1196171026799</v>
      </c>
      <c r="V74" s="181" t="s">
        <v>188</v>
      </c>
      <c r="W74" s="182">
        <v>1025.0735282651071</v>
      </c>
      <c r="X74" s="181" t="s">
        <v>188</v>
      </c>
      <c r="Y74" s="182">
        <v>1026.9298386984128</v>
      </c>
      <c r="Z74" s="183" t="s">
        <v>188</v>
      </c>
      <c r="AA74" s="182">
        <v>1047.5647942386831</v>
      </c>
      <c r="AB74" s="181" t="s">
        <v>188</v>
      </c>
      <c r="AC74" s="184">
        <v>1068.1681687242799</v>
      </c>
      <c r="AD74" s="185" t="s">
        <v>188</v>
      </c>
      <c r="AE74" s="180">
        <v>773.7281833270315</v>
      </c>
      <c r="AF74" s="181" t="s">
        <v>188</v>
      </c>
      <c r="AG74" s="182">
        <v>766.43378286868483</v>
      </c>
      <c r="AH74" s="181" t="s">
        <v>188</v>
      </c>
      <c r="AI74" s="182">
        <v>768.8673938530776</v>
      </c>
      <c r="AJ74" s="181" t="s">
        <v>188</v>
      </c>
      <c r="AK74" s="182">
        <v>759.62697682868657</v>
      </c>
      <c r="AL74" s="181" t="s">
        <v>188</v>
      </c>
      <c r="AM74" s="182">
        <v>752.22290706021658</v>
      </c>
      <c r="AN74" s="181" t="s">
        <v>188</v>
      </c>
      <c r="AO74" s="182">
        <v>755.06260309752713</v>
      </c>
      <c r="AP74" s="181" t="s">
        <v>188</v>
      </c>
      <c r="AQ74" s="182">
        <v>760.54744249841917</v>
      </c>
      <c r="AR74" s="181" t="s">
        <v>188</v>
      </c>
      <c r="AS74" s="182">
        <v>763.68184942746916</v>
      </c>
      <c r="AT74" s="181" t="s">
        <v>188</v>
      </c>
      <c r="AU74" s="182">
        <v>759.37513228364583</v>
      </c>
      <c r="AV74" s="181" t="s">
        <v>188</v>
      </c>
      <c r="AW74" s="182">
        <v>758.88398383709671</v>
      </c>
      <c r="AX74" s="181" t="s">
        <v>188</v>
      </c>
      <c r="AY74" s="182">
        <v>754.41857388188578</v>
      </c>
      <c r="AZ74" s="183" t="s">
        <v>188</v>
      </c>
      <c r="BA74" s="182">
        <v>760.16768411699775</v>
      </c>
      <c r="BB74" s="183" t="s">
        <v>188</v>
      </c>
      <c r="BC74" s="182">
        <v>738.94368768515494</v>
      </c>
      <c r="BD74" s="181" t="s">
        <v>188</v>
      </c>
      <c r="BE74" s="184">
        <v>753.57211255118978</v>
      </c>
      <c r="BF74" s="185" t="s">
        <v>188</v>
      </c>
      <c r="BG74" s="180">
        <v>677.84666810627789</v>
      </c>
      <c r="BH74" s="181" t="s">
        <v>188</v>
      </c>
      <c r="BI74" s="182">
        <v>659.87096673103486</v>
      </c>
      <c r="BJ74" s="181" t="s">
        <v>188</v>
      </c>
      <c r="BK74" s="182">
        <v>658.80690279187331</v>
      </c>
      <c r="BL74" s="181" t="s">
        <v>188</v>
      </c>
      <c r="BM74" s="182">
        <v>659.56968539358195</v>
      </c>
      <c r="BN74" s="181" t="s">
        <v>188</v>
      </c>
      <c r="BO74" s="182">
        <v>654.40129281836596</v>
      </c>
      <c r="BP74" s="181" t="s">
        <v>188</v>
      </c>
      <c r="BQ74" s="182">
        <v>653.70313427323697</v>
      </c>
      <c r="BR74" s="181" t="s">
        <v>188</v>
      </c>
      <c r="BS74" s="182">
        <v>655.46790873415353</v>
      </c>
      <c r="BT74" s="181" t="s">
        <v>188</v>
      </c>
      <c r="BU74" s="182">
        <v>660.13049316251795</v>
      </c>
      <c r="BV74" s="181" t="s">
        <v>188</v>
      </c>
      <c r="BW74" s="182">
        <v>657.38103823064171</v>
      </c>
      <c r="BX74" s="181" t="s">
        <v>188</v>
      </c>
      <c r="BY74" s="182">
        <v>657.34790356515373</v>
      </c>
      <c r="BZ74" s="181" t="s">
        <v>188</v>
      </c>
      <c r="CA74" s="182">
        <v>650.47311235678046</v>
      </c>
      <c r="CB74" s="183" t="s">
        <v>188</v>
      </c>
      <c r="CC74" s="182">
        <v>664.51072336408595</v>
      </c>
      <c r="CD74" s="183" t="s">
        <v>188</v>
      </c>
      <c r="CE74" s="182">
        <v>650.72406798183385</v>
      </c>
      <c r="CF74" s="181" t="s">
        <v>188</v>
      </c>
      <c r="CG74" s="184">
        <v>665.29989301805836</v>
      </c>
      <c r="CH74" s="185" t="s">
        <v>188</v>
      </c>
      <c r="CI74" s="180">
        <v>660.33659467883137</v>
      </c>
      <c r="CJ74" s="181" t="s">
        <v>188</v>
      </c>
      <c r="CK74" s="182">
        <v>638.8491524455078</v>
      </c>
      <c r="CL74" s="181" t="s">
        <v>188</v>
      </c>
      <c r="CM74" s="182">
        <v>623.41246001000513</v>
      </c>
      <c r="CN74" s="181" t="s">
        <v>188</v>
      </c>
      <c r="CO74" s="182">
        <v>628.83769443834626</v>
      </c>
      <c r="CP74" s="181" t="s">
        <v>188</v>
      </c>
      <c r="CQ74" s="182">
        <v>625.27885191725716</v>
      </c>
      <c r="CR74" s="181" t="s">
        <v>188</v>
      </c>
      <c r="CS74" s="182">
        <v>625.23963221059535</v>
      </c>
      <c r="CT74" s="181" t="s">
        <v>188</v>
      </c>
      <c r="CU74" s="182">
        <v>626.61811232627292</v>
      </c>
      <c r="CV74" s="181" t="s">
        <v>188</v>
      </c>
      <c r="CW74" s="182">
        <v>630.82029888007241</v>
      </c>
      <c r="CX74" s="181" t="s">
        <v>188</v>
      </c>
      <c r="CY74" s="182">
        <v>627.95601105973958</v>
      </c>
      <c r="CZ74" s="181" t="s">
        <v>188</v>
      </c>
      <c r="DA74" s="182">
        <v>634.83500479770919</v>
      </c>
      <c r="DB74" s="181" t="s">
        <v>188</v>
      </c>
      <c r="DC74" s="182">
        <v>620.27982424630591</v>
      </c>
      <c r="DD74" s="183" t="s">
        <v>188</v>
      </c>
      <c r="DE74" s="182">
        <v>632.09925555911377</v>
      </c>
      <c r="DF74" s="183" t="s">
        <v>188</v>
      </c>
      <c r="DG74" s="182">
        <v>619.72230310871464</v>
      </c>
      <c r="DH74" s="181" t="s">
        <v>188</v>
      </c>
      <c r="DI74" s="184">
        <v>633.37048710755892</v>
      </c>
      <c r="DJ74" s="185" t="s">
        <v>188</v>
      </c>
      <c r="DK74" s="90"/>
      <c r="DL74" s="90"/>
      <c r="DM74" s="90"/>
      <c r="DN74" s="90"/>
      <c r="DO74" s="90"/>
      <c r="DP74" s="90"/>
    </row>
    <row r="75" spans="1:120" s="222" customFormat="1">
      <c r="A75" s="148" t="s">
        <v>169</v>
      </c>
      <c r="B75" s="148"/>
      <c r="C75" s="221"/>
      <c r="D75" s="221"/>
      <c r="E75" s="221"/>
      <c r="F75" s="221"/>
      <c r="G75" s="221"/>
      <c r="H75" s="221"/>
      <c r="I75" s="221"/>
      <c r="J75" s="221"/>
      <c r="K75" s="221"/>
      <c r="L75" s="221"/>
      <c r="M75" s="221"/>
      <c r="N75" s="221"/>
      <c r="O75" s="221"/>
      <c r="P75" s="221"/>
      <c r="Q75" s="221"/>
      <c r="R75" s="221"/>
      <c r="S75" s="221"/>
      <c r="T75" s="221"/>
      <c r="U75" s="221"/>
      <c r="V75" s="221"/>
      <c r="W75" s="221"/>
      <c r="X75" s="221"/>
      <c r="Y75" s="221"/>
      <c r="Z75" s="221"/>
      <c r="AA75" s="221"/>
      <c r="AB75" s="221"/>
      <c r="AC75" s="221"/>
      <c r="AD75" s="221"/>
      <c r="AE75" s="148"/>
      <c r="AF75" s="148"/>
      <c r="AG75" s="148"/>
      <c r="AH75" s="148"/>
      <c r="AI75" s="148"/>
      <c r="AJ75" s="148"/>
      <c r="AK75" s="148"/>
      <c r="AL75" s="148"/>
      <c r="AM75" s="148"/>
      <c r="AN75" s="148"/>
      <c r="AO75" s="148"/>
      <c r="AP75" s="148"/>
      <c r="AQ75" s="148"/>
      <c r="AR75" s="148"/>
      <c r="AS75" s="148"/>
      <c r="AT75" s="148"/>
      <c r="AU75" s="148"/>
      <c r="AV75" s="148"/>
      <c r="AW75" s="148"/>
      <c r="AX75" s="148"/>
      <c r="AY75" s="148"/>
      <c r="AZ75" s="148"/>
      <c r="BA75" s="148"/>
      <c r="BB75" s="148"/>
      <c r="BC75" s="148"/>
      <c r="BD75" s="148"/>
      <c r="BE75" s="148"/>
      <c r="BF75" s="148"/>
      <c r="BG75" s="148"/>
      <c r="BH75" s="148"/>
      <c r="BI75" s="148"/>
      <c r="BJ75" s="148"/>
      <c r="BK75" s="148"/>
      <c r="BL75" s="148"/>
      <c r="BM75" s="148"/>
      <c r="BN75" s="148"/>
      <c r="BO75" s="148"/>
      <c r="BP75" s="148"/>
      <c r="BQ75" s="148"/>
      <c r="BR75" s="148"/>
      <c r="BS75" s="148"/>
      <c r="BT75" s="148"/>
      <c r="BU75" s="148"/>
      <c r="BV75" s="148"/>
      <c r="BW75" s="148"/>
      <c r="BX75" s="148"/>
      <c r="BY75" s="148"/>
      <c r="BZ75" s="148"/>
      <c r="CA75" s="148"/>
      <c r="CB75" s="148"/>
      <c r="CC75" s="148"/>
      <c r="CD75" s="148"/>
      <c r="CE75" s="148"/>
      <c r="CF75" s="148"/>
      <c r="CG75" s="148"/>
      <c r="CH75" s="148"/>
      <c r="CI75" s="148"/>
      <c r="CJ75" s="148"/>
      <c r="CK75" s="148"/>
      <c r="CL75" s="148"/>
      <c r="CM75" s="148"/>
      <c r="CN75" s="148"/>
      <c r="CO75" s="148"/>
      <c r="CP75" s="148"/>
      <c r="CQ75" s="148"/>
      <c r="CR75" s="148"/>
      <c r="CS75" s="148"/>
      <c r="CT75" s="148"/>
      <c r="CU75" s="148"/>
      <c r="CV75" s="148"/>
      <c r="CW75" s="148"/>
      <c r="CX75" s="148"/>
      <c r="CY75" s="148"/>
      <c r="CZ75" s="148"/>
      <c r="DA75" s="148"/>
      <c r="DB75" s="148"/>
      <c r="DC75" s="148"/>
      <c r="DD75" s="148"/>
      <c r="DE75" s="148"/>
      <c r="DF75" s="148"/>
      <c r="DG75" s="148"/>
      <c r="DH75" s="148"/>
      <c r="DI75" s="148"/>
      <c r="DJ75" s="148"/>
      <c r="DK75" s="231"/>
      <c r="DL75" s="231"/>
      <c r="DM75" s="231"/>
      <c r="DN75" s="231"/>
      <c r="DO75" s="231"/>
    </row>
    <row r="76" spans="1:120">
      <c r="A76" s="63" t="s">
        <v>78</v>
      </c>
      <c r="DK76" s="90"/>
      <c r="DL76" s="90"/>
      <c r="DM76" s="90"/>
      <c r="DN76" s="90"/>
      <c r="DO76" s="90"/>
    </row>
    <row r="77" spans="1:120">
      <c r="A77" s="63" t="s">
        <v>201</v>
      </c>
      <c r="DK77" s="90"/>
      <c r="DL77" s="90"/>
      <c r="DM77" s="90"/>
      <c r="DN77" s="90"/>
      <c r="DO77" s="90"/>
    </row>
    <row r="78" spans="1:120">
      <c r="A78" s="63" t="s">
        <v>131</v>
      </c>
      <c r="DK78" s="90"/>
      <c r="DL78" s="90"/>
      <c r="DM78" s="90"/>
      <c r="DN78" s="90"/>
      <c r="DO78" s="90"/>
    </row>
    <row r="79" spans="1:120" ht="15" customHeight="1">
      <c r="A79" s="63" t="s">
        <v>207</v>
      </c>
      <c r="DK79" s="90"/>
      <c r="DL79" s="90"/>
      <c r="DM79" s="90"/>
      <c r="DN79" s="90"/>
      <c r="DO79" s="90"/>
    </row>
    <row r="80" spans="1:120">
      <c r="A80" s="147" t="s">
        <v>216</v>
      </c>
      <c r="DK80" s="90"/>
      <c r="DL80" s="90"/>
      <c r="DM80" s="90"/>
      <c r="DN80" s="90"/>
      <c r="DO80" s="90"/>
    </row>
    <row r="81" spans="1:119">
      <c r="A81" s="58" t="s">
        <v>85</v>
      </c>
      <c r="DK81" s="90"/>
      <c r="DL81" s="90"/>
      <c r="DM81" s="90"/>
      <c r="DN81" s="90"/>
      <c r="DO81" s="90"/>
    </row>
    <row r="82" spans="1:119">
      <c r="A82" s="123"/>
      <c r="DK82" s="90"/>
      <c r="DL82" s="90"/>
      <c r="DM82" s="90"/>
      <c r="DN82" s="90"/>
      <c r="DO82" s="90"/>
    </row>
    <row r="83" spans="1:119" ht="27" customHeight="1">
      <c r="A83" s="389" t="s">
        <v>212</v>
      </c>
      <c r="B83" s="389"/>
      <c r="C83" s="389"/>
      <c r="D83" s="389"/>
      <c r="E83" s="389"/>
      <c r="F83" s="389"/>
      <c r="G83" s="389"/>
      <c r="H83" s="389"/>
      <c r="I83" s="389"/>
      <c r="J83" s="389"/>
      <c r="K83" s="389"/>
      <c r="L83" s="389"/>
      <c r="M83" s="389"/>
      <c r="N83" s="389"/>
      <c r="O83" s="389"/>
      <c r="P83" s="389"/>
      <c r="Q83" s="389"/>
      <c r="R83" s="389"/>
      <c r="S83" s="389"/>
      <c r="T83" s="389"/>
      <c r="U83" s="389"/>
      <c r="V83" s="389"/>
      <c r="W83" s="389"/>
      <c r="X83" s="389"/>
      <c r="Y83" s="389"/>
      <c r="Z83" s="389"/>
      <c r="DK83" s="90"/>
      <c r="DL83" s="90"/>
      <c r="DM83" s="90"/>
      <c r="DN83" s="90"/>
      <c r="DO83" s="90"/>
    </row>
    <row r="84" spans="1:119">
      <c r="DK84" s="90"/>
      <c r="DL84" s="90"/>
      <c r="DM84" s="90"/>
      <c r="DN84" s="90"/>
      <c r="DO84" s="90"/>
    </row>
    <row r="85" spans="1:119">
      <c r="DK85" s="90"/>
      <c r="DL85" s="90"/>
      <c r="DM85" s="90"/>
      <c r="DN85" s="90"/>
      <c r="DO85" s="90"/>
    </row>
    <row r="86" spans="1:119">
      <c r="DK86" s="90"/>
      <c r="DL86" s="90"/>
      <c r="DM86" s="90"/>
      <c r="DN86" s="90"/>
      <c r="DO86" s="90"/>
    </row>
    <row r="87" spans="1:119">
      <c r="DK87" s="90"/>
      <c r="DL87" s="90"/>
      <c r="DM87" s="90"/>
      <c r="DN87" s="90"/>
      <c r="DO87" s="90"/>
    </row>
    <row r="88" spans="1:119">
      <c r="DK88" s="90"/>
      <c r="DL88" s="90"/>
      <c r="DM88" s="90"/>
      <c r="DN88" s="90"/>
      <c r="DO88" s="90"/>
    </row>
    <row r="89" spans="1:119">
      <c r="DK89" s="90"/>
      <c r="DL89" s="90"/>
      <c r="DM89" s="90"/>
      <c r="DN89" s="90"/>
      <c r="DO89" s="90"/>
    </row>
    <row r="90" spans="1:119">
      <c r="DK90" s="90"/>
      <c r="DL90" s="90"/>
      <c r="DM90" s="90"/>
      <c r="DN90" s="90"/>
      <c r="DO90" s="90"/>
    </row>
  </sheetData>
  <mergeCells count="121">
    <mergeCell ref="AK11:AL11"/>
    <mergeCell ref="CW12:CX12"/>
    <mergeCell ref="CU12:CV12"/>
    <mergeCell ref="CG11:CH11"/>
    <mergeCell ref="DI11:DJ11"/>
    <mergeCell ref="DI12:DJ12"/>
    <mergeCell ref="CO11:CP11"/>
    <mergeCell ref="CO12:CP12"/>
    <mergeCell ref="AE10:BF10"/>
    <mergeCell ref="BG10:CH10"/>
    <mergeCell ref="CI10:DJ10"/>
    <mergeCell ref="CY11:CZ11"/>
    <mergeCell ref="CY12:CZ12"/>
    <mergeCell ref="DA11:DB11"/>
    <mergeCell ref="DA12:DB12"/>
    <mergeCell ref="AE11:AF11"/>
    <mergeCell ref="AE12:AF12"/>
    <mergeCell ref="AG11:AH11"/>
    <mergeCell ref="AG12:AH12"/>
    <mergeCell ref="AQ11:AR11"/>
    <mergeCell ref="AQ12:AR12"/>
    <mergeCell ref="CQ11:CR11"/>
    <mergeCell ref="CQ12:CR12"/>
    <mergeCell ref="CS11:CT11"/>
    <mergeCell ref="CW11:CX11"/>
    <mergeCell ref="AU12:AV12"/>
    <mergeCell ref="CU11:CV11"/>
    <mergeCell ref="AI12:AJ12"/>
    <mergeCell ref="CM11:CN11"/>
    <mergeCell ref="CM12:CN12"/>
    <mergeCell ref="DC11:DD11"/>
    <mergeCell ref="W11:X11"/>
    <mergeCell ref="W12:X12"/>
    <mergeCell ref="AC11:AD11"/>
    <mergeCell ref="AC12:AD12"/>
    <mergeCell ref="BO11:BP11"/>
    <mergeCell ref="BO12:BP12"/>
    <mergeCell ref="BQ11:BR11"/>
    <mergeCell ref="BQ12:BR12"/>
    <mergeCell ref="BU11:BV11"/>
    <mergeCell ref="BU12:BV12"/>
    <mergeCell ref="AW11:AX11"/>
    <mergeCell ref="AW12:AX12"/>
    <mergeCell ref="BK11:BL11"/>
    <mergeCell ref="BK12:BL12"/>
    <mergeCell ref="BM11:BN11"/>
    <mergeCell ref="CS12:CT12"/>
    <mergeCell ref="BE11:BF11"/>
    <mergeCell ref="BM12:BN12"/>
    <mergeCell ref="AO12:AP12"/>
    <mergeCell ref="CK12:CL12"/>
    <mergeCell ref="AS12:AT12"/>
    <mergeCell ref="A7:M7"/>
    <mergeCell ref="A8:BI8"/>
    <mergeCell ref="B10:B12"/>
    <mergeCell ref="C11:D11"/>
    <mergeCell ref="C12:D12"/>
    <mergeCell ref="E11:F11"/>
    <mergeCell ref="E12:F12"/>
    <mergeCell ref="G11:H11"/>
    <mergeCell ref="G12:H12"/>
    <mergeCell ref="I11:J11"/>
    <mergeCell ref="A10:A12"/>
    <mergeCell ref="I12:J12"/>
    <mergeCell ref="K11:L11"/>
    <mergeCell ref="K12:L12"/>
    <mergeCell ref="S11:T11"/>
    <mergeCell ref="S12:T12"/>
    <mergeCell ref="Y11:Z11"/>
    <mergeCell ref="BG11:BH11"/>
    <mergeCell ref="U12:V12"/>
    <mergeCell ref="C10:AD10"/>
    <mergeCell ref="AU11:AV11"/>
    <mergeCell ref="CC11:CD11"/>
    <mergeCell ref="AI11:AJ11"/>
    <mergeCell ref="CI12:CJ12"/>
    <mergeCell ref="CI11:CJ11"/>
    <mergeCell ref="Y12:Z12"/>
    <mergeCell ref="M11:N11"/>
    <mergeCell ref="M12:N12"/>
    <mergeCell ref="O11:P11"/>
    <mergeCell ref="BE12:BF12"/>
    <mergeCell ref="AM12:AN12"/>
    <mergeCell ref="BG12:BH12"/>
    <mergeCell ref="BI11:BJ11"/>
    <mergeCell ref="BI12:BJ12"/>
    <mergeCell ref="AY11:AZ11"/>
    <mergeCell ref="AY12:AZ12"/>
    <mergeCell ref="AK12:AL12"/>
    <mergeCell ref="BC11:BD11"/>
    <mergeCell ref="BC12:BD12"/>
    <mergeCell ref="BA11:BB11"/>
    <mergeCell ref="BA12:BB12"/>
    <mergeCell ref="O12:P12"/>
    <mergeCell ref="Q11:R11"/>
    <mergeCell ref="Q12:R12"/>
    <mergeCell ref="AO11:AP11"/>
    <mergeCell ref="CC12:CD12"/>
    <mergeCell ref="AS11:AT11"/>
    <mergeCell ref="CK11:CL11"/>
    <mergeCell ref="U11:V11"/>
    <mergeCell ref="A83:Z83"/>
    <mergeCell ref="CG12:CH12"/>
    <mergeCell ref="AM11:AN11"/>
    <mergeCell ref="DG11:DH11"/>
    <mergeCell ref="DG12:DH12"/>
    <mergeCell ref="DE11:DF11"/>
    <mergeCell ref="DE12:DF12"/>
    <mergeCell ref="DC12:DD12"/>
    <mergeCell ref="AA11:AB11"/>
    <mergeCell ref="AA12:AB12"/>
    <mergeCell ref="BW11:BX11"/>
    <mergeCell ref="BW12:BX12"/>
    <mergeCell ref="BS11:BT11"/>
    <mergeCell ref="BS12:BT12"/>
    <mergeCell ref="BY11:BZ11"/>
    <mergeCell ref="BY12:BZ12"/>
    <mergeCell ref="CA11:CB11"/>
    <mergeCell ref="CA12:CB12"/>
    <mergeCell ref="CE11:CF11"/>
    <mergeCell ref="CE12:CF12"/>
  </mergeCells>
  <conditionalFormatting sqref="A84:DJ86">
    <cfRule type="expression" dxfId="6" priority="1">
      <formula>A84&lt;&gt;A103</formula>
    </cfRule>
  </conditionalFormatting>
  <conditionalFormatting sqref="A75:DJ82 AA83:DJ83">
    <cfRule type="expression" dxfId="5" priority="70">
      <formula>A75&lt;&gt;#REF!</formula>
    </cfRule>
  </conditionalFormatting>
  <conditionalFormatting sqref="A80:A82">
    <cfRule type="expression" dxfId="4" priority="72">
      <formula>A80&lt;&gt;#REF!</formula>
    </cfRule>
  </conditionalFormatting>
  <conditionalFormatting sqref="B73:DJ74 A6:DJ72">
    <cfRule type="expression" dxfId="3" priority="73">
      <formula>A6&lt;&gt;#REF!</formula>
    </cfRule>
  </conditionalFormatting>
  <hyperlinks>
    <hyperlink ref="A1" r:id="rId1" display="https://doi.org/10.1787/eag-2018-en"/>
    <hyperlink ref="A4" r:id="rId2"/>
  </hyperlinks>
  <printOptions horizontalCentered="1"/>
  <pageMargins left="0.23622047244094491" right="0.23622047244094491" top="0.74803149606299213" bottom="0.74803149606299213" header="0.31496062992125984" footer="0.31496062992125984"/>
  <pageSetup paperSize="9" scale="10" orientation="landscape" r:id="rId3"/>
  <legacy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T331"/>
  <sheetViews>
    <sheetView zoomScaleNormal="100" workbookViewId="0">
      <pane xSplit="2" ySplit="12" topLeftCell="C13" activePane="bottomRight" state="frozen"/>
      <selection sqref="A1:XFD1048576"/>
      <selection pane="topRight" sqref="A1:XFD1048576"/>
      <selection pane="bottomLeft" sqref="A1:XFD1048576"/>
      <selection pane="bottomRight"/>
    </sheetView>
  </sheetViews>
  <sheetFormatPr defaultColWidth="7.75" defaultRowHeight="13.2"/>
  <cols>
    <col min="1" max="1" width="18.25" style="91" customWidth="1"/>
    <col min="2" max="2" width="3.75" style="92" customWidth="1"/>
    <col min="3" max="3" width="19.75" style="92" customWidth="1"/>
    <col min="4" max="4" width="9" style="91" customWidth="1"/>
    <col min="5" max="5" width="8.875" style="91" customWidth="1"/>
    <col min="6" max="6" width="10" style="91" customWidth="1"/>
    <col min="7" max="7" width="10.5" style="91" customWidth="1"/>
    <col min="8" max="8" width="11.625" style="91" customWidth="1"/>
    <col min="9" max="9" width="12.375" style="91" customWidth="1"/>
    <col min="10" max="10" width="11.75" style="91" customWidth="1"/>
    <col min="11" max="11" width="12.125" style="91" customWidth="1"/>
    <col min="12" max="12" width="13" style="91" customWidth="1"/>
    <col min="13" max="13" width="11.75" style="91" customWidth="1"/>
    <col min="14" max="14" width="12.125" style="91" bestFit="1" customWidth="1"/>
    <col min="15" max="15" width="10.5" style="91" customWidth="1"/>
    <col min="16" max="16" width="12.125" style="91" bestFit="1" customWidth="1"/>
    <col min="17" max="17" width="8.625" style="91" customWidth="1"/>
    <col min="18" max="18" width="9.625" style="90" customWidth="1"/>
    <col min="19" max="20" width="7.75" style="90"/>
    <col min="21" max="16384" width="7.75" style="88"/>
  </cols>
  <sheetData>
    <row r="1" spans="1:20" s="490" customFormat="1">
      <c r="A1" s="484" t="s">
        <v>235</v>
      </c>
      <c r="B1" s="489"/>
      <c r="C1" s="489"/>
      <c r="D1" s="485"/>
      <c r="E1" s="485"/>
      <c r="F1" s="485"/>
      <c r="G1" s="485"/>
      <c r="H1" s="485"/>
      <c r="I1" s="485"/>
      <c r="J1" s="485"/>
      <c r="K1" s="485"/>
      <c r="L1" s="485"/>
      <c r="M1" s="485"/>
      <c r="N1" s="485"/>
      <c r="O1" s="485"/>
      <c r="P1" s="485"/>
      <c r="Q1" s="485"/>
      <c r="R1" s="485"/>
      <c r="S1" s="485"/>
      <c r="T1" s="485"/>
    </row>
    <row r="2" spans="1:20" s="490" customFormat="1" ht="268.2">
      <c r="A2" s="485" t="s">
        <v>236</v>
      </c>
      <c r="B2" s="489" t="s">
        <v>237</v>
      </c>
      <c r="C2" s="489"/>
      <c r="D2" s="485"/>
      <c r="E2" s="485"/>
      <c r="F2" s="485"/>
      <c r="G2" s="485"/>
      <c r="H2" s="485"/>
      <c r="I2" s="485"/>
      <c r="J2" s="485"/>
      <c r="K2" s="485"/>
      <c r="L2" s="485"/>
      <c r="M2" s="485"/>
      <c r="N2" s="485"/>
      <c r="O2" s="485"/>
      <c r="P2" s="485"/>
      <c r="Q2" s="485"/>
      <c r="R2" s="485"/>
      <c r="S2" s="485"/>
      <c r="T2" s="485"/>
    </row>
    <row r="3" spans="1:20" s="490" customFormat="1">
      <c r="A3" s="485" t="s">
        <v>238</v>
      </c>
      <c r="B3" s="489"/>
      <c r="C3" s="489"/>
      <c r="D3" s="485"/>
      <c r="E3" s="485"/>
      <c r="F3" s="485"/>
      <c r="G3" s="485"/>
      <c r="H3" s="485"/>
      <c r="I3" s="485"/>
      <c r="J3" s="485"/>
      <c r="K3" s="485"/>
      <c r="L3" s="485"/>
      <c r="M3" s="485"/>
      <c r="N3" s="485"/>
      <c r="O3" s="485"/>
      <c r="P3" s="485"/>
      <c r="Q3" s="485"/>
      <c r="R3" s="485"/>
      <c r="S3" s="485"/>
      <c r="T3" s="485"/>
    </row>
    <row r="4" spans="1:20" s="490" customFormat="1">
      <c r="A4" s="484" t="s">
        <v>239</v>
      </c>
      <c r="B4" s="489"/>
      <c r="C4" s="489"/>
      <c r="D4" s="485"/>
      <c r="E4" s="485"/>
      <c r="F4" s="485"/>
      <c r="G4" s="485"/>
      <c r="H4" s="485"/>
      <c r="I4" s="485"/>
      <c r="J4" s="485"/>
      <c r="K4" s="485"/>
      <c r="L4" s="485"/>
      <c r="M4" s="485"/>
      <c r="N4" s="485"/>
      <c r="O4" s="485"/>
      <c r="P4" s="485"/>
      <c r="Q4" s="485"/>
      <c r="R4" s="485"/>
      <c r="S4" s="485"/>
      <c r="T4" s="485"/>
    </row>
    <row r="5" spans="1:20" s="490" customFormat="1">
      <c r="A5" s="485"/>
      <c r="B5" s="489"/>
      <c r="C5" s="489"/>
      <c r="D5" s="485"/>
      <c r="E5" s="485"/>
      <c r="F5" s="485"/>
      <c r="G5" s="485"/>
      <c r="H5" s="485"/>
      <c r="I5" s="485"/>
      <c r="J5" s="485"/>
      <c r="K5" s="485"/>
      <c r="L5" s="485"/>
      <c r="M5" s="485"/>
      <c r="N5" s="485"/>
      <c r="O5" s="485"/>
      <c r="P5" s="485"/>
      <c r="Q5" s="485"/>
      <c r="R5" s="485"/>
      <c r="S5" s="485"/>
      <c r="T5" s="485"/>
    </row>
    <row r="6" spans="1:20" ht="12.75" customHeight="1">
      <c r="A6" s="198" t="s">
        <v>106</v>
      </c>
      <c r="B6" s="198"/>
      <c r="C6" s="198"/>
      <c r="D6" s="198"/>
      <c r="E6" s="198"/>
      <c r="F6" s="198"/>
      <c r="G6" s="198"/>
      <c r="H6" s="198"/>
      <c r="I6" s="198"/>
      <c r="J6" s="198"/>
      <c r="K6" s="198"/>
      <c r="L6" s="198"/>
      <c r="M6" s="198"/>
      <c r="N6" s="198"/>
      <c r="O6" s="198"/>
      <c r="P6" s="198"/>
      <c r="Q6" s="206"/>
    </row>
    <row r="7" spans="1:20">
      <c r="A7" s="447" t="s">
        <v>161</v>
      </c>
      <c r="B7" s="447"/>
      <c r="C7" s="447"/>
      <c r="D7" s="447"/>
      <c r="E7" s="447"/>
      <c r="F7" s="447"/>
      <c r="G7" s="447"/>
      <c r="H7" s="447"/>
      <c r="I7" s="447"/>
      <c r="J7" s="447"/>
      <c r="K7" s="90"/>
      <c r="L7" s="90"/>
      <c r="M7" s="90"/>
      <c r="N7" s="90"/>
      <c r="O7" s="90"/>
      <c r="P7" s="90"/>
      <c r="Q7" s="90"/>
    </row>
    <row r="8" spans="1:20" ht="12.75" customHeight="1">
      <c r="A8" s="136" t="s">
        <v>105</v>
      </c>
      <c r="B8" s="137"/>
      <c r="C8" s="137"/>
      <c r="D8" s="137"/>
      <c r="E8" s="137"/>
      <c r="F8" s="137"/>
      <c r="G8" s="137"/>
      <c r="H8" s="137"/>
      <c r="I8" s="137"/>
      <c r="J8" s="137"/>
      <c r="K8" s="134"/>
      <c r="L8" s="134"/>
      <c r="M8" s="135"/>
      <c r="N8" s="135"/>
      <c r="O8" s="135"/>
      <c r="P8" s="135"/>
      <c r="Q8" s="135"/>
    </row>
    <row r="9" spans="1:20" ht="13.8" thickBot="1">
      <c r="A9" s="216"/>
      <c r="B9" s="218"/>
      <c r="C9" s="218"/>
      <c r="D9" s="219"/>
      <c r="E9" s="219"/>
      <c r="F9" s="219"/>
      <c r="G9" s="219"/>
      <c r="H9" s="219"/>
      <c r="I9" s="219"/>
      <c r="J9" s="219"/>
      <c r="K9" s="219"/>
      <c r="L9" s="219"/>
      <c r="M9" s="219"/>
      <c r="N9" s="219"/>
      <c r="O9" s="219"/>
      <c r="P9" s="219"/>
      <c r="Q9" s="219"/>
      <c r="R9" s="219"/>
      <c r="S9" s="220"/>
    </row>
    <row r="10" spans="1:20" ht="20.100000000000001" customHeight="1">
      <c r="A10" s="451"/>
      <c r="B10" s="448" t="s">
        <v>45</v>
      </c>
      <c r="C10" s="441" t="s">
        <v>104</v>
      </c>
      <c r="D10" s="444" t="s">
        <v>103</v>
      </c>
      <c r="E10" s="445"/>
      <c r="F10" s="445"/>
      <c r="G10" s="445"/>
      <c r="H10" s="445"/>
      <c r="I10" s="445"/>
      <c r="J10" s="446"/>
      <c r="K10" s="444" t="s">
        <v>102</v>
      </c>
      <c r="L10" s="445"/>
      <c r="M10" s="445"/>
      <c r="N10" s="445"/>
      <c r="O10" s="445"/>
      <c r="P10" s="445"/>
      <c r="Q10" s="445"/>
      <c r="R10" s="446"/>
    </row>
    <row r="11" spans="1:20" ht="115.5" customHeight="1">
      <c r="A11" s="452"/>
      <c r="B11" s="449"/>
      <c r="C11" s="442"/>
      <c r="D11" s="118" t="s">
        <v>101</v>
      </c>
      <c r="E11" s="116" t="s">
        <v>100</v>
      </c>
      <c r="F11" s="116" t="s">
        <v>99</v>
      </c>
      <c r="G11" s="116" t="s">
        <v>98</v>
      </c>
      <c r="H11" s="116" t="s">
        <v>97</v>
      </c>
      <c r="I11" s="116" t="s">
        <v>96</v>
      </c>
      <c r="J11" s="115" t="s">
        <v>95</v>
      </c>
      <c r="K11" s="117" t="s">
        <v>94</v>
      </c>
      <c r="L11" s="116" t="s">
        <v>93</v>
      </c>
      <c r="M11" s="116" t="s">
        <v>92</v>
      </c>
      <c r="N11" s="116" t="s">
        <v>91</v>
      </c>
      <c r="O11" s="116" t="s">
        <v>90</v>
      </c>
      <c r="P11" s="116" t="s">
        <v>89</v>
      </c>
      <c r="Q11" s="115" t="s">
        <v>88</v>
      </c>
      <c r="R11" s="115" t="s">
        <v>154</v>
      </c>
    </row>
    <row r="12" spans="1:20" s="90" customFormat="1" ht="12" customHeight="1">
      <c r="A12" s="453"/>
      <c r="B12" s="450"/>
      <c r="C12" s="443"/>
      <c r="D12" s="114">
        <v>1</v>
      </c>
      <c r="E12" s="145">
        <v>2</v>
      </c>
      <c r="F12" s="145">
        <v>3</v>
      </c>
      <c r="G12" s="145">
        <v>4</v>
      </c>
      <c r="H12" s="145">
        <v>5</v>
      </c>
      <c r="I12" s="145">
        <v>6</v>
      </c>
      <c r="J12" s="87">
        <v>7</v>
      </c>
      <c r="K12" s="114">
        <v>8</v>
      </c>
      <c r="L12" s="145">
        <v>9</v>
      </c>
      <c r="M12" s="145">
        <v>10</v>
      </c>
      <c r="N12" s="145">
        <v>11</v>
      </c>
      <c r="O12" s="145">
        <v>12</v>
      </c>
      <c r="P12" s="145">
        <v>13</v>
      </c>
      <c r="Q12" s="145">
        <v>14</v>
      </c>
      <c r="R12" s="145">
        <v>15</v>
      </c>
    </row>
    <row r="13" spans="1:20" s="90" customFormat="1" ht="10.199999999999999">
      <c r="A13" s="113" t="s">
        <v>52</v>
      </c>
      <c r="B13" s="69"/>
      <c r="C13" s="100"/>
      <c r="D13" s="106"/>
      <c r="E13" s="105"/>
      <c r="F13" s="105"/>
      <c r="G13" s="105"/>
      <c r="H13" s="105"/>
      <c r="I13" s="105"/>
      <c r="J13" s="104"/>
      <c r="K13" s="106"/>
      <c r="L13" s="105"/>
      <c r="M13" s="105"/>
      <c r="N13" s="105"/>
      <c r="O13" s="105"/>
      <c r="P13" s="105"/>
      <c r="Q13" s="105"/>
      <c r="R13" s="104"/>
    </row>
    <row r="14" spans="1:20" s="90" customFormat="1" ht="12" customHeight="1">
      <c r="A14" s="217" t="s">
        <v>148</v>
      </c>
      <c r="B14" s="70"/>
      <c r="C14" s="100"/>
      <c r="D14" s="106"/>
      <c r="E14" s="105"/>
      <c r="F14" s="105"/>
      <c r="G14" s="105"/>
      <c r="H14" s="105"/>
      <c r="I14" s="105"/>
      <c r="J14" s="104"/>
      <c r="K14" s="106"/>
      <c r="L14" s="105"/>
      <c r="M14" s="105"/>
      <c r="N14" s="105"/>
      <c r="O14" s="105"/>
      <c r="P14" s="105"/>
      <c r="Q14" s="105"/>
      <c r="R14" s="104"/>
    </row>
    <row r="15" spans="1:20" s="90" customFormat="1" ht="12" customHeight="1">
      <c r="A15" s="112" t="s">
        <v>18</v>
      </c>
      <c r="B15" s="73"/>
      <c r="C15" s="102" t="s">
        <v>79</v>
      </c>
      <c r="D15" s="187" t="s">
        <v>115</v>
      </c>
      <c r="E15" s="188" t="s">
        <v>115</v>
      </c>
      <c r="F15" s="188" t="s">
        <v>115</v>
      </c>
      <c r="G15" s="188" t="s">
        <v>115</v>
      </c>
      <c r="H15" s="188" t="s">
        <v>115</v>
      </c>
      <c r="I15" s="188" t="s">
        <v>115</v>
      </c>
      <c r="J15" s="189" t="s">
        <v>115</v>
      </c>
      <c r="K15" s="187" t="s">
        <v>202</v>
      </c>
      <c r="L15" s="188" t="s">
        <v>124</v>
      </c>
      <c r="M15" s="188" t="s">
        <v>112</v>
      </c>
      <c r="N15" s="188" t="s">
        <v>112</v>
      </c>
      <c r="O15" s="188" t="s">
        <v>202</v>
      </c>
      <c r="P15" s="188" t="s">
        <v>202</v>
      </c>
      <c r="Q15" s="188" t="s">
        <v>112</v>
      </c>
      <c r="R15" s="189" t="s">
        <v>202</v>
      </c>
    </row>
    <row r="16" spans="1:20" s="90" customFormat="1" ht="12" customHeight="1">
      <c r="A16" s="112" t="s">
        <v>18</v>
      </c>
      <c r="B16" s="73"/>
      <c r="C16" s="102" t="s">
        <v>56</v>
      </c>
      <c r="D16" s="187" t="s">
        <v>115</v>
      </c>
      <c r="E16" s="188" t="s">
        <v>115</v>
      </c>
      <c r="F16" s="188" t="s">
        <v>115</v>
      </c>
      <c r="G16" s="188" t="s">
        <v>115</v>
      </c>
      <c r="H16" s="188" t="s">
        <v>115</v>
      </c>
      <c r="I16" s="188" t="s">
        <v>115</v>
      </c>
      <c r="J16" s="189" t="s">
        <v>115</v>
      </c>
      <c r="K16" s="187" t="s">
        <v>202</v>
      </c>
      <c r="L16" s="188" t="s">
        <v>124</v>
      </c>
      <c r="M16" s="188" t="s">
        <v>112</v>
      </c>
      <c r="N16" s="188" t="s">
        <v>112</v>
      </c>
      <c r="O16" s="188" t="s">
        <v>202</v>
      </c>
      <c r="P16" s="188" t="s">
        <v>202</v>
      </c>
      <c r="Q16" s="188" t="s">
        <v>112</v>
      </c>
      <c r="R16" s="189" t="s">
        <v>202</v>
      </c>
    </row>
    <row r="17" spans="1:18" s="90" customFormat="1" ht="10.199999999999999">
      <c r="A17" s="112" t="s">
        <v>18</v>
      </c>
      <c r="B17" s="73"/>
      <c r="C17" s="111" t="s">
        <v>157</v>
      </c>
      <c r="D17" s="187" t="s">
        <v>115</v>
      </c>
      <c r="E17" s="188" t="s">
        <v>115</v>
      </c>
      <c r="F17" s="188" t="s">
        <v>115</v>
      </c>
      <c r="G17" s="188" t="s">
        <v>115</v>
      </c>
      <c r="H17" s="188" t="s">
        <v>115</v>
      </c>
      <c r="I17" s="188" t="s">
        <v>115</v>
      </c>
      <c r="J17" s="189" t="s">
        <v>115</v>
      </c>
      <c r="K17" s="187" t="s">
        <v>202</v>
      </c>
      <c r="L17" s="188" t="s">
        <v>124</v>
      </c>
      <c r="M17" s="188" t="s">
        <v>112</v>
      </c>
      <c r="N17" s="188" t="s">
        <v>112</v>
      </c>
      <c r="O17" s="188" t="s">
        <v>202</v>
      </c>
      <c r="P17" s="188" t="s">
        <v>202</v>
      </c>
      <c r="Q17" s="188" t="s">
        <v>112</v>
      </c>
      <c r="R17" s="189" t="s">
        <v>202</v>
      </c>
    </row>
    <row r="18" spans="1:18" s="90" customFormat="1" ht="10.199999999999999">
      <c r="A18" s="112" t="s">
        <v>18</v>
      </c>
      <c r="B18" s="73"/>
      <c r="C18" s="102" t="s">
        <v>158</v>
      </c>
      <c r="D18" s="187" t="s">
        <v>115</v>
      </c>
      <c r="E18" s="188" t="s">
        <v>115</v>
      </c>
      <c r="F18" s="188" t="s">
        <v>115</v>
      </c>
      <c r="G18" s="188" t="s">
        <v>115</v>
      </c>
      <c r="H18" s="188" t="s">
        <v>115</v>
      </c>
      <c r="I18" s="188" t="s">
        <v>115</v>
      </c>
      <c r="J18" s="189" t="s">
        <v>115</v>
      </c>
      <c r="K18" s="187" t="s">
        <v>202</v>
      </c>
      <c r="L18" s="188" t="s">
        <v>124</v>
      </c>
      <c r="M18" s="188" t="s">
        <v>112</v>
      </c>
      <c r="N18" s="188" t="s">
        <v>112</v>
      </c>
      <c r="O18" s="188" t="s">
        <v>202</v>
      </c>
      <c r="P18" s="188" t="s">
        <v>202</v>
      </c>
      <c r="Q18" s="188" t="s">
        <v>112</v>
      </c>
      <c r="R18" s="189" t="s">
        <v>202</v>
      </c>
    </row>
    <row r="19" spans="1:18" s="90" customFormat="1" ht="12" customHeight="1">
      <c r="A19" s="112" t="s">
        <v>18</v>
      </c>
      <c r="B19" s="73"/>
      <c r="C19" s="102" t="s">
        <v>159</v>
      </c>
      <c r="D19" s="187" t="s">
        <v>115</v>
      </c>
      <c r="E19" s="188" t="s">
        <v>115</v>
      </c>
      <c r="F19" s="188" t="s">
        <v>115</v>
      </c>
      <c r="G19" s="188" t="s">
        <v>115</v>
      </c>
      <c r="H19" s="188" t="s">
        <v>115</v>
      </c>
      <c r="I19" s="188" t="s">
        <v>115</v>
      </c>
      <c r="J19" s="189" t="s">
        <v>115</v>
      </c>
      <c r="K19" s="187" t="s">
        <v>202</v>
      </c>
      <c r="L19" s="188" t="s">
        <v>124</v>
      </c>
      <c r="M19" s="188" t="s">
        <v>112</v>
      </c>
      <c r="N19" s="188" t="s">
        <v>112</v>
      </c>
      <c r="O19" s="188" t="s">
        <v>202</v>
      </c>
      <c r="P19" s="188" t="s">
        <v>202</v>
      </c>
      <c r="Q19" s="188" t="s">
        <v>112</v>
      </c>
      <c r="R19" s="189" t="s">
        <v>202</v>
      </c>
    </row>
    <row r="20" spans="1:18" s="90" customFormat="1" ht="12" customHeight="1">
      <c r="A20" s="112" t="s">
        <v>18</v>
      </c>
      <c r="B20" s="73"/>
      <c r="C20" s="102" t="s">
        <v>160</v>
      </c>
      <c r="D20" s="187" t="s">
        <v>115</v>
      </c>
      <c r="E20" s="188" t="s">
        <v>115</v>
      </c>
      <c r="F20" s="188" t="s">
        <v>115</v>
      </c>
      <c r="G20" s="188" t="s">
        <v>115</v>
      </c>
      <c r="H20" s="188" t="s">
        <v>115</v>
      </c>
      <c r="I20" s="188" t="s">
        <v>115</v>
      </c>
      <c r="J20" s="189" t="s">
        <v>115</v>
      </c>
      <c r="K20" s="187" t="s">
        <v>202</v>
      </c>
      <c r="L20" s="188" t="s">
        <v>124</v>
      </c>
      <c r="M20" s="188" t="s">
        <v>112</v>
      </c>
      <c r="N20" s="188" t="s">
        <v>112</v>
      </c>
      <c r="O20" s="188" t="s">
        <v>202</v>
      </c>
      <c r="P20" s="188" t="s">
        <v>202</v>
      </c>
      <c r="Q20" s="188" t="s">
        <v>112</v>
      </c>
      <c r="R20" s="189" t="s">
        <v>202</v>
      </c>
    </row>
    <row r="21" spans="1:18" s="90" customFormat="1" ht="12" customHeight="1">
      <c r="A21" s="101" t="s">
        <v>1</v>
      </c>
      <c r="B21" s="70"/>
      <c r="C21" s="102" t="s">
        <v>79</v>
      </c>
      <c r="D21" s="190" t="s">
        <v>0</v>
      </c>
      <c r="E21" s="125" t="s">
        <v>0</v>
      </c>
      <c r="F21" s="125" t="s">
        <v>0</v>
      </c>
      <c r="G21" s="125" t="s">
        <v>0</v>
      </c>
      <c r="H21" s="125" t="s">
        <v>0</v>
      </c>
      <c r="I21" s="125" t="s">
        <v>0</v>
      </c>
      <c r="J21" s="191" t="s">
        <v>0</v>
      </c>
      <c r="K21" s="190" t="s">
        <v>0</v>
      </c>
      <c r="L21" s="125" t="s">
        <v>0</v>
      </c>
      <c r="M21" s="125" t="s">
        <v>0</v>
      </c>
      <c r="N21" s="125" t="s">
        <v>0</v>
      </c>
      <c r="O21" s="125" t="s">
        <v>0</v>
      </c>
      <c r="P21" s="125" t="s">
        <v>0</v>
      </c>
      <c r="Q21" s="125" t="s">
        <v>0</v>
      </c>
      <c r="R21" s="191" t="s">
        <v>0</v>
      </c>
    </row>
    <row r="22" spans="1:18" s="90" customFormat="1" ht="12" customHeight="1">
      <c r="A22" s="101" t="s">
        <v>1</v>
      </c>
      <c r="B22" s="70"/>
      <c r="C22" s="102" t="s">
        <v>56</v>
      </c>
      <c r="D22" s="190" t="s">
        <v>115</v>
      </c>
      <c r="E22" s="125" t="s">
        <v>115</v>
      </c>
      <c r="F22" s="125" t="s">
        <v>115</v>
      </c>
      <c r="G22" s="125" t="s">
        <v>115</v>
      </c>
      <c r="H22" s="125" t="s">
        <v>115</v>
      </c>
      <c r="I22" s="125" t="s">
        <v>115</v>
      </c>
      <c r="J22" s="191" t="s">
        <v>115</v>
      </c>
      <c r="K22" s="190" t="s">
        <v>124</v>
      </c>
      <c r="L22" s="125" t="s">
        <v>115</v>
      </c>
      <c r="M22" s="125" t="s">
        <v>124</v>
      </c>
      <c r="N22" s="125" t="s">
        <v>112</v>
      </c>
      <c r="O22" s="125" t="s">
        <v>112</v>
      </c>
      <c r="P22" s="125" t="s">
        <v>115</v>
      </c>
      <c r="Q22" s="125" t="s">
        <v>112</v>
      </c>
      <c r="R22" s="191" t="s">
        <v>115</v>
      </c>
    </row>
    <row r="23" spans="1:18" s="90" customFormat="1" ht="10.199999999999999">
      <c r="A23" s="101" t="s">
        <v>1</v>
      </c>
      <c r="B23" s="70"/>
      <c r="C23" s="103" t="s">
        <v>157</v>
      </c>
      <c r="D23" s="190" t="s">
        <v>115</v>
      </c>
      <c r="E23" s="125" t="s">
        <v>115</v>
      </c>
      <c r="F23" s="125" t="s">
        <v>115</v>
      </c>
      <c r="G23" s="125" t="s">
        <v>115</v>
      </c>
      <c r="H23" s="125" t="s">
        <v>115</v>
      </c>
      <c r="I23" s="125" t="s">
        <v>115</v>
      </c>
      <c r="J23" s="191" t="s">
        <v>115</v>
      </c>
      <c r="K23" s="190" t="s">
        <v>202</v>
      </c>
      <c r="L23" s="125" t="s">
        <v>115</v>
      </c>
      <c r="M23" s="125" t="s">
        <v>202</v>
      </c>
      <c r="N23" s="125" t="s">
        <v>112</v>
      </c>
      <c r="O23" s="125" t="s">
        <v>112</v>
      </c>
      <c r="P23" s="125" t="s">
        <v>202</v>
      </c>
      <c r="Q23" s="125" t="s">
        <v>112</v>
      </c>
      <c r="R23" s="191" t="s">
        <v>115</v>
      </c>
    </row>
    <row r="24" spans="1:18" s="90" customFormat="1" ht="10.199999999999999">
      <c r="A24" s="101" t="s">
        <v>1</v>
      </c>
      <c r="B24" s="70"/>
      <c r="C24" s="102" t="s">
        <v>158</v>
      </c>
      <c r="D24" s="190" t="s">
        <v>23</v>
      </c>
      <c r="E24" s="125" t="s">
        <v>23</v>
      </c>
      <c r="F24" s="125" t="s">
        <v>23</v>
      </c>
      <c r="G24" s="125" t="s">
        <v>23</v>
      </c>
      <c r="H24" s="125" t="s">
        <v>23</v>
      </c>
      <c r="I24" s="125" t="s">
        <v>23</v>
      </c>
      <c r="J24" s="191" t="s">
        <v>23</v>
      </c>
      <c r="K24" s="190" t="s">
        <v>23</v>
      </c>
      <c r="L24" s="125" t="s">
        <v>23</v>
      </c>
      <c r="M24" s="125" t="s">
        <v>23</v>
      </c>
      <c r="N24" s="125" t="s">
        <v>23</v>
      </c>
      <c r="O24" s="125" t="s">
        <v>23</v>
      </c>
      <c r="P24" s="125" t="s">
        <v>23</v>
      </c>
      <c r="Q24" s="125" t="s">
        <v>23</v>
      </c>
      <c r="R24" s="191" t="s">
        <v>23</v>
      </c>
    </row>
    <row r="25" spans="1:18" s="90" customFormat="1" ht="12" customHeight="1">
      <c r="A25" s="101" t="s">
        <v>1</v>
      </c>
      <c r="B25" s="70"/>
      <c r="C25" s="102" t="s">
        <v>159</v>
      </c>
      <c r="D25" s="190" t="s">
        <v>115</v>
      </c>
      <c r="E25" s="125" t="s">
        <v>115</v>
      </c>
      <c r="F25" s="125" t="s">
        <v>115</v>
      </c>
      <c r="G25" s="125" t="s">
        <v>115</v>
      </c>
      <c r="H25" s="125" t="s">
        <v>115</v>
      </c>
      <c r="I25" s="125" t="s">
        <v>115</v>
      </c>
      <c r="J25" s="191" t="s">
        <v>115</v>
      </c>
      <c r="K25" s="190" t="s">
        <v>202</v>
      </c>
      <c r="L25" s="125" t="s">
        <v>115</v>
      </c>
      <c r="M25" s="125" t="s">
        <v>202</v>
      </c>
      <c r="N25" s="125" t="s">
        <v>112</v>
      </c>
      <c r="O25" s="125" t="s">
        <v>112</v>
      </c>
      <c r="P25" s="125" t="s">
        <v>202</v>
      </c>
      <c r="Q25" s="125" t="s">
        <v>112</v>
      </c>
      <c r="R25" s="191" t="s">
        <v>115</v>
      </c>
    </row>
    <row r="26" spans="1:18" s="90" customFormat="1" ht="12" customHeight="1">
      <c r="A26" s="101" t="s">
        <v>1</v>
      </c>
      <c r="B26" s="70"/>
      <c r="C26" s="102" t="s">
        <v>160</v>
      </c>
      <c r="D26" s="190" t="s">
        <v>115</v>
      </c>
      <c r="E26" s="125" t="s">
        <v>115</v>
      </c>
      <c r="F26" s="125" t="s">
        <v>115</v>
      </c>
      <c r="G26" s="125" t="s">
        <v>115</v>
      </c>
      <c r="H26" s="125" t="s">
        <v>115</v>
      </c>
      <c r="I26" s="125" t="s">
        <v>115</v>
      </c>
      <c r="J26" s="191" t="s">
        <v>115</v>
      </c>
      <c r="K26" s="190" t="s">
        <v>202</v>
      </c>
      <c r="L26" s="125" t="s">
        <v>115</v>
      </c>
      <c r="M26" s="125" t="s">
        <v>202</v>
      </c>
      <c r="N26" s="125" t="s">
        <v>112</v>
      </c>
      <c r="O26" s="125" t="s">
        <v>112</v>
      </c>
      <c r="P26" s="125" t="s">
        <v>202</v>
      </c>
      <c r="Q26" s="125" t="s">
        <v>112</v>
      </c>
      <c r="R26" s="191" t="s">
        <v>115</v>
      </c>
    </row>
    <row r="27" spans="1:18" s="90" customFormat="1" ht="12" customHeight="1">
      <c r="A27" s="112" t="s">
        <v>46</v>
      </c>
      <c r="B27" s="73"/>
      <c r="C27" s="102" t="s">
        <v>79</v>
      </c>
      <c r="D27" s="187" t="s">
        <v>0</v>
      </c>
      <c r="E27" s="188" t="s">
        <v>0</v>
      </c>
      <c r="F27" s="188" t="s">
        <v>0</v>
      </c>
      <c r="G27" s="188" t="s">
        <v>0</v>
      </c>
      <c r="H27" s="188" t="s">
        <v>0</v>
      </c>
      <c r="I27" s="188" t="s">
        <v>0</v>
      </c>
      <c r="J27" s="189" t="s">
        <v>0</v>
      </c>
      <c r="K27" s="187" t="s">
        <v>0</v>
      </c>
      <c r="L27" s="188" t="s">
        <v>0</v>
      </c>
      <c r="M27" s="188" t="s">
        <v>0</v>
      </c>
      <c r="N27" s="188" t="s">
        <v>0</v>
      </c>
      <c r="O27" s="188" t="s">
        <v>0</v>
      </c>
      <c r="P27" s="188" t="s">
        <v>0</v>
      </c>
      <c r="Q27" s="188" t="s">
        <v>0</v>
      </c>
      <c r="R27" s="189" t="s">
        <v>0</v>
      </c>
    </row>
    <row r="28" spans="1:18" s="90" customFormat="1" ht="12" customHeight="1">
      <c r="A28" s="112" t="s">
        <v>46</v>
      </c>
      <c r="B28" s="73"/>
      <c r="C28" s="102" t="s">
        <v>56</v>
      </c>
      <c r="D28" s="187" t="s">
        <v>0</v>
      </c>
      <c r="E28" s="188" t="s">
        <v>0</v>
      </c>
      <c r="F28" s="188" t="s">
        <v>0</v>
      </c>
      <c r="G28" s="188" t="s">
        <v>0</v>
      </c>
      <c r="H28" s="188" t="s">
        <v>0</v>
      </c>
      <c r="I28" s="188" t="s">
        <v>0</v>
      </c>
      <c r="J28" s="189" t="s">
        <v>0</v>
      </c>
      <c r="K28" s="187" t="s">
        <v>0</v>
      </c>
      <c r="L28" s="188" t="s">
        <v>0</v>
      </c>
      <c r="M28" s="188" t="s">
        <v>0</v>
      </c>
      <c r="N28" s="188" t="s">
        <v>0</v>
      </c>
      <c r="O28" s="188" t="s">
        <v>0</v>
      </c>
      <c r="P28" s="188" t="s">
        <v>0</v>
      </c>
      <c r="Q28" s="188" t="s">
        <v>0</v>
      </c>
      <c r="R28" s="189" t="s">
        <v>0</v>
      </c>
    </row>
    <row r="29" spans="1:18" s="90" customFormat="1" ht="10.199999999999999">
      <c r="A29" s="112" t="s">
        <v>46</v>
      </c>
      <c r="B29" s="73"/>
      <c r="C29" s="111" t="s">
        <v>157</v>
      </c>
      <c r="D29" s="187" t="s">
        <v>0</v>
      </c>
      <c r="E29" s="188" t="s">
        <v>0</v>
      </c>
      <c r="F29" s="188" t="s">
        <v>0</v>
      </c>
      <c r="G29" s="188" t="s">
        <v>0</v>
      </c>
      <c r="H29" s="188" t="s">
        <v>0</v>
      </c>
      <c r="I29" s="188" t="s">
        <v>0</v>
      </c>
      <c r="J29" s="189" t="s">
        <v>0</v>
      </c>
      <c r="K29" s="187" t="s">
        <v>0</v>
      </c>
      <c r="L29" s="188" t="s">
        <v>0</v>
      </c>
      <c r="M29" s="188" t="s">
        <v>0</v>
      </c>
      <c r="N29" s="188" t="s">
        <v>0</v>
      </c>
      <c r="O29" s="188" t="s">
        <v>0</v>
      </c>
      <c r="P29" s="188" t="s">
        <v>0</v>
      </c>
      <c r="Q29" s="188" t="s">
        <v>0</v>
      </c>
      <c r="R29" s="189" t="s">
        <v>0</v>
      </c>
    </row>
    <row r="30" spans="1:18" s="90" customFormat="1" ht="10.199999999999999">
      <c r="A30" s="112" t="s">
        <v>46</v>
      </c>
      <c r="B30" s="73"/>
      <c r="C30" s="102" t="s">
        <v>158</v>
      </c>
      <c r="D30" s="187" t="s">
        <v>0</v>
      </c>
      <c r="E30" s="188" t="s">
        <v>0</v>
      </c>
      <c r="F30" s="188" t="s">
        <v>0</v>
      </c>
      <c r="G30" s="188" t="s">
        <v>0</v>
      </c>
      <c r="H30" s="188" t="s">
        <v>0</v>
      </c>
      <c r="I30" s="188" t="s">
        <v>0</v>
      </c>
      <c r="J30" s="189" t="s">
        <v>0</v>
      </c>
      <c r="K30" s="187" t="s">
        <v>0</v>
      </c>
      <c r="L30" s="188" t="s">
        <v>0</v>
      </c>
      <c r="M30" s="188" t="s">
        <v>0</v>
      </c>
      <c r="N30" s="188" t="s">
        <v>0</v>
      </c>
      <c r="O30" s="188" t="s">
        <v>0</v>
      </c>
      <c r="P30" s="188" t="s">
        <v>0</v>
      </c>
      <c r="Q30" s="188" t="s">
        <v>0</v>
      </c>
      <c r="R30" s="189" t="s">
        <v>0</v>
      </c>
    </row>
    <row r="31" spans="1:18" s="90" customFormat="1" ht="12" customHeight="1">
      <c r="A31" s="112" t="s">
        <v>46</v>
      </c>
      <c r="B31" s="73"/>
      <c r="C31" s="102" t="s">
        <v>159</v>
      </c>
      <c r="D31" s="187" t="s">
        <v>0</v>
      </c>
      <c r="E31" s="188" t="s">
        <v>0</v>
      </c>
      <c r="F31" s="188" t="s">
        <v>0</v>
      </c>
      <c r="G31" s="188" t="s">
        <v>0</v>
      </c>
      <c r="H31" s="188" t="s">
        <v>0</v>
      </c>
      <c r="I31" s="188" t="s">
        <v>0</v>
      </c>
      <c r="J31" s="189" t="s">
        <v>0</v>
      </c>
      <c r="K31" s="187" t="s">
        <v>0</v>
      </c>
      <c r="L31" s="188" t="s">
        <v>0</v>
      </c>
      <c r="M31" s="188" t="s">
        <v>0</v>
      </c>
      <c r="N31" s="188" t="s">
        <v>0</v>
      </c>
      <c r="O31" s="188" t="s">
        <v>0</v>
      </c>
      <c r="P31" s="188" t="s">
        <v>0</v>
      </c>
      <c r="Q31" s="188" t="s">
        <v>0</v>
      </c>
      <c r="R31" s="189" t="s">
        <v>0</v>
      </c>
    </row>
    <row r="32" spans="1:18" s="90" customFormat="1" ht="12" customHeight="1">
      <c r="A32" s="112" t="s">
        <v>46</v>
      </c>
      <c r="B32" s="73"/>
      <c r="C32" s="102" t="s">
        <v>160</v>
      </c>
      <c r="D32" s="187" t="s">
        <v>0</v>
      </c>
      <c r="E32" s="188" t="s">
        <v>0</v>
      </c>
      <c r="F32" s="188" t="s">
        <v>0</v>
      </c>
      <c r="G32" s="188" t="s">
        <v>0</v>
      </c>
      <c r="H32" s="188" t="s">
        <v>0</v>
      </c>
      <c r="I32" s="188" t="s">
        <v>0</v>
      </c>
      <c r="J32" s="189" t="s">
        <v>0</v>
      </c>
      <c r="K32" s="187" t="s">
        <v>0</v>
      </c>
      <c r="L32" s="188" t="s">
        <v>0</v>
      </c>
      <c r="M32" s="188" t="s">
        <v>0</v>
      </c>
      <c r="N32" s="188" t="s">
        <v>0</v>
      </c>
      <c r="O32" s="188" t="s">
        <v>0</v>
      </c>
      <c r="P32" s="188" t="s">
        <v>0</v>
      </c>
      <c r="Q32" s="188" t="s">
        <v>0</v>
      </c>
      <c r="R32" s="189" t="s">
        <v>0</v>
      </c>
    </row>
    <row r="33" spans="1:18" s="90" customFormat="1" ht="10.199999999999999">
      <c r="A33" s="101" t="s">
        <v>37</v>
      </c>
      <c r="B33" s="70"/>
      <c r="C33" s="102" t="s">
        <v>79</v>
      </c>
      <c r="D33" s="190" t="s">
        <v>115</v>
      </c>
      <c r="E33" s="125" t="s">
        <v>115</v>
      </c>
      <c r="F33" s="125" t="s">
        <v>115</v>
      </c>
      <c r="G33" s="125" t="s">
        <v>202</v>
      </c>
      <c r="H33" s="125" t="s">
        <v>202</v>
      </c>
      <c r="I33" s="125" t="s">
        <v>115</v>
      </c>
      <c r="J33" s="191" t="s">
        <v>202</v>
      </c>
      <c r="K33" s="190" t="s">
        <v>112</v>
      </c>
      <c r="L33" s="125" t="s">
        <v>202</v>
      </c>
      <c r="M33" s="125" t="s">
        <v>202</v>
      </c>
      <c r="N33" s="125" t="s">
        <v>112</v>
      </c>
      <c r="O33" s="125" t="s">
        <v>112</v>
      </c>
      <c r="P33" s="125" t="s">
        <v>202</v>
      </c>
      <c r="Q33" s="125" t="s">
        <v>112</v>
      </c>
      <c r="R33" s="191" t="s">
        <v>115</v>
      </c>
    </row>
    <row r="34" spans="1:18" s="90" customFormat="1" ht="10.199999999999999">
      <c r="A34" s="101" t="s">
        <v>37</v>
      </c>
      <c r="B34" s="70"/>
      <c r="C34" s="102" t="s">
        <v>56</v>
      </c>
      <c r="D34" s="190" t="s">
        <v>115</v>
      </c>
      <c r="E34" s="125" t="s">
        <v>115</v>
      </c>
      <c r="F34" s="125" t="s">
        <v>115</v>
      </c>
      <c r="G34" s="125" t="s">
        <v>202</v>
      </c>
      <c r="H34" s="125" t="s">
        <v>202</v>
      </c>
      <c r="I34" s="125" t="s">
        <v>202</v>
      </c>
      <c r="J34" s="191" t="s">
        <v>202</v>
      </c>
      <c r="K34" s="190" t="s">
        <v>112</v>
      </c>
      <c r="L34" s="125" t="s">
        <v>202</v>
      </c>
      <c r="M34" s="125" t="s">
        <v>202</v>
      </c>
      <c r="N34" s="125" t="s">
        <v>112</v>
      </c>
      <c r="O34" s="125" t="s">
        <v>112</v>
      </c>
      <c r="P34" s="125" t="s">
        <v>202</v>
      </c>
      <c r="Q34" s="125" t="s">
        <v>112</v>
      </c>
      <c r="R34" s="191" t="s">
        <v>115</v>
      </c>
    </row>
    <row r="35" spans="1:18" s="90" customFormat="1" ht="10.199999999999999">
      <c r="A35" s="101" t="s">
        <v>37</v>
      </c>
      <c r="B35" s="70"/>
      <c r="C35" s="103" t="s">
        <v>157</v>
      </c>
      <c r="D35" s="190" t="s">
        <v>115</v>
      </c>
      <c r="E35" s="125" t="s">
        <v>115</v>
      </c>
      <c r="F35" s="125" t="s">
        <v>115</v>
      </c>
      <c r="G35" s="125" t="s">
        <v>202</v>
      </c>
      <c r="H35" s="125" t="s">
        <v>202</v>
      </c>
      <c r="I35" s="125" t="s">
        <v>202</v>
      </c>
      <c r="J35" s="191" t="s">
        <v>202</v>
      </c>
      <c r="K35" s="190" t="s">
        <v>112</v>
      </c>
      <c r="L35" s="125" t="s">
        <v>202</v>
      </c>
      <c r="M35" s="125" t="s">
        <v>202</v>
      </c>
      <c r="N35" s="125" t="s">
        <v>112</v>
      </c>
      <c r="O35" s="125" t="s">
        <v>112</v>
      </c>
      <c r="P35" s="125" t="s">
        <v>202</v>
      </c>
      <c r="Q35" s="125" t="s">
        <v>112</v>
      </c>
      <c r="R35" s="191" t="s">
        <v>115</v>
      </c>
    </row>
    <row r="36" spans="1:18" s="90" customFormat="1" ht="10.199999999999999">
      <c r="A36" s="101" t="s">
        <v>37</v>
      </c>
      <c r="B36" s="70"/>
      <c r="C36" s="102" t="s">
        <v>158</v>
      </c>
      <c r="D36" s="190" t="s">
        <v>23</v>
      </c>
      <c r="E36" s="125" t="s">
        <v>23</v>
      </c>
      <c r="F36" s="125" t="s">
        <v>23</v>
      </c>
      <c r="G36" s="125" t="s">
        <v>23</v>
      </c>
      <c r="H36" s="125" t="s">
        <v>23</v>
      </c>
      <c r="I36" s="125" t="s">
        <v>23</v>
      </c>
      <c r="J36" s="191" t="s">
        <v>23</v>
      </c>
      <c r="K36" s="190" t="s">
        <v>23</v>
      </c>
      <c r="L36" s="125" t="s">
        <v>23</v>
      </c>
      <c r="M36" s="125" t="s">
        <v>23</v>
      </c>
      <c r="N36" s="125" t="s">
        <v>23</v>
      </c>
      <c r="O36" s="125" t="s">
        <v>23</v>
      </c>
      <c r="P36" s="125" t="s">
        <v>23</v>
      </c>
      <c r="Q36" s="125" t="s">
        <v>23</v>
      </c>
      <c r="R36" s="191" t="s">
        <v>23</v>
      </c>
    </row>
    <row r="37" spans="1:18" s="90" customFormat="1" ht="10.199999999999999">
      <c r="A37" s="101" t="s">
        <v>37</v>
      </c>
      <c r="B37" s="70"/>
      <c r="C37" s="102" t="s">
        <v>159</v>
      </c>
      <c r="D37" s="190" t="s">
        <v>115</v>
      </c>
      <c r="E37" s="125" t="s">
        <v>115</v>
      </c>
      <c r="F37" s="125" t="s">
        <v>115</v>
      </c>
      <c r="G37" s="125" t="s">
        <v>202</v>
      </c>
      <c r="H37" s="125" t="s">
        <v>203</v>
      </c>
      <c r="I37" s="125" t="s">
        <v>202</v>
      </c>
      <c r="J37" s="191" t="s">
        <v>203</v>
      </c>
      <c r="K37" s="190" t="s">
        <v>112</v>
      </c>
      <c r="L37" s="125" t="s">
        <v>202</v>
      </c>
      <c r="M37" s="125" t="s">
        <v>202</v>
      </c>
      <c r="N37" s="125" t="s">
        <v>112</v>
      </c>
      <c r="O37" s="125" t="s">
        <v>112</v>
      </c>
      <c r="P37" s="125" t="s">
        <v>202</v>
      </c>
      <c r="Q37" s="125" t="s">
        <v>112</v>
      </c>
      <c r="R37" s="191" t="s">
        <v>115</v>
      </c>
    </row>
    <row r="38" spans="1:18" s="90" customFormat="1" ht="10.199999999999999">
      <c r="A38" s="101" t="s">
        <v>37</v>
      </c>
      <c r="B38" s="70"/>
      <c r="C38" s="102" t="s">
        <v>160</v>
      </c>
      <c r="D38" s="190" t="s">
        <v>115</v>
      </c>
      <c r="E38" s="125" t="s">
        <v>115</v>
      </c>
      <c r="F38" s="125" t="s">
        <v>115</v>
      </c>
      <c r="G38" s="125" t="s">
        <v>202</v>
      </c>
      <c r="H38" s="125" t="s">
        <v>203</v>
      </c>
      <c r="I38" s="125" t="s">
        <v>202</v>
      </c>
      <c r="J38" s="191" t="s">
        <v>203</v>
      </c>
      <c r="K38" s="190" t="s">
        <v>112</v>
      </c>
      <c r="L38" s="125" t="s">
        <v>202</v>
      </c>
      <c r="M38" s="125" t="s">
        <v>202</v>
      </c>
      <c r="N38" s="125" t="s">
        <v>112</v>
      </c>
      <c r="O38" s="125" t="s">
        <v>112</v>
      </c>
      <c r="P38" s="125" t="s">
        <v>202</v>
      </c>
      <c r="Q38" s="125" t="s">
        <v>112</v>
      </c>
      <c r="R38" s="191" t="s">
        <v>115</v>
      </c>
    </row>
    <row r="39" spans="1:18" s="90" customFormat="1" ht="12" customHeight="1">
      <c r="A39" s="112" t="s">
        <v>28</v>
      </c>
      <c r="B39" s="73"/>
      <c r="C39" s="102" t="s">
        <v>79</v>
      </c>
      <c r="D39" s="187" t="s">
        <v>115</v>
      </c>
      <c r="E39" s="188" t="s">
        <v>112</v>
      </c>
      <c r="F39" s="188" t="s">
        <v>112</v>
      </c>
      <c r="G39" s="188" t="s">
        <v>202</v>
      </c>
      <c r="H39" s="188" t="s">
        <v>112</v>
      </c>
      <c r="I39" s="188" t="s">
        <v>202</v>
      </c>
      <c r="J39" s="189" t="s">
        <v>202</v>
      </c>
      <c r="K39" s="187" t="s">
        <v>112</v>
      </c>
      <c r="L39" s="188" t="s">
        <v>202</v>
      </c>
      <c r="M39" s="188" t="s">
        <v>112</v>
      </c>
      <c r="N39" s="188" t="s">
        <v>112</v>
      </c>
      <c r="O39" s="188" t="s">
        <v>112</v>
      </c>
      <c r="P39" s="188" t="s">
        <v>202</v>
      </c>
      <c r="Q39" s="188" t="s">
        <v>202</v>
      </c>
      <c r="R39" s="189" t="s">
        <v>115</v>
      </c>
    </row>
    <row r="40" spans="1:18" s="90" customFormat="1" ht="12" customHeight="1">
      <c r="A40" s="112" t="s">
        <v>28</v>
      </c>
      <c r="B40" s="73"/>
      <c r="C40" s="102" t="s">
        <v>56</v>
      </c>
      <c r="D40" s="187" t="s">
        <v>115</v>
      </c>
      <c r="E40" s="188" t="s">
        <v>112</v>
      </c>
      <c r="F40" s="188" t="s">
        <v>112</v>
      </c>
      <c r="G40" s="188" t="s">
        <v>202</v>
      </c>
      <c r="H40" s="188" t="s">
        <v>112</v>
      </c>
      <c r="I40" s="188" t="s">
        <v>202</v>
      </c>
      <c r="J40" s="189" t="s">
        <v>202</v>
      </c>
      <c r="K40" s="187" t="s">
        <v>112</v>
      </c>
      <c r="L40" s="188" t="s">
        <v>202</v>
      </c>
      <c r="M40" s="188" t="s">
        <v>112</v>
      </c>
      <c r="N40" s="188" t="s">
        <v>112</v>
      </c>
      <c r="O40" s="188" t="s">
        <v>112</v>
      </c>
      <c r="P40" s="188" t="s">
        <v>202</v>
      </c>
      <c r="Q40" s="188" t="s">
        <v>202</v>
      </c>
      <c r="R40" s="189" t="s">
        <v>115</v>
      </c>
    </row>
    <row r="41" spans="1:18" s="90" customFormat="1" ht="10.199999999999999">
      <c r="A41" s="112" t="s">
        <v>28</v>
      </c>
      <c r="B41" s="73"/>
      <c r="C41" s="111" t="s">
        <v>157</v>
      </c>
      <c r="D41" s="187" t="s">
        <v>115</v>
      </c>
      <c r="E41" s="188" t="s">
        <v>112</v>
      </c>
      <c r="F41" s="188" t="s">
        <v>112</v>
      </c>
      <c r="G41" s="188" t="s">
        <v>202</v>
      </c>
      <c r="H41" s="188" t="s">
        <v>112</v>
      </c>
      <c r="I41" s="188" t="s">
        <v>202</v>
      </c>
      <c r="J41" s="189" t="s">
        <v>202</v>
      </c>
      <c r="K41" s="187" t="s">
        <v>112</v>
      </c>
      <c r="L41" s="188" t="s">
        <v>202</v>
      </c>
      <c r="M41" s="188" t="s">
        <v>112</v>
      </c>
      <c r="N41" s="188" t="s">
        <v>112</v>
      </c>
      <c r="O41" s="188" t="s">
        <v>112</v>
      </c>
      <c r="P41" s="188" t="s">
        <v>202</v>
      </c>
      <c r="Q41" s="188" t="s">
        <v>202</v>
      </c>
      <c r="R41" s="189" t="s">
        <v>115</v>
      </c>
    </row>
    <row r="42" spans="1:18" s="90" customFormat="1" ht="10.199999999999999">
      <c r="A42" s="112" t="s">
        <v>28</v>
      </c>
      <c r="B42" s="73"/>
      <c r="C42" s="102" t="s">
        <v>158</v>
      </c>
      <c r="D42" s="187" t="s">
        <v>115</v>
      </c>
      <c r="E42" s="188" t="s">
        <v>112</v>
      </c>
      <c r="F42" s="188" t="s">
        <v>112</v>
      </c>
      <c r="G42" s="188" t="s">
        <v>202</v>
      </c>
      <c r="H42" s="188" t="s">
        <v>112</v>
      </c>
      <c r="I42" s="188" t="s">
        <v>202</v>
      </c>
      <c r="J42" s="189" t="s">
        <v>202</v>
      </c>
      <c r="K42" s="187" t="s">
        <v>112</v>
      </c>
      <c r="L42" s="188" t="s">
        <v>202</v>
      </c>
      <c r="M42" s="188" t="s">
        <v>112</v>
      </c>
      <c r="N42" s="188" t="s">
        <v>112</v>
      </c>
      <c r="O42" s="188" t="s">
        <v>112</v>
      </c>
      <c r="P42" s="188" t="s">
        <v>202</v>
      </c>
      <c r="Q42" s="188" t="s">
        <v>202</v>
      </c>
      <c r="R42" s="189" t="s">
        <v>115</v>
      </c>
    </row>
    <row r="43" spans="1:18" s="90" customFormat="1" ht="12" customHeight="1">
      <c r="A43" s="112" t="s">
        <v>28</v>
      </c>
      <c r="B43" s="73"/>
      <c r="C43" s="102" t="s">
        <v>159</v>
      </c>
      <c r="D43" s="187" t="s">
        <v>115</v>
      </c>
      <c r="E43" s="188" t="s">
        <v>112</v>
      </c>
      <c r="F43" s="188" t="s">
        <v>112</v>
      </c>
      <c r="G43" s="188" t="s">
        <v>202</v>
      </c>
      <c r="H43" s="188" t="s">
        <v>112</v>
      </c>
      <c r="I43" s="188" t="s">
        <v>202</v>
      </c>
      <c r="J43" s="189" t="s">
        <v>202</v>
      </c>
      <c r="K43" s="187" t="s">
        <v>112</v>
      </c>
      <c r="L43" s="188" t="s">
        <v>202</v>
      </c>
      <c r="M43" s="188" t="s">
        <v>112</v>
      </c>
      <c r="N43" s="188" t="s">
        <v>112</v>
      </c>
      <c r="O43" s="188" t="s">
        <v>112</v>
      </c>
      <c r="P43" s="188" t="s">
        <v>202</v>
      </c>
      <c r="Q43" s="188" t="s">
        <v>202</v>
      </c>
      <c r="R43" s="189" t="s">
        <v>115</v>
      </c>
    </row>
    <row r="44" spans="1:18" s="90" customFormat="1" ht="12" customHeight="1">
      <c r="A44" s="112" t="s">
        <v>28</v>
      </c>
      <c r="B44" s="73"/>
      <c r="C44" s="102" t="s">
        <v>160</v>
      </c>
      <c r="D44" s="187" t="s">
        <v>115</v>
      </c>
      <c r="E44" s="188" t="s">
        <v>112</v>
      </c>
      <c r="F44" s="188" t="s">
        <v>112</v>
      </c>
      <c r="G44" s="188" t="s">
        <v>202</v>
      </c>
      <c r="H44" s="188" t="s">
        <v>112</v>
      </c>
      <c r="I44" s="188" t="s">
        <v>202</v>
      </c>
      <c r="J44" s="189" t="s">
        <v>202</v>
      </c>
      <c r="K44" s="187" t="s">
        <v>112</v>
      </c>
      <c r="L44" s="188" t="s">
        <v>202</v>
      </c>
      <c r="M44" s="188" t="s">
        <v>112</v>
      </c>
      <c r="N44" s="188" t="s">
        <v>112</v>
      </c>
      <c r="O44" s="188" t="s">
        <v>112</v>
      </c>
      <c r="P44" s="188" t="s">
        <v>202</v>
      </c>
      <c r="Q44" s="188" t="s">
        <v>202</v>
      </c>
      <c r="R44" s="189" t="s">
        <v>115</v>
      </c>
    </row>
    <row r="45" spans="1:18" s="90" customFormat="1" ht="12" customHeight="1">
      <c r="A45" s="101" t="s">
        <v>2</v>
      </c>
      <c r="B45" s="70"/>
      <c r="C45" s="102" t="s">
        <v>79</v>
      </c>
      <c r="D45" s="190" t="s">
        <v>115</v>
      </c>
      <c r="E45" s="125" t="s">
        <v>115</v>
      </c>
      <c r="F45" s="125" t="s">
        <v>124</v>
      </c>
      <c r="G45" s="125" t="s">
        <v>115</v>
      </c>
      <c r="H45" s="125" t="s">
        <v>115</v>
      </c>
      <c r="I45" s="125" t="s">
        <v>115</v>
      </c>
      <c r="J45" s="191" t="s">
        <v>115</v>
      </c>
      <c r="K45" s="190" t="s">
        <v>202</v>
      </c>
      <c r="L45" s="125" t="s">
        <v>202</v>
      </c>
      <c r="M45" s="125" t="s">
        <v>202</v>
      </c>
      <c r="N45" s="125" t="s">
        <v>202</v>
      </c>
      <c r="O45" s="125" t="s">
        <v>202</v>
      </c>
      <c r="P45" s="125" t="s">
        <v>202</v>
      </c>
      <c r="Q45" s="125" t="s">
        <v>202</v>
      </c>
      <c r="R45" s="191" t="s">
        <v>202</v>
      </c>
    </row>
    <row r="46" spans="1:18" s="90" customFormat="1" ht="12" customHeight="1">
      <c r="A46" s="101" t="s">
        <v>2</v>
      </c>
      <c r="B46" s="70"/>
      <c r="C46" s="102" t="s">
        <v>56</v>
      </c>
      <c r="D46" s="190" t="s">
        <v>115</v>
      </c>
      <c r="E46" s="125" t="s">
        <v>115</v>
      </c>
      <c r="F46" s="125" t="s">
        <v>115</v>
      </c>
      <c r="G46" s="125" t="s">
        <v>115</v>
      </c>
      <c r="H46" s="125" t="s">
        <v>115</v>
      </c>
      <c r="I46" s="125" t="s">
        <v>202</v>
      </c>
      <c r="J46" s="191" t="s">
        <v>115</v>
      </c>
      <c r="K46" s="190" t="s">
        <v>202</v>
      </c>
      <c r="L46" s="125" t="s">
        <v>202</v>
      </c>
      <c r="M46" s="125" t="s">
        <v>202</v>
      </c>
      <c r="N46" s="125" t="s">
        <v>202</v>
      </c>
      <c r="O46" s="125" t="s">
        <v>202</v>
      </c>
      <c r="P46" s="125" t="s">
        <v>202</v>
      </c>
      <c r="Q46" s="125" t="s">
        <v>202</v>
      </c>
      <c r="R46" s="191" t="s">
        <v>202</v>
      </c>
    </row>
    <row r="47" spans="1:18" s="90" customFormat="1" ht="10.199999999999999">
      <c r="A47" s="101" t="s">
        <v>2</v>
      </c>
      <c r="B47" s="70"/>
      <c r="C47" s="103" t="s">
        <v>157</v>
      </c>
      <c r="D47" s="190" t="s">
        <v>115</v>
      </c>
      <c r="E47" s="125" t="s">
        <v>115</v>
      </c>
      <c r="F47" s="125" t="s">
        <v>115</v>
      </c>
      <c r="G47" s="125" t="s">
        <v>115</v>
      </c>
      <c r="H47" s="125" t="s">
        <v>115</v>
      </c>
      <c r="I47" s="125" t="s">
        <v>202</v>
      </c>
      <c r="J47" s="191" t="s">
        <v>115</v>
      </c>
      <c r="K47" s="190" t="s">
        <v>202</v>
      </c>
      <c r="L47" s="125" t="s">
        <v>202</v>
      </c>
      <c r="M47" s="125" t="s">
        <v>202</v>
      </c>
      <c r="N47" s="125" t="s">
        <v>202</v>
      </c>
      <c r="O47" s="125" t="s">
        <v>202</v>
      </c>
      <c r="P47" s="125" t="s">
        <v>202</v>
      </c>
      <c r="Q47" s="125" t="s">
        <v>202</v>
      </c>
      <c r="R47" s="191" t="s">
        <v>202</v>
      </c>
    </row>
    <row r="48" spans="1:18" s="90" customFormat="1" ht="10.199999999999999">
      <c r="A48" s="101" t="s">
        <v>2</v>
      </c>
      <c r="B48" s="70"/>
      <c r="C48" s="102" t="s">
        <v>158</v>
      </c>
      <c r="D48" s="190" t="s">
        <v>23</v>
      </c>
      <c r="E48" s="125" t="s">
        <v>23</v>
      </c>
      <c r="F48" s="125" t="s">
        <v>23</v>
      </c>
      <c r="G48" s="125" t="s">
        <v>23</v>
      </c>
      <c r="H48" s="125" t="s">
        <v>23</v>
      </c>
      <c r="I48" s="125" t="s">
        <v>23</v>
      </c>
      <c r="J48" s="191" t="s">
        <v>23</v>
      </c>
      <c r="K48" s="190" t="s">
        <v>23</v>
      </c>
      <c r="L48" s="125" t="s">
        <v>23</v>
      </c>
      <c r="M48" s="125" t="s">
        <v>23</v>
      </c>
      <c r="N48" s="125" t="s">
        <v>23</v>
      </c>
      <c r="O48" s="125" t="s">
        <v>23</v>
      </c>
      <c r="P48" s="125" t="s">
        <v>23</v>
      </c>
      <c r="Q48" s="125" t="s">
        <v>23</v>
      </c>
      <c r="R48" s="191" t="s">
        <v>23</v>
      </c>
    </row>
    <row r="49" spans="1:18" s="90" customFormat="1" ht="12" customHeight="1">
      <c r="A49" s="101" t="s">
        <v>2</v>
      </c>
      <c r="B49" s="70"/>
      <c r="C49" s="102" t="s">
        <v>159</v>
      </c>
      <c r="D49" s="190" t="s">
        <v>115</v>
      </c>
      <c r="E49" s="125" t="s">
        <v>115</v>
      </c>
      <c r="F49" s="125" t="s">
        <v>115</v>
      </c>
      <c r="G49" s="125" t="s">
        <v>115</v>
      </c>
      <c r="H49" s="125" t="s">
        <v>115</v>
      </c>
      <c r="I49" s="125" t="s">
        <v>124</v>
      </c>
      <c r="J49" s="191" t="s">
        <v>115</v>
      </c>
      <c r="K49" s="190" t="s">
        <v>202</v>
      </c>
      <c r="L49" s="125" t="s">
        <v>202</v>
      </c>
      <c r="M49" s="125" t="s">
        <v>202</v>
      </c>
      <c r="N49" s="125" t="s">
        <v>202</v>
      </c>
      <c r="O49" s="125" t="s">
        <v>202</v>
      </c>
      <c r="P49" s="125" t="s">
        <v>202</v>
      </c>
      <c r="Q49" s="125" t="s">
        <v>202</v>
      </c>
      <c r="R49" s="191" t="s">
        <v>202</v>
      </c>
    </row>
    <row r="50" spans="1:18" s="90" customFormat="1" ht="12" customHeight="1">
      <c r="A50" s="101" t="s">
        <v>2</v>
      </c>
      <c r="B50" s="70"/>
      <c r="C50" s="102" t="s">
        <v>160</v>
      </c>
      <c r="D50" s="190" t="s">
        <v>115</v>
      </c>
      <c r="E50" s="125" t="s">
        <v>115</v>
      </c>
      <c r="F50" s="125" t="s">
        <v>115</v>
      </c>
      <c r="G50" s="125" t="s">
        <v>115</v>
      </c>
      <c r="H50" s="125" t="s">
        <v>115</v>
      </c>
      <c r="I50" s="125" t="s">
        <v>124</v>
      </c>
      <c r="J50" s="191" t="s">
        <v>115</v>
      </c>
      <c r="K50" s="190" t="s">
        <v>202</v>
      </c>
      <c r="L50" s="125" t="s">
        <v>202</v>
      </c>
      <c r="M50" s="125" t="s">
        <v>202</v>
      </c>
      <c r="N50" s="125" t="s">
        <v>202</v>
      </c>
      <c r="O50" s="125" t="s">
        <v>202</v>
      </c>
      <c r="P50" s="125" t="s">
        <v>202</v>
      </c>
      <c r="Q50" s="125" t="s">
        <v>202</v>
      </c>
      <c r="R50" s="191" t="s">
        <v>202</v>
      </c>
    </row>
    <row r="51" spans="1:18" s="90" customFormat="1" ht="12" customHeight="1">
      <c r="A51" s="112" t="s">
        <v>41</v>
      </c>
      <c r="B51" s="73"/>
      <c r="C51" s="102" t="s">
        <v>79</v>
      </c>
      <c r="D51" s="187" t="s">
        <v>115</v>
      </c>
      <c r="E51" s="188" t="s">
        <v>115</v>
      </c>
      <c r="F51" s="188" t="s">
        <v>115</v>
      </c>
      <c r="G51" s="188" t="s">
        <v>115</v>
      </c>
      <c r="H51" s="188" t="s">
        <v>115</v>
      </c>
      <c r="I51" s="188" t="s">
        <v>115</v>
      </c>
      <c r="J51" s="189" t="s">
        <v>115</v>
      </c>
      <c r="K51" s="187" t="s">
        <v>202</v>
      </c>
      <c r="L51" s="188" t="s">
        <v>112</v>
      </c>
      <c r="M51" s="188" t="s">
        <v>115</v>
      </c>
      <c r="N51" s="188" t="s">
        <v>202</v>
      </c>
      <c r="O51" s="188" t="s">
        <v>115</v>
      </c>
      <c r="P51" s="188" t="s">
        <v>115</v>
      </c>
      <c r="Q51" s="188" t="s">
        <v>112</v>
      </c>
      <c r="R51" s="189" t="s">
        <v>115</v>
      </c>
    </row>
    <row r="52" spans="1:18" s="90" customFormat="1" ht="12" customHeight="1">
      <c r="A52" s="112" t="s">
        <v>41</v>
      </c>
      <c r="B52" s="73"/>
      <c r="C52" s="102" t="s">
        <v>56</v>
      </c>
      <c r="D52" s="187" t="s">
        <v>115</v>
      </c>
      <c r="E52" s="188" t="s">
        <v>115</v>
      </c>
      <c r="F52" s="188" t="s">
        <v>115</v>
      </c>
      <c r="G52" s="188" t="s">
        <v>115</v>
      </c>
      <c r="H52" s="188" t="s">
        <v>115</v>
      </c>
      <c r="I52" s="188" t="s">
        <v>202</v>
      </c>
      <c r="J52" s="189" t="s">
        <v>115</v>
      </c>
      <c r="K52" s="187" t="s">
        <v>202</v>
      </c>
      <c r="L52" s="188" t="s">
        <v>112</v>
      </c>
      <c r="M52" s="188" t="s">
        <v>115</v>
      </c>
      <c r="N52" s="188" t="s">
        <v>202</v>
      </c>
      <c r="O52" s="188" t="s">
        <v>202</v>
      </c>
      <c r="P52" s="188" t="s">
        <v>202</v>
      </c>
      <c r="Q52" s="188" t="s">
        <v>112</v>
      </c>
      <c r="R52" s="189" t="s">
        <v>115</v>
      </c>
    </row>
    <row r="53" spans="1:18" s="90" customFormat="1" ht="10.199999999999999">
      <c r="A53" s="112" t="s">
        <v>41</v>
      </c>
      <c r="B53" s="73"/>
      <c r="C53" s="111" t="s">
        <v>157</v>
      </c>
      <c r="D53" s="187" t="s">
        <v>115</v>
      </c>
      <c r="E53" s="188" t="s">
        <v>115</v>
      </c>
      <c r="F53" s="188" t="s">
        <v>115</v>
      </c>
      <c r="G53" s="188" t="s">
        <v>115</v>
      </c>
      <c r="H53" s="188" t="s">
        <v>115</v>
      </c>
      <c r="I53" s="188" t="s">
        <v>202</v>
      </c>
      <c r="J53" s="189" t="s">
        <v>115</v>
      </c>
      <c r="K53" s="187" t="s">
        <v>202</v>
      </c>
      <c r="L53" s="188" t="s">
        <v>112</v>
      </c>
      <c r="M53" s="188" t="s">
        <v>115</v>
      </c>
      <c r="N53" s="188" t="s">
        <v>202</v>
      </c>
      <c r="O53" s="188" t="s">
        <v>202</v>
      </c>
      <c r="P53" s="188" t="s">
        <v>202</v>
      </c>
      <c r="Q53" s="188" t="s">
        <v>112</v>
      </c>
      <c r="R53" s="189" t="s">
        <v>115</v>
      </c>
    </row>
    <row r="54" spans="1:18" s="90" customFormat="1" ht="10.199999999999999">
      <c r="A54" s="112" t="s">
        <v>41</v>
      </c>
      <c r="B54" s="73"/>
      <c r="C54" s="102" t="s">
        <v>158</v>
      </c>
      <c r="D54" s="187" t="s">
        <v>115</v>
      </c>
      <c r="E54" s="188" t="s">
        <v>115</v>
      </c>
      <c r="F54" s="188" t="s">
        <v>115</v>
      </c>
      <c r="G54" s="188" t="s">
        <v>115</v>
      </c>
      <c r="H54" s="188" t="s">
        <v>115</v>
      </c>
      <c r="I54" s="188" t="s">
        <v>124</v>
      </c>
      <c r="J54" s="189" t="s">
        <v>115</v>
      </c>
      <c r="K54" s="187" t="s">
        <v>202</v>
      </c>
      <c r="L54" s="188" t="s">
        <v>112</v>
      </c>
      <c r="M54" s="188" t="s">
        <v>115</v>
      </c>
      <c r="N54" s="188" t="s">
        <v>202</v>
      </c>
      <c r="O54" s="188" t="s">
        <v>112</v>
      </c>
      <c r="P54" s="188" t="s">
        <v>112</v>
      </c>
      <c r="Q54" s="188" t="s">
        <v>112</v>
      </c>
      <c r="R54" s="189" t="s">
        <v>115</v>
      </c>
    </row>
    <row r="55" spans="1:18" s="90" customFormat="1" ht="12" customHeight="1">
      <c r="A55" s="112" t="s">
        <v>41</v>
      </c>
      <c r="B55" s="73"/>
      <c r="C55" s="102" t="s">
        <v>159</v>
      </c>
      <c r="D55" s="187" t="s">
        <v>115</v>
      </c>
      <c r="E55" s="188" t="s">
        <v>115</v>
      </c>
      <c r="F55" s="188" t="s">
        <v>115</v>
      </c>
      <c r="G55" s="188" t="s">
        <v>115</v>
      </c>
      <c r="H55" s="188" t="s">
        <v>115</v>
      </c>
      <c r="I55" s="188" t="s">
        <v>202</v>
      </c>
      <c r="J55" s="189" t="s">
        <v>115</v>
      </c>
      <c r="K55" s="187" t="s">
        <v>202</v>
      </c>
      <c r="L55" s="188" t="s">
        <v>112</v>
      </c>
      <c r="M55" s="188" t="s">
        <v>115</v>
      </c>
      <c r="N55" s="188" t="s">
        <v>202</v>
      </c>
      <c r="O55" s="188" t="s">
        <v>202</v>
      </c>
      <c r="P55" s="188" t="s">
        <v>202</v>
      </c>
      <c r="Q55" s="188" t="s">
        <v>112</v>
      </c>
      <c r="R55" s="189" t="s">
        <v>115</v>
      </c>
    </row>
    <row r="56" spans="1:18" s="90" customFormat="1" ht="12" customHeight="1">
      <c r="A56" s="112" t="s">
        <v>41</v>
      </c>
      <c r="B56" s="73"/>
      <c r="C56" s="102" t="s">
        <v>160</v>
      </c>
      <c r="D56" s="187" t="s">
        <v>115</v>
      </c>
      <c r="E56" s="188" t="s">
        <v>115</v>
      </c>
      <c r="F56" s="188" t="s">
        <v>115</v>
      </c>
      <c r="G56" s="188" t="s">
        <v>115</v>
      </c>
      <c r="H56" s="188" t="s">
        <v>115</v>
      </c>
      <c r="I56" s="188" t="s">
        <v>124</v>
      </c>
      <c r="J56" s="189" t="s">
        <v>115</v>
      </c>
      <c r="K56" s="187" t="s">
        <v>202</v>
      </c>
      <c r="L56" s="188" t="s">
        <v>112</v>
      </c>
      <c r="M56" s="188" t="s">
        <v>115</v>
      </c>
      <c r="N56" s="188" t="s">
        <v>202</v>
      </c>
      <c r="O56" s="188" t="s">
        <v>112</v>
      </c>
      <c r="P56" s="188" t="s">
        <v>112</v>
      </c>
      <c r="Q56" s="188" t="s">
        <v>112</v>
      </c>
      <c r="R56" s="189" t="s">
        <v>115</v>
      </c>
    </row>
    <row r="57" spans="1:18" s="90" customFormat="1" ht="12" customHeight="1">
      <c r="A57" s="101" t="s">
        <v>3</v>
      </c>
      <c r="B57" s="70"/>
      <c r="C57" s="102" t="s">
        <v>79</v>
      </c>
      <c r="D57" s="190" t="s">
        <v>115</v>
      </c>
      <c r="E57" s="125" t="s">
        <v>115</v>
      </c>
      <c r="F57" s="125" t="s">
        <v>115</v>
      </c>
      <c r="G57" s="125" t="s">
        <v>115</v>
      </c>
      <c r="H57" s="125" t="s">
        <v>115</v>
      </c>
      <c r="I57" s="125" t="s">
        <v>115</v>
      </c>
      <c r="J57" s="191" t="s">
        <v>115</v>
      </c>
      <c r="K57" s="190" t="s">
        <v>112</v>
      </c>
      <c r="L57" s="125" t="s">
        <v>112</v>
      </c>
      <c r="M57" s="125" t="s">
        <v>115</v>
      </c>
      <c r="N57" s="125" t="s">
        <v>112</v>
      </c>
      <c r="O57" s="125" t="s">
        <v>112</v>
      </c>
      <c r="P57" s="125" t="s">
        <v>112</v>
      </c>
      <c r="Q57" s="125" t="s">
        <v>112</v>
      </c>
      <c r="R57" s="191" t="s">
        <v>115</v>
      </c>
    </row>
    <row r="58" spans="1:18" s="90" customFormat="1" ht="12" customHeight="1">
      <c r="A58" s="101" t="s">
        <v>3</v>
      </c>
      <c r="B58" s="70"/>
      <c r="C58" s="102" t="s">
        <v>56</v>
      </c>
      <c r="D58" s="190" t="s">
        <v>115</v>
      </c>
      <c r="E58" s="125" t="s">
        <v>115</v>
      </c>
      <c r="F58" s="125" t="s">
        <v>115</v>
      </c>
      <c r="G58" s="125" t="s">
        <v>115</v>
      </c>
      <c r="H58" s="125" t="s">
        <v>115</v>
      </c>
      <c r="I58" s="125" t="s">
        <v>202</v>
      </c>
      <c r="J58" s="191" t="s">
        <v>115</v>
      </c>
      <c r="K58" s="190" t="s">
        <v>112</v>
      </c>
      <c r="L58" s="125" t="s">
        <v>112</v>
      </c>
      <c r="M58" s="125" t="s">
        <v>115</v>
      </c>
      <c r="N58" s="125" t="s">
        <v>112</v>
      </c>
      <c r="O58" s="125" t="s">
        <v>112</v>
      </c>
      <c r="P58" s="125" t="s">
        <v>112</v>
      </c>
      <c r="Q58" s="125" t="s">
        <v>112</v>
      </c>
      <c r="R58" s="191" t="s">
        <v>115</v>
      </c>
    </row>
    <row r="59" spans="1:18" s="90" customFormat="1" ht="10.199999999999999">
      <c r="A59" s="101" t="s">
        <v>3</v>
      </c>
      <c r="B59" s="70"/>
      <c r="C59" s="103" t="s">
        <v>157</v>
      </c>
      <c r="D59" s="190" t="s">
        <v>115</v>
      </c>
      <c r="E59" s="125" t="s">
        <v>115</v>
      </c>
      <c r="F59" s="125" t="s">
        <v>115</v>
      </c>
      <c r="G59" s="125" t="s">
        <v>115</v>
      </c>
      <c r="H59" s="125" t="s">
        <v>115</v>
      </c>
      <c r="I59" s="125" t="s">
        <v>202</v>
      </c>
      <c r="J59" s="191" t="s">
        <v>115</v>
      </c>
      <c r="K59" s="190" t="s">
        <v>112</v>
      </c>
      <c r="L59" s="125" t="s">
        <v>112</v>
      </c>
      <c r="M59" s="125" t="s">
        <v>115</v>
      </c>
      <c r="N59" s="125" t="s">
        <v>112</v>
      </c>
      <c r="O59" s="125" t="s">
        <v>112</v>
      </c>
      <c r="P59" s="125" t="s">
        <v>112</v>
      </c>
      <c r="Q59" s="125" t="s">
        <v>112</v>
      </c>
      <c r="R59" s="191" t="s">
        <v>115</v>
      </c>
    </row>
    <row r="60" spans="1:18" s="90" customFormat="1" ht="10.199999999999999">
      <c r="A60" s="101" t="s">
        <v>3</v>
      </c>
      <c r="B60" s="70"/>
      <c r="C60" s="102" t="s">
        <v>158</v>
      </c>
      <c r="D60" s="190" t="s">
        <v>23</v>
      </c>
      <c r="E60" s="125" t="s">
        <v>23</v>
      </c>
      <c r="F60" s="125" t="s">
        <v>23</v>
      </c>
      <c r="G60" s="125" t="s">
        <v>23</v>
      </c>
      <c r="H60" s="125" t="s">
        <v>23</v>
      </c>
      <c r="I60" s="125" t="s">
        <v>23</v>
      </c>
      <c r="J60" s="191" t="s">
        <v>23</v>
      </c>
      <c r="K60" s="190" t="s">
        <v>23</v>
      </c>
      <c r="L60" s="125" t="s">
        <v>23</v>
      </c>
      <c r="M60" s="125" t="s">
        <v>23</v>
      </c>
      <c r="N60" s="125" t="s">
        <v>23</v>
      </c>
      <c r="O60" s="125" t="s">
        <v>23</v>
      </c>
      <c r="P60" s="125" t="s">
        <v>23</v>
      </c>
      <c r="Q60" s="125" t="s">
        <v>23</v>
      </c>
      <c r="R60" s="191" t="s">
        <v>23</v>
      </c>
    </row>
    <row r="61" spans="1:18" s="90" customFormat="1" ht="12" customHeight="1">
      <c r="A61" s="101" t="s">
        <v>3</v>
      </c>
      <c r="B61" s="70"/>
      <c r="C61" s="102" t="s">
        <v>159</v>
      </c>
      <c r="D61" s="190" t="s">
        <v>115</v>
      </c>
      <c r="E61" s="125" t="s">
        <v>115</v>
      </c>
      <c r="F61" s="125" t="s">
        <v>115</v>
      </c>
      <c r="G61" s="125" t="s">
        <v>115</v>
      </c>
      <c r="H61" s="125" t="s">
        <v>115</v>
      </c>
      <c r="I61" s="125" t="s">
        <v>202</v>
      </c>
      <c r="J61" s="191" t="s">
        <v>115</v>
      </c>
      <c r="K61" s="190" t="s">
        <v>112</v>
      </c>
      <c r="L61" s="125" t="s">
        <v>112</v>
      </c>
      <c r="M61" s="125" t="s">
        <v>115</v>
      </c>
      <c r="N61" s="125" t="s">
        <v>112</v>
      </c>
      <c r="O61" s="125" t="s">
        <v>112</v>
      </c>
      <c r="P61" s="125" t="s">
        <v>112</v>
      </c>
      <c r="Q61" s="125" t="s">
        <v>112</v>
      </c>
      <c r="R61" s="191" t="s">
        <v>115</v>
      </c>
    </row>
    <row r="62" spans="1:18" s="90" customFormat="1" ht="12" customHeight="1">
      <c r="A62" s="101" t="s">
        <v>3</v>
      </c>
      <c r="B62" s="70"/>
      <c r="C62" s="102" t="s">
        <v>160</v>
      </c>
      <c r="D62" s="190" t="s">
        <v>115</v>
      </c>
      <c r="E62" s="125" t="s">
        <v>115</v>
      </c>
      <c r="F62" s="125" t="s">
        <v>115</v>
      </c>
      <c r="G62" s="125" t="s">
        <v>115</v>
      </c>
      <c r="H62" s="125" t="s">
        <v>115</v>
      </c>
      <c r="I62" s="125" t="s">
        <v>124</v>
      </c>
      <c r="J62" s="191" t="s">
        <v>115</v>
      </c>
      <c r="K62" s="190" t="s">
        <v>112</v>
      </c>
      <c r="L62" s="125" t="s">
        <v>112</v>
      </c>
      <c r="M62" s="125" t="s">
        <v>115</v>
      </c>
      <c r="N62" s="125" t="s">
        <v>112</v>
      </c>
      <c r="O62" s="125" t="s">
        <v>112</v>
      </c>
      <c r="P62" s="125" t="s">
        <v>112</v>
      </c>
      <c r="Q62" s="125" t="s">
        <v>112</v>
      </c>
      <c r="R62" s="191" t="s">
        <v>115</v>
      </c>
    </row>
    <row r="63" spans="1:18" s="90" customFormat="1" ht="12" customHeight="1">
      <c r="A63" s="112" t="s">
        <v>4</v>
      </c>
      <c r="B63" s="73"/>
      <c r="C63" s="102" t="s">
        <v>79</v>
      </c>
      <c r="D63" s="187" t="s">
        <v>115</v>
      </c>
      <c r="E63" s="188" t="s">
        <v>115</v>
      </c>
      <c r="F63" s="188" t="s">
        <v>115</v>
      </c>
      <c r="G63" s="188" t="s">
        <v>115</v>
      </c>
      <c r="H63" s="188" t="s">
        <v>115</v>
      </c>
      <c r="I63" s="188" t="s">
        <v>115</v>
      </c>
      <c r="J63" s="189" t="s">
        <v>115</v>
      </c>
      <c r="K63" s="187" t="s">
        <v>115</v>
      </c>
      <c r="L63" s="188" t="s">
        <v>112</v>
      </c>
      <c r="M63" s="188" t="s">
        <v>115</v>
      </c>
      <c r="N63" s="188" t="s">
        <v>112</v>
      </c>
      <c r="O63" s="188" t="s">
        <v>112</v>
      </c>
      <c r="P63" s="188" t="s">
        <v>124</v>
      </c>
      <c r="Q63" s="188" t="s">
        <v>112</v>
      </c>
      <c r="R63" s="189" t="s">
        <v>162</v>
      </c>
    </row>
    <row r="64" spans="1:18" s="90" customFormat="1" ht="12" customHeight="1">
      <c r="A64" s="112" t="s">
        <v>4</v>
      </c>
      <c r="B64" s="73"/>
      <c r="C64" s="102" t="s">
        <v>56</v>
      </c>
      <c r="D64" s="187" t="s">
        <v>115</v>
      </c>
      <c r="E64" s="188" t="s">
        <v>115</v>
      </c>
      <c r="F64" s="188" t="s">
        <v>115</v>
      </c>
      <c r="G64" s="188" t="s">
        <v>115</v>
      </c>
      <c r="H64" s="188" t="s">
        <v>115</v>
      </c>
      <c r="I64" s="188" t="s">
        <v>115</v>
      </c>
      <c r="J64" s="189" t="s">
        <v>115</v>
      </c>
      <c r="K64" s="187" t="s">
        <v>115</v>
      </c>
      <c r="L64" s="188" t="s">
        <v>112</v>
      </c>
      <c r="M64" s="188" t="s">
        <v>115</v>
      </c>
      <c r="N64" s="188" t="s">
        <v>112</v>
      </c>
      <c r="O64" s="188" t="s">
        <v>112</v>
      </c>
      <c r="P64" s="188" t="s">
        <v>124</v>
      </c>
      <c r="Q64" s="188" t="s">
        <v>112</v>
      </c>
      <c r="R64" s="189" t="s">
        <v>162</v>
      </c>
    </row>
    <row r="65" spans="1:18" s="90" customFormat="1" ht="10.199999999999999">
      <c r="A65" s="112" t="s">
        <v>4</v>
      </c>
      <c r="B65" s="73"/>
      <c r="C65" s="111" t="s">
        <v>157</v>
      </c>
      <c r="D65" s="187" t="s">
        <v>115</v>
      </c>
      <c r="E65" s="188" t="s">
        <v>115</v>
      </c>
      <c r="F65" s="188" t="s">
        <v>115</v>
      </c>
      <c r="G65" s="188" t="s">
        <v>115</v>
      </c>
      <c r="H65" s="188" t="s">
        <v>115</v>
      </c>
      <c r="I65" s="188" t="s">
        <v>124</v>
      </c>
      <c r="J65" s="189" t="s">
        <v>112</v>
      </c>
      <c r="K65" s="187" t="s">
        <v>112</v>
      </c>
      <c r="L65" s="188" t="s">
        <v>162</v>
      </c>
      <c r="M65" s="188" t="s">
        <v>115</v>
      </c>
      <c r="N65" s="188" t="s">
        <v>112</v>
      </c>
      <c r="O65" s="188" t="s">
        <v>112</v>
      </c>
      <c r="P65" s="188" t="s">
        <v>112</v>
      </c>
      <c r="Q65" s="188" t="s">
        <v>112</v>
      </c>
      <c r="R65" s="189" t="s">
        <v>162</v>
      </c>
    </row>
    <row r="66" spans="1:18" s="90" customFormat="1" ht="10.199999999999999">
      <c r="A66" s="112" t="s">
        <v>4</v>
      </c>
      <c r="B66" s="73"/>
      <c r="C66" s="102" t="s">
        <v>158</v>
      </c>
      <c r="D66" s="187" t="s">
        <v>23</v>
      </c>
      <c r="E66" s="188" t="s">
        <v>23</v>
      </c>
      <c r="F66" s="188" t="s">
        <v>23</v>
      </c>
      <c r="G66" s="188" t="s">
        <v>23</v>
      </c>
      <c r="H66" s="188" t="s">
        <v>23</v>
      </c>
      <c r="I66" s="188" t="s">
        <v>23</v>
      </c>
      <c r="J66" s="189" t="s">
        <v>23</v>
      </c>
      <c r="K66" s="187" t="s">
        <v>23</v>
      </c>
      <c r="L66" s="188" t="s">
        <v>23</v>
      </c>
      <c r="M66" s="188" t="s">
        <v>23</v>
      </c>
      <c r="N66" s="188" t="s">
        <v>23</v>
      </c>
      <c r="O66" s="188" t="s">
        <v>23</v>
      </c>
      <c r="P66" s="188" t="s">
        <v>23</v>
      </c>
      <c r="Q66" s="188" t="s">
        <v>23</v>
      </c>
      <c r="R66" s="189" t="s">
        <v>23</v>
      </c>
    </row>
    <row r="67" spans="1:18" s="90" customFormat="1" ht="12" customHeight="1">
      <c r="A67" s="112" t="s">
        <v>4</v>
      </c>
      <c r="B67" s="73"/>
      <c r="C67" s="102" t="s">
        <v>159</v>
      </c>
      <c r="D67" s="187" t="s">
        <v>115</v>
      </c>
      <c r="E67" s="188" t="s">
        <v>115</v>
      </c>
      <c r="F67" s="188" t="s">
        <v>115</v>
      </c>
      <c r="G67" s="188" t="s">
        <v>115</v>
      </c>
      <c r="H67" s="188" t="s">
        <v>115</v>
      </c>
      <c r="I67" s="188" t="s">
        <v>124</v>
      </c>
      <c r="J67" s="189" t="s">
        <v>112</v>
      </c>
      <c r="K67" s="187" t="s">
        <v>112</v>
      </c>
      <c r="L67" s="188" t="s">
        <v>162</v>
      </c>
      <c r="M67" s="188" t="s">
        <v>115</v>
      </c>
      <c r="N67" s="188" t="s">
        <v>112</v>
      </c>
      <c r="O67" s="188" t="s">
        <v>112</v>
      </c>
      <c r="P67" s="188" t="s">
        <v>112</v>
      </c>
      <c r="Q67" s="188" t="s">
        <v>112</v>
      </c>
      <c r="R67" s="189" t="s">
        <v>162</v>
      </c>
    </row>
    <row r="68" spans="1:18" s="90" customFormat="1" ht="12" customHeight="1">
      <c r="A68" s="112" t="s">
        <v>4</v>
      </c>
      <c r="B68" s="73"/>
      <c r="C68" s="102" t="s">
        <v>160</v>
      </c>
      <c r="D68" s="187" t="s">
        <v>115</v>
      </c>
      <c r="E68" s="188" t="s">
        <v>115</v>
      </c>
      <c r="F68" s="188" t="s">
        <v>115</v>
      </c>
      <c r="G68" s="188" t="s">
        <v>115</v>
      </c>
      <c r="H68" s="188" t="s">
        <v>115</v>
      </c>
      <c r="I68" s="188" t="s">
        <v>124</v>
      </c>
      <c r="J68" s="189" t="s">
        <v>112</v>
      </c>
      <c r="K68" s="187" t="s">
        <v>112</v>
      </c>
      <c r="L68" s="188" t="s">
        <v>162</v>
      </c>
      <c r="M68" s="188" t="s">
        <v>115</v>
      </c>
      <c r="N68" s="188" t="s">
        <v>112</v>
      </c>
      <c r="O68" s="188" t="s">
        <v>112</v>
      </c>
      <c r="P68" s="188" t="s">
        <v>112</v>
      </c>
      <c r="Q68" s="188" t="s">
        <v>112</v>
      </c>
      <c r="R68" s="189" t="s">
        <v>162</v>
      </c>
    </row>
    <row r="69" spans="1:18" s="90" customFormat="1" ht="12" customHeight="1">
      <c r="A69" s="101" t="s">
        <v>5</v>
      </c>
      <c r="B69" s="70"/>
      <c r="C69" s="102" t="s">
        <v>79</v>
      </c>
      <c r="D69" s="190" t="s">
        <v>0</v>
      </c>
      <c r="E69" s="125" t="s">
        <v>0</v>
      </c>
      <c r="F69" s="125" t="s">
        <v>0</v>
      </c>
      <c r="G69" s="125" t="s">
        <v>0</v>
      </c>
      <c r="H69" s="125" t="s">
        <v>0</v>
      </c>
      <c r="I69" s="125" t="s">
        <v>0</v>
      </c>
      <c r="J69" s="191" t="s">
        <v>0</v>
      </c>
      <c r="K69" s="190" t="s">
        <v>0</v>
      </c>
      <c r="L69" s="125" t="s">
        <v>0</v>
      </c>
      <c r="M69" s="125" t="s">
        <v>0</v>
      </c>
      <c r="N69" s="125" t="s">
        <v>0</v>
      </c>
      <c r="O69" s="125" t="s">
        <v>0</v>
      </c>
      <c r="P69" s="125" t="s">
        <v>0</v>
      </c>
      <c r="Q69" s="125" t="s">
        <v>0</v>
      </c>
      <c r="R69" s="191" t="s">
        <v>0</v>
      </c>
    </row>
    <row r="70" spans="1:18" s="90" customFormat="1" ht="12" customHeight="1">
      <c r="A70" s="101" t="s">
        <v>5</v>
      </c>
      <c r="B70" s="70"/>
      <c r="C70" s="102" t="s">
        <v>56</v>
      </c>
      <c r="D70" s="190" t="s">
        <v>115</v>
      </c>
      <c r="E70" s="125" t="s">
        <v>115</v>
      </c>
      <c r="F70" s="125" t="s">
        <v>115</v>
      </c>
      <c r="G70" s="125" t="s">
        <v>202</v>
      </c>
      <c r="H70" s="125" t="s">
        <v>115</v>
      </c>
      <c r="I70" s="125" t="s">
        <v>202</v>
      </c>
      <c r="J70" s="191" t="s">
        <v>112</v>
      </c>
      <c r="K70" s="190" t="s">
        <v>112</v>
      </c>
      <c r="L70" s="125" t="s">
        <v>112</v>
      </c>
      <c r="M70" s="125" t="s">
        <v>112</v>
      </c>
      <c r="N70" s="125" t="s">
        <v>112</v>
      </c>
      <c r="O70" s="125" t="s">
        <v>112</v>
      </c>
      <c r="P70" s="125" t="s">
        <v>112</v>
      </c>
      <c r="Q70" s="125" t="s">
        <v>112</v>
      </c>
      <c r="R70" s="191" t="s">
        <v>202</v>
      </c>
    </row>
    <row r="71" spans="1:18" s="90" customFormat="1" ht="10.199999999999999">
      <c r="A71" s="101" t="s">
        <v>5</v>
      </c>
      <c r="B71" s="70"/>
      <c r="C71" s="103" t="s">
        <v>157</v>
      </c>
      <c r="D71" s="190" t="s">
        <v>115</v>
      </c>
      <c r="E71" s="125" t="s">
        <v>115</v>
      </c>
      <c r="F71" s="125" t="s">
        <v>115</v>
      </c>
      <c r="G71" s="125" t="s">
        <v>202</v>
      </c>
      <c r="H71" s="125" t="s">
        <v>115</v>
      </c>
      <c r="I71" s="125" t="s">
        <v>202</v>
      </c>
      <c r="J71" s="191" t="s">
        <v>112</v>
      </c>
      <c r="K71" s="190" t="s">
        <v>112</v>
      </c>
      <c r="L71" s="125" t="s">
        <v>112</v>
      </c>
      <c r="M71" s="125" t="s">
        <v>112</v>
      </c>
      <c r="N71" s="125" t="s">
        <v>112</v>
      </c>
      <c r="O71" s="125" t="s">
        <v>112</v>
      </c>
      <c r="P71" s="125" t="s">
        <v>112</v>
      </c>
      <c r="Q71" s="125" t="s">
        <v>112</v>
      </c>
      <c r="R71" s="191" t="s">
        <v>202</v>
      </c>
    </row>
    <row r="72" spans="1:18" s="90" customFormat="1" ht="10.199999999999999">
      <c r="A72" s="101" t="s">
        <v>5</v>
      </c>
      <c r="B72" s="70"/>
      <c r="C72" s="102" t="s">
        <v>158</v>
      </c>
      <c r="D72" s="190" t="s">
        <v>23</v>
      </c>
      <c r="E72" s="125" t="s">
        <v>23</v>
      </c>
      <c r="F72" s="125" t="s">
        <v>23</v>
      </c>
      <c r="G72" s="125" t="s">
        <v>23</v>
      </c>
      <c r="H72" s="125" t="s">
        <v>23</v>
      </c>
      <c r="I72" s="125" t="s">
        <v>23</v>
      </c>
      <c r="J72" s="191" t="s">
        <v>23</v>
      </c>
      <c r="K72" s="190" t="s">
        <v>23</v>
      </c>
      <c r="L72" s="125" t="s">
        <v>23</v>
      </c>
      <c r="M72" s="125" t="s">
        <v>23</v>
      </c>
      <c r="N72" s="125" t="s">
        <v>23</v>
      </c>
      <c r="O72" s="125" t="s">
        <v>23</v>
      </c>
      <c r="P72" s="125" t="s">
        <v>23</v>
      </c>
      <c r="Q72" s="125" t="s">
        <v>23</v>
      </c>
      <c r="R72" s="191" t="s">
        <v>23</v>
      </c>
    </row>
    <row r="73" spans="1:18" s="90" customFormat="1" ht="12" customHeight="1">
      <c r="A73" s="101" t="s">
        <v>5</v>
      </c>
      <c r="B73" s="70"/>
      <c r="C73" s="102" t="s">
        <v>159</v>
      </c>
      <c r="D73" s="190" t="s">
        <v>115</v>
      </c>
      <c r="E73" s="125" t="s">
        <v>115</v>
      </c>
      <c r="F73" s="125" t="s">
        <v>115</v>
      </c>
      <c r="G73" s="125" t="s">
        <v>202</v>
      </c>
      <c r="H73" s="125" t="s">
        <v>115</v>
      </c>
      <c r="I73" s="125" t="s">
        <v>202</v>
      </c>
      <c r="J73" s="191" t="s">
        <v>112</v>
      </c>
      <c r="K73" s="190" t="s">
        <v>112</v>
      </c>
      <c r="L73" s="125" t="s">
        <v>112</v>
      </c>
      <c r="M73" s="125" t="s">
        <v>112</v>
      </c>
      <c r="N73" s="125" t="s">
        <v>112</v>
      </c>
      <c r="O73" s="125" t="s">
        <v>112</v>
      </c>
      <c r="P73" s="125" t="s">
        <v>112</v>
      </c>
      <c r="Q73" s="125" t="s">
        <v>112</v>
      </c>
      <c r="R73" s="191" t="s">
        <v>202</v>
      </c>
    </row>
    <row r="74" spans="1:18" s="90" customFormat="1" ht="12" customHeight="1">
      <c r="A74" s="101" t="s">
        <v>5</v>
      </c>
      <c r="B74" s="70"/>
      <c r="C74" s="102" t="s">
        <v>160</v>
      </c>
      <c r="D74" s="190" t="s">
        <v>115</v>
      </c>
      <c r="E74" s="125" t="s">
        <v>115</v>
      </c>
      <c r="F74" s="125" t="s">
        <v>115</v>
      </c>
      <c r="G74" s="125" t="s">
        <v>202</v>
      </c>
      <c r="H74" s="125" t="s">
        <v>115</v>
      </c>
      <c r="I74" s="125" t="s">
        <v>202</v>
      </c>
      <c r="J74" s="191" t="s">
        <v>112</v>
      </c>
      <c r="K74" s="190" t="s">
        <v>112</v>
      </c>
      <c r="L74" s="125" t="s">
        <v>112</v>
      </c>
      <c r="M74" s="125" t="s">
        <v>112</v>
      </c>
      <c r="N74" s="125" t="s">
        <v>112</v>
      </c>
      <c r="O74" s="125" t="s">
        <v>112</v>
      </c>
      <c r="P74" s="125" t="s">
        <v>112</v>
      </c>
      <c r="Q74" s="125" t="s">
        <v>112</v>
      </c>
      <c r="R74" s="191" t="s">
        <v>202</v>
      </c>
    </row>
    <row r="75" spans="1:18" s="90" customFormat="1" ht="12" customHeight="1">
      <c r="A75" s="112" t="s">
        <v>6</v>
      </c>
      <c r="B75" s="73"/>
      <c r="C75" s="102" t="s">
        <v>79</v>
      </c>
      <c r="D75" s="187" t="s">
        <v>115</v>
      </c>
      <c r="E75" s="188" t="s">
        <v>115</v>
      </c>
      <c r="F75" s="188" t="s">
        <v>115</v>
      </c>
      <c r="G75" s="188" t="s">
        <v>115</v>
      </c>
      <c r="H75" s="188" t="s">
        <v>115</v>
      </c>
      <c r="I75" s="188" t="s">
        <v>115</v>
      </c>
      <c r="J75" s="189" t="s">
        <v>115</v>
      </c>
      <c r="K75" s="187" t="s">
        <v>124</v>
      </c>
      <c r="L75" s="188" t="s">
        <v>112</v>
      </c>
      <c r="M75" s="188" t="s">
        <v>115</v>
      </c>
      <c r="N75" s="188" t="s">
        <v>112</v>
      </c>
      <c r="O75" s="188" t="s">
        <v>112</v>
      </c>
      <c r="P75" s="188" t="s">
        <v>115</v>
      </c>
      <c r="Q75" s="188" t="s">
        <v>115</v>
      </c>
      <c r="R75" s="189" t="s">
        <v>115</v>
      </c>
    </row>
    <row r="76" spans="1:18" s="90" customFormat="1" ht="12" customHeight="1">
      <c r="A76" s="112" t="s">
        <v>6</v>
      </c>
      <c r="B76" s="73"/>
      <c r="C76" s="102" t="s">
        <v>56</v>
      </c>
      <c r="D76" s="187" t="s">
        <v>115</v>
      </c>
      <c r="E76" s="188" t="s">
        <v>115</v>
      </c>
      <c r="F76" s="188" t="s">
        <v>115</v>
      </c>
      <c r="G76" s="188" t="s">
        <v>115</v>
      </c>
      <c r="H76" s="188" t="s">
        <v>115</v>
      </c>
      <c r="I76" s="188" t="s">
        <v>115</v>
      </c>
      <c r="J76" s="189" t="s">
        <v>115</v>
      </c>
      <c r="K76" s="187" t="s">
        <v>124</v>
      </c>
      <c r="L76" s="188" t="s">
        <v>112</v>
      </c>
      <c r="M76" s="188" t="s">
        <v>115</v>
      </c>
      <c r="N76" s="188" t="s">
        <v>112</v>
      </c>
      <c r="O76" s="188" t="s">
        <v>112</v>
      </c>
      <c r="P76" s="188" t="s">
        <v>115</v>
      </c>
      <c r="Q76" s="188" t="s">
        <v>115</v>
      </c>
      <c r="R76" s="189" t="s">
        <v>115</v>
      </c>
    </row>
    <row r="77" spans="1:18" s="90" customFormat="1" ht="10.199999999999999">
      <c r="A77" s="112" t="s">
        <v>6</v>
      </c>
      <c r="B77" s="73"/>
      <c r="C77" s="111" t="s">
        <v>157</v>
      </c>
      <c r="D77" s="187" t="s">
        <v>115</v>
      </c>
      <c r="E77" s="188" t="s">
        <v>115</v>
      </c>
      <c r="F77" s="188" t="s">
        <v>115</v>
      </c>
      <c r="G77" s="188" t="s">
        <v>115</v>
      </c>
      <c r="H77" s="188" t="s">
        <v>115</v>
      </c>
      <c r="I77" s="188" t="s">
        <v>115</v>
      </c>
      <c r="J77" s="189" t="s">
        <v>115</v>
      </c>
      <c r="K77" s="187" t="s">
        <v>124</v>
      </c>
      <c r="L77" s="188" t="s">
        <v>112</v>
      </c>
      <c r="M77" s="188" t="s">
        <v>115</v>
      </c>
      <c r="N77" s="188" t="s">
        <v>112</v>
      </c>
      <c r="O77" s="188" t="s">
        <v>112</v>
      </c>
      <c r="P77" s="188" t="s">
        <v>115</v>
      </c>
      <c r="Q77" s="188" t="s">
        <v>115</v>
      </c>
      <c r="R77" s="189" t="s">
        <v>115</v>
      </c>
    </row>
    <row r="78" spans="1:18" s="90" customFormat="1" ht="10.199999999999999">
      <c r="A78" s="112" t="s">
        <v>6</v>
      </c>
      <c r="B78" s="73"/>
      <c r="C78" s="102" t="s">
        <v>158</v>
      </c>
      <c r="D78" s="187" t="s">
        <v>23</v>
      </c>
      <c r="E78" s="188" t="s">
        <v>23</v>
      </c>
      <c r="F78" s="188" t="s">
        <v>23</v>
      </c>
      <c r="G78" s="188" t="s">
        <v>23</v>
      </c>
      <c r="H78" s="188" t="s">
        <v>23</v>
      </c>
      <c r="I78" s="188" t="s">
        <v>23</v>
      </c>
      <c r="J78" s="189" t="s">
        <v>23</v>
      </c>
      <c r="K78" s="187" t="s">
        <v>23</v>
      </c>
      <c r="L78" s="188" t="s">
        <v>23</v>
      </c>
      <c r="M78" s="188" t="s">
        <v>23</v>
      </c>
      <c r="N78" s="188" t="s">
        <v>23</v>
      </c>
      <c r="O78" s="188" t="s">
        <v>23</v>
      </c>
      <c r="P78" s="188" t="s">
        <v>23</v>
      </c>
      <c r="Q78" s="188" t="s">
        <v>23</v>
      </c>
      <c r="R78" s="189" t="s">
        <v>23</v>
      </c>
    </row>
    <row r="79" spans="1:18" s="90" customFormat="1" ht="12" customHeight="1">
      <c r="A79" s="112" t="s">
        <v>6</v>
      </c>
      <c r="B79" s="73"/>
      <c r="C79" s="102" t="s">
        <v>159</v>
      </c>
      <c r="D79" s="187" t="s">
        <v>115</v>
      </c>
      <c r="E79" s="188" t="s">
        <v>115</v>
      </c>
      <c r="F79" s="188" t="s">
        <v>115</v>
      </c>
      <c r="G79" s="188" t="s">
        <v>115</v>
      </c>
      <c r="H79" s="188" t="s">
        <v>115</v>
      </c>
      <c r="I79" s="188" t="s">
        <v>115</v>
      </c>
      <c r="J79" s="189" t="s">
        <v>115</v>
      </c>
      <c r="K79" s="187" t="s">
        <v>202</v>
      </c>
      <c r="L79" s="188" t="s">
        <v>112</v>
      </c>
      <c r="M79" s="188" t="s">
        <v>115</v>
      </c>
      <c r="N79" s="188" t="s">
        <v>112</v>
      </c>
      <c r="O79" s="188" t="s">
        <v>112</v>
      </c>
      <c r="P79" s="188" t="s">
        <v>115</v>
      </c>
      <c r="Q79" s="188" t="s">
        <v>115</v>
      </c>
      <c r="R79" s="189" t="s">
        <v>115</v>
      </c>
    </row>
    <row r="80" spans="1:18" s="90" customFormat="1" ht="12" customHeight="1">
      <c r="A80" s="112" t="s">
        <v>6</v>
      </c>
      <c r="B80" s="73"/>
      <c r="C80" s="102" t="s">
        <v>160</v>
      </c>
      <c r="D80" s="187" t="s">
        <v>115</v>
      </c>
      <c r="E80" s="188" t="s">
        <v>115</v>
      </c>
      <c r="F80" s="188" t="s">
        <v>115</v>
      </c>
      <c r="G80" s="188" t="s">
        <v>115</v>
      </c>
      <c r="H80" s="188" t="s">
        <v>115</v>
      </c>
      <c r="I80" s="188" t="s">
        <v>115</v>
      </c>
      <c r="J80" s="189" t="s">
        <v>115</v>
      </c>
      <c r="K80" s="187" t="s">
        <v>202</v>
      </c>
      <c r="L80" s="188" t="s">
        <v>112</v>
      </c>
      <c r="M80" s="188" t="s">
        <v>115</v>
      </c>
      <c r="N80" s="188" t="s">
        <v>112</v>
      </c>
      <c r="O80" s="188" t="s">
        <v>112</v>
      </c>
      <c r="P80" s="188" t="s">
        <v>115</v>
      </c>
      <c r="Q80" s="188" t="s">
        <v>115</v>
      </c>
      <c r="R80" s="189" t="s">
        <v>115</v>
      </c>
    </row>
    <row r="81" spans="1:18" s="90" customFormat="1" ht="12" customHeight="1">
      <c r="A81" s="101" t="s">
        <v>17</v>
      </c>
      <c r="B81" s="70"/>
      <c r="C81" s="102" t="s">
        <v>79</v>
      </c>
      <c r="D81" s="190" t="s">
        <v>115</v>
      </c>
      <c r="E81" s="125" t="s">
        <v>115</v>
      </c>
      <c r="F81" s="125" t="s">
        <v>115</v>
      </c>
      <c r="G81" s="125" t="s">
        <v>115</v>
      </c>
      <c r="H81" s="125" t="s">
        <v>115</v>
      </c>
      <c r="I81" s="125" t="s">
        <v>115</v>
      </c>
      <c r="J81" s="191" t="s">
        <v>115</v>
      </c>
      <c r="K81" s="190" t="s">
        <v>112</v>
      </c>
      <c r="L81" s="125" t="s">
        <v>112</v>
      </c>
      <c r="M81" s="125" t="s">
        <v>124</v>
      </c>
      <c r="N81" s="125" t="s">
        <v>115</v>
      </c>
      <c r="O81" s="125" t="s">
        <v>124</v>
      </c>
      <c r="P81" s="125" t="s">
        <v>124</v>
      </c>
      <c r="Q81" s="125" t="s">
        <v>112</v>
      </c>
      <c r="R81" s="191" t="s">
        <v>115</v>
      </c>
    </row>
    <row r="82" spans="1:18" s="90" customFormat="1" ht="12" customHeight="1">
      <c r="A82" s="101" t="s">
        <v>17</v>
      </c>
      <c r="B82" s="70"/>
      <c r="C82" s="102" t="s">
        <v>56</v>
      </c>
      <c r="D82" s="190" t="s">
        <v>115</v>
      </c>
      <c r="E82" s="125" t="s">
        <v>115</v>
      </c>
      <c r="F82" s="125" t="s">
        <v>115</v>
      </c>
      <c r="G82" s="125" t="s">
        <v>115</v>
      </c>
      <c r="H82" s="125" t="s">
        <v>115</v>
      </c>
      <c r="I82" s="125" t="s">
        <v>115</v>
      </c>
      <c r="J82" s="191" t="s">
        <v>115</v>
      </c>
      <c r="K82" s="190" t="s">
        <v>112</v>
      </c>
      <c r="L82" s="125" t="s">
        <v>112</v>
      </c>
      <c r="M82" s="125" t="s">
        <v>115</v>
      </c>
      <c r="N82" s="125" t="s">
        <v>115</v>
      </c>
      <c r="O82" s="125" t="s">
        <v>124</v>
      </c>
      <c r="P82" s="125" t="s">
        <v>124</v>
      </c>
      <c r="Q82" s="125" t="s">
        <v>112</v>
      </c>
      <c r="R82" s="191" t="s">
        <v>115</v>
      </c>
    </row>
    <row r="83" spans="1:18" s="90" customFormat="1" ht="10.199999999999999">
      <c r="A83" s="101" t="s">
        <v>17</v>
      </c>
      <c r="B83" s="70"/>
      <c r="C83" s="103" t="s">
        <v>157</v>
      </c>
      <c r="D83" s="190" t="s">
        <v>115</v>
      </c>
      <c r="E83" s="125" t="s">
        <v>115</v>
      </c>
      <c r="F83" s="125" t="s">
        <v>115</v>
      </c>
      <c r="G83" s="125" t="s">
        <v>115</v>
      </c>
      <c r="H83" s="125" t="s">
        <v>115</v>
      </c>
      <c r="I83" s="125" t="s">
        <v>115</v>
      </c>
      <c r="J83" s="191" t="s">
        <v>115</v>
      </c>
      <c r="K83" s="190" t="s">
        <v>112</v>
      </c>
      <c r="L83" s="125" t="s">
        <v>112</v>
      </c>
      <c r="M83" s="125" t="s">
        <v>115</v>
      </c>
      <c r="N83" s="125" t="s">
        <v>115</v>
      </c>
      <c r="O83" s="125" t="s">
        <v>124</v>
      </c>
      <c r="P83" s="125" t="s">
        <v>124</v>
      </c>
      <c r="Q83" s="125" t="s">
        <v>112</v>
      </c>
      <c r="R83" s="191" t="s">
        <v>115</v>
      </c>
    </row>
    <row r="84" spans="1:18" s="90" customFormat="1" ht="10.199999999999999">
      <c r="A84" s="101" t="s">
        <v>17</v>
      </c>
      <c r="B84" s="70"/>
      <c r="C84" s="102" t="s">
        <v>158</v>
      </c>
      <c r="D84" s="190" t="s">
        <v>115</v>
      </c>
      <c r="E84" s="125" t="s">
        <v>115</v>
      </c>
      <c r="F84" s="125" t="s">
        <v>115</v>
      </c>
      <c r="G84" s="125" t="s">
        <v>115</v>
      </c>
      <c r="H84" s="125" t="s">
        <v>115</v>
      </c>
      <c r="I84" s="125" t="s">
        <v>115</v>
      </c>
      <c r="J84" s="191" t="s">
        <v>115</v>
      </c>
      <c r="K84" s="190" t="s">
        <v>112</v>
      </c>
      <c r="L84" s="125" t="s">
        <v>112</v>
      </c>
      <c r="M84" s="125" t="s">
        <v>115</v>
      </c>
      <c r="N84" s="125" t="s">
        <v>115</v>
      </c>
      <c r="O84" s="125" t="s">
        <v>124</v>
      </c>
      <c r="P84" s="125" t="s">
        <v>124</v>
      </c>
      <c r="Q84" s="125" t="s">
        <v>112</v>
      </c>
      <c r="R84" s="191" t="s">
        <v>115</v>
      </c>
    </row>
    <row r="85" spans="1:18" s="90" customFormat="1" ht="12" customHeight="1">
      <c r="A85" s="101" t="s">
        <v>17</v>
      </c>
      <c r="B85" s="70"/>
      <c r="C85" s="102" t="s">
        <v>159</v>
      </c>
      <c r="D85" s="190" t="s">
        <v>115</v>
      </c>
      <c r="E85" s="125" t="s">
        <v>115</v>
      </c>
      <c r="F85" s="125" t="s">
        <v>115</v>
      </c>
      <c r="G85" s="125" t="s">
        <v>115</v>
      </c>
      <c r="H85" s="125" t="s">
        <v>115</v>
      </c>
      <c r="I85" s="125" t="s">
        <v>115</v>
      </c>
      <c r="J85" s="191" t="s">
        <v>115</v>
      </c>
      <c r="K85" s="190" t="s">
        <v>112</v>
      </c>
      <c r="L85" s="125" t="s">
        <v>112</v>
      </c>
      <c r="M85" s="125" t="s">
        <v>115</v>
      </c>
      <c r="N85" s="125" t="s">
        <v>115</v>
      </c>
      <c r="O85" s="125" t="s">
        <v>124</v>
      </c>
      <c r="P85" s="125" t="s">
        <v>124</v>
      </c>
      <c r="Q85" s="125" t="s">
        <v>112</v>
      </c>
      <c r="R85" s="191" t="s">
        <v>115</v>
      </c>
    </row>
    <row r="86" spans="1:18" s="90" customFormat="1" ht="12" customHeight="1">
      <c r="A86" s="101" t="s">
        <v>17</v>
      </c>
      <c r="B86" s="70"/>
      <c r="C86" s="102" t="s">
        <v>160</v>
      </c>
      <c r="D86" s="190" t="s">
        <v>115</v>
      </c>
      <c r="E86" s="125" t="s">
        <v>115</v>
      </c>
      <c r="F86" s="125" t="s">
        <v>115</v>
      </c>
      <c r="G86" s="125" t="s">
        <v>115</v>
      </c>
      <c r="H86" s="125" t="s">
        <v>115</v>
      </c>
      <c r="I86" s="125" t="s">
        <v>115</v>
      </c>
      <c r="J86" s="191" t="s">
        <v>115</v>
      </c>
      <c r="K86" s="190" t="s">
        <v>112</v>
      </c>
      <c r="L86" s="125" t="s">
        <v>112</v>
      </c>
      <c r="M86" s="125" t="s">
        <v>115</v>
      </c>
      <c r="N86" s="125" t="s">
        <v>115</v>
      </c>
      <c r="O86" s="125" t="s">
        <v>124</v>
      </c>
      <c r="P86" s="125" t="s">
        <v>124</v>
      </c>
      <c r="Q86" s="125" t="s">
        <v>112</v>
      </c>
      <c r="R86" s="191" t="s">
        <v>115</v>
      </c>
    </row>
    <row r="87" spans="1:18" s="90" customFormat="1" ht="12" customHeight="1">
      <c r="A87" s="112" t="s">
        <v>20</v>
      </c>
      <c r="B87" s="73"/>
      <c r="C87" s="102" t="s">
        <v>79</v>
      </c>
      <c r="D87" s="187" t="s">
        <v>115</v>
      </c>
      <c r="E87" s="188" t="s">
        <v>115</v>
      </c>
      <c r="F87" s="188" t="s">
        <v>124</v>
      </c>
      <c r="G87" s="188" t="s">
        <v>202</v>
      </c>
      <c r="H87" s="188" t="s">
        <v>202</v>
      </c>
      <c r="I87" s="188" t="s">
        <v>202</v>
      </c>
      <c r="J87" s="189" t="s">
        <v>202</v>
      </c>
      <c r="K87" s="187" t="s">
        <v>112</v>
      </c>
      <c r="L87" s="188" t="s">
        <v>124</v>
      </c>
      <c r="M87" s="188" t="s">
        <v>124</v>
      </c>
      <c r="N87" s="188" t="s">
        <v>124</v>
      </c>
      <c r="O87" s="188" t="s">
        <v>112</v>
      </c>
      <c r="P87" s="188" t="s">
        <v>124</v>
      </c>
      <c r="Q87" s="188" t="s">
        <v>112</v>
      </c>
      <c r="R87" s="189" t="s">
        <v>112</v>
      </c>
    </row>
    <row r="88" spans="1:18" s="90" customFormat="1" ht="12" customHeight="1">
      <c r="A88" s="112" t="s">
        <v>20</v>
      </c>
      <c r="B88" s="73"/>
      <c r="C88" s="102" t="s">
        <v>56</v>
      </c>
      <c r="D88" s="187" t="s">
        <v>115</v>
      </c>
      <c r="E88" s="188" t="s">
        <v>115</v>
      </c>
      <c r="F88" s="188" t="s">
        <v>115</v>
      </c>
      <c r="G88" s="188" t="s">
        <v>202</v>
      </c>
      <c r="H88" s="188" t="s">
        <v>202</v>
      </c>
      <c r="I88" s="188" t="s">
        <v>112</v>
      </c>
      <c r="J88" s="189" t="s">
        <v>112</v>
      </c>
      <c r="K88" s="187" t="s">
        <v>112</v>
      </c>
      <c r="L88" s="188" t="s">
        <v>124</v>
      </c>
      <c r="M88" s="188" t="s">
        <v>112</v>
      </c>
      <c r="N88" s="188" t="s">
        <v>112</v>
      </c>
      <c r="O88" s="188" t="s">
        <v>112</v>
      </c>
      <c r="P88" s="188" t="s">
        <v>202</v>
      </c>
      <c r="Q88" s="188" t="s">
        <v>112</v>
      </c>
      <c r="R88" s="189" t="s">
        <v>115</v>
      </c>
    </row>
    <row r="89" spans="1:18" s="90" customFormat="1" ht="10.199999999999999">
      <c r="A89" s="112" t="s">
        <v>20</v>
      </c>
      <c r="B89" s="73"/>
      <c r="C89" s="111" t="s">
        <v>157</v>
      </c>
      <c r="D89" s="187" t="s">
        <v>115</v>
      </c>
      <c r="E89" s="188" t="s">
        <v>115</v>
      </c>
      <c r="F89" s="188" t="s">
        <v>115</v>
      </c>
      <c r="G89" s="188" t="s">
        <v>202</v>
      </c>
      <c r="H89" s="188" t="s">
        <v>202</v>
      </c>
      <c r="I89" s="188" t="s">
        <v>112</v>
      </c>
      <c r="J89" s="189" t="s">
        <v>112</v>
      </c>
      <c r="K89" s="187" t="s">
        <v>112</v>
      </c>
      <c r="L89" s="188" t="s">
        <v>124</v>
      </c>
      <c r="M89" s="188" t="s">
        <v>112</v>
      </c>
      <c r="N89" s="188" t="s">
        <v>112</v>
      </c>
      <c r="O89" s="188" t="s">
        <v>112</v>
      </c>
      <c r="P89" s="188" t="s">
        <v>202</v>
      </c>
      <c r="Q89" s="188" t="s">
        <v>112</v>
      </c>
      <c r="R89" s="189" t="s">
        <v>115</v>
      </c>
    </row>
    <row r="90" spans="1:18" s="90" customFormat="1" ht="10.199999999999999">
      <c r="A90" s="112" t="s">
        <v>20</v>
      </c>
      <c r="B90" s="73"/>
      <c r="C90" s="102" t="s">
        <v>158</v>
      </c>
      <c r="D90" s="187" t="s">
        <v>23</v>
      </c>
      <c r="E90" s="188" t="s">
        <v>23</v>
      </c>
      <c r="F90" s="188" t="s">
        <v>23</v>
      </c>
      <c r="G90" s="188" t="s">
        <v>23</v>
      </c>
      <c r="H90" s="188" t="s">
        <v>23</v>
      </c>
      <c r="I90" s="188" t="s">
        <v>23</v>
      </c>
      <c r="J90" s="189" t="s">
        <v>23</v>
      </c>
      <c r="K90" s="187" t="s">
        <v>23</v>
      </c>
      <c r="L90" s="188" t="s">
        <v>23</v>
      </c>
      <c r="M90" s="188" t="s">
        <v>23</v>
      </c>
      <c r="N90" s="188" t="s">
        <v>23</v>
      </c>
      <c r="O90" s="188" t="s">
        <v>23</v>
      </c>
      <c r="P90" s="188" t="s">
        <v>23</v>
      </c>
      <c r="Q90" s="188" t="s">
        <v>23</v>
      </c>
      <c r="R90" s="189" t="s">
        <v>23</v>
      </c>
    </row>
    <row r="91" spans="1:18" s="90" customFormat="1" ht="12" customHeight="1">
      <c r="A91" s="112" t="s">
        <v>20</v>
      </c>
      <c r="B91" s="73"/>
      <c r="C91" s="102" t="s">
        <v>159</v>
      </c>
      <c r="D91" s="187" t="s">
        <v>115</v>
      </c>
      <c r="E91" s="188" t="s">
        <v>115</v>
      </c>
      <c r="F91" s="188" t="s">
        <v>115</v>
      </c>
      <c r="G91" s="188" t="s">
        <v>202</v>
      </c>
      <c r="H91" s="188" t="s">
        <v>202</v>
      </c>
      <c r="I91" s="188" t="s">
        <v>124</v>
      </c>
      <c r="J91" s="189" t="s">
        <v>112</v>
      </c>
      <c r="K91" s="187" t="s">
        <v>112</v>
      </c>
      <c r="L91" s="188" t="s">
        <v>124</v>
      </c>
      <c r="M91" s="188" t="s">
        <v>112</v>
      </c>
      <c r="N91" s="188" t="s">
        <v>124</v>
      </c>
      <c r="O91" s="188" t="s">
        <v>124</v>
      </c>
      <c r="P91" s="188" t="s">
        <v>202</v>
      </c>
      <c r="Q91" s="188" t="s">
        <v>124</v>
      </c>
      <c r="R91" s="189" t="s">
        <v>112</v>
      </c>
    </row>
    <row r="92" spans="1:18" s="90" customFormat="1" ht="12" customHeight="1">
      <c r="A92" s="112" t="s">
        <v>20</v>
      </c>
      <c r="B92" s="73"/>
      <c r="C92" s="102" t="s">
        <v>160</v>
      </c>
      <c r="D92" s="187" t="s">
        <v>115</v>
      </c>
      <c r="E92" s="188" t="s">
        <v>115</v>
      </c>
      <c r="F92" s="188" t="s">
        <v>115</v>
      </c>
      <c r="G92" s="188" t="s">
        <v>202</v>
      </c>
      <c r="H92" s="188" t="s">
        <v>202</v>
      </c>
      <c r="I92" s="188" t="s">
        <v>124</v>
      </c>
      <c r="J92" s="189" t="s">
        <v>112</v>
      </c>
      <c r="K92" s="187" t="s">
        <v>112</v>
      </c>
      <c r="L92" s="188" t="s">
        <v>124</v>
      </c>
      <c r="M92" s="188" t="s">
        <v>112</v>
      </c>
      <c r="N92" s="188" t="s">
        <v>124</v>
      </c>
      <c r="O92" s="188" t="s">
        <v>124</v>
      </c>
      <c r="P92" s="188" t="s">
        <v>202</v>
      </c>
      <c r="Q92" s="188" t="s">
        <v>124</v>
      </c>
      <c r="R92" s="189" t="s">
        <v>112</v>
      </c>
    </row>
    <row r="93" spans="1:18" s="90" customFormat="1" ht="12" customHeight="1">
      <c r="A93" s="101" t="s">
        <v>7</v>
      </c>
      <c r="B93" s="70"/>
      <c r="C93" s="102" t="s">
        <v>79</v>
      </c>
      <c r="D93" s="190" t="s">
        <v>0</v>
      </c>
      <c r="E93" s="125" t="s">
        <v>0</v>
      </c>
      <c r="F93" s="125" t="s">
        <v>0</v>
      </c>
      <c r="G93" s="125" t="s">
        <v>0</v>
      </c>
      <c r="H93" s="125" t="s">
        <v>0</v>
      </c>
      <c r="I93" s="125" t="s">
        <v>0</v>
      </c>
      <c r="J93" s="191" t="s">
        <v>0</v>
      </c>
      <c r="K93" s="190" t="s">
        <v>0</v>
      </c>
      <c r="L93" s="125" t="s">
        <v>0</v>
      </c>
      <c r="M93" s="125" t="s">
        <v>0</v>
      </c>
      <c r="N93" s="125" t="s">
        <v>0</v>
      </c>
      <c r="O93" s="125" t="s">
        <v>0</v>
      </c>
      <c r="P93" s="125" t="s">
        <v>0</v>
      </c>
      <c r="Q93" s="125" t="s">
        <v>0</v>
      </c>
      <c r="R93" s="191" t="s">
        <v>0</v>
      </c>
    </row>
    <row r="94" spans="1:18" s="90" customFormat="1" ht="12" customHeight="1">
      <c r="A94" s="101" t="s">
        <v>7</v>
      </c>
      <c r="B94" s="70"/>
      <c r="C94" s="102" t="s">
        <v>56</v>
      </c>
      <c r="D94" s="190" t="s">
        <v>115</v>
      </c>
      <c r="E94" s="125" t="s">
        <v>115</v>
      </c>
      <c r="F94" s="125" t="s">
        <v>115</v>
      </c>
      <c r="G94" s="125" t="s">
        <v>115</v>
      </c>
      <c r="H94" s="125" t="s">
        <v>115</v>
      </c>
      <c r="I94" s="125" t="s">
        <v>115</v>
      </c>
      <c r="J94" s="191" t="s">
        <v>115</v>
      </c>
      <c r="K94" s="190" t="s">
        <v>202</v>
      </c>
      <c r="L94" s="125" t="s">
        <v>112</v>
      </c>
      <c r="M94" s="125" t="s">
        <v>124</v>
      </c>
      <c r="N94" s="125" t="s">
        <v>112</v>
      </c>
      <c r="O94" s="125" t="s">
        <v>112</v>
      </c>
      <c r="P94" s="125" t="s">
        <v>202</v>
      </c>
      <c r="Q94" s="125" t="s">
        <v>112</v>
      </c>
      <c r="R94" s="191" t="s">
        <v>115</v>
      </c>
    </row>
    <row r="95" spans="1:18" s="90" customFormat="1" ht="10.199999999999999">
      <c r="A95" s="101" t="s">
        <v>7</v>
      </c>
      <c r="B95" s="70"/>
      <c r="C95" s="103" t="s">
        <v>157</v>
      </c>
      <c r="D95" s="190" t="s">
        <v>115</v>
      </c>
      <c r="E95" s="125" t="s">
        <v>115</v>
      </c>
      <c r="F95" s="125" t="s">
        <v>115</v>
      </c>
      <c r="G95" s="125" t="s">
        <v>115</v>
      </c>
      <c r="H95" s="125" t="s">
        <v>115</v>
      </c>
      <c r="I95" s="125" t="s">
        <v>115</v>
      </c>
      <c r="J95" s="191" t="s">
        <v>115</v>
      </c>
      <c r="K95" s="190" t="s">
        <v>202</v>
      </c>
      <c r="L95" s="125" t="s">
        <v>112</v>
      </c>
      <c r="M95" s="125" t="s">
        <v>124</v>
      </c>
      <c r="N95" s="125" t="s">
        <v>112</v>
      </c>
      <c r="O95" s="125" t="s">
        <v>112</v>
      </c>
      <c r="P95" s="125" t="s">
        <v>202</v>
      </c>
      <c r="Q95" s="125" t="s">
        <v>112</v>
      </c>
      <c r="R95" s="191" t="s">
        <v>115</v>
      </c>
    </row>
    <row r="96" spans="1:18" s="90" customFormat="1" ht="10.199999999999999">
      <c r="A96" s="101" t="s">
        <v>7</v>
      </c>
      <c r="B96" s="70"/>
      <c r="C96" s="102" t="s">
        <v>158</v>
      </c>
      <c r="D96" s="190" t="s">
        <v>23</v>
      </c>
      <c r="E96" s="125" t="s">
        <v>23</v>
      </c>
      <c r="F96" s="125" t="s">
        <v>23</v>
      </c>
      <c r="G96" s="125" t="s">
        <v>23</v>
      </c>
      <c r="H96" s="125" t="s">
        <v>23</v>
      </c>
      <c r="I96" s="125" t="s">
        <v>23</v>
      </c>
      <c r="J96" s="191" t="s">
        <v>23</v>
      </c>
      <c r="K96" s="190" t="s">
        <v>23</v>
      </c>
      <c r="L96" s="125" t="s">
        <v>23</v>
      </c>
      <c r="M96" s="125" t="s">
        <v>23</v>
      </c>
      <c r="N96" s="125" t="s">
        <v>23</v>
      </c>
      <c r="O96" s="125" t="s">
        <v>23</v>
      </c>
      <c r="P96" s="125" t="s">
        <v>23</v>
      </c>
      <c r="Q96" s="125" t="s">
        <v>23</v>
      </c>
      <c r="R96" s="191" t="s">
        <v>23</v>
      </c>
    </row>
    <row r="97" spans="1:18" s="90" customFormat="1" ht="12" customHeight="1">
      <c r="A97" s="101" t="s">
        <v>7</v>
      </c>
      <c r="B97" s="70"/>
      <c r="C97" s="102" t="s">
        <v>159</v>
      </c>
      <c r="D97" s="190" t="s">
        <v>115</v>
      </c>
      <c r="E97" s="125" t="s">
        <v>115</v>
      </c>
      <c r="F97" s="125" t="s">
        <v>115</v>
      </c>
      <c r="G97" s="125" t="s">
        <v>115</v>
      </c>
      <c r="H97" s="125" t="s">
        <v>115</v>
      </c>
      <c r="I97" s="125" t="s">
        <v>115</v>
      </c>
      <c r="J97" s="191" t="s">
        <v>115</v>
      </c>
      <c r="K97" s="190" t="s">
        <v>202</v>
      </c>
      <c r="L97" s="125" t="s">
        <v>112</v>
      </c>
      <c r="M97" s="125" t="s">
        <v>124</v>
      </c>
      <c r="N97" s="125" t="s">
        <v>112</v>
      </c>
      <c r="O97" s="125" t="s">
        <v>112</v>
      </c>
      <c r="P97" s="125" t="s">
        <v>202</v>
      </c>
      <c r="Q97" s="125" t="s">
        <v>112</v>
      </c>
      <c r="R97" s="191" t="s">
        <v>115</v>
      </c>
    </row>
    <row r="98" spans="1:18" s="90" customFormat="1" ht="12" customHeight="1">
      <c r="A98" s="101" t="s">
        <v>7</v>
      </c>
      <c r="B98" s="70"/>
      <c r="C98" s="102" t="s">
        <v>160</v>
      </c>
      <c r="D98" s="190" t="s">
        <v>0</v>
      </c>
      <c r="E98" s="125" t="s">
        <v>0</v>
      </c>
      <c r="F98" s="125" t="s">
        <v>0</v>
      </c>
      <c r="G98" s="125" t="s">
        <v>0</v>
      </c>
      <c r="H98" s="125" t="s">
        <v>0</v>
      </c>
      <c r="I98" s="125" t="s">
        <v>0</v>
      </c>
      <c r="J98" s="191" t="s">
        <v>0</v>
      </c>
      <c r="K98" s="190" t="s">
        <v>0</v>
      </c>
      <c r="L98" s="125" t="s">
        <v>0</v>
      </c>
      <c r="M98" s="125" t="s">
        <v>0</v>
      </c>
      <c r="N98" s="125" t="s">
        <v>0</v>
      </c>
      <c r="O98" s="125" t="s">
        <v>0</v>
      </c>
      <c r="P98" s="125" t="s">
        <v>0</v>
      </c>
      <c r="Q98" s="125" t="s">
        <v>0</v>
      </c>
      <c r="R98" s="191" t="s">
        <v>0</v>
      </c>
    </row>
    <row r="99" spans="1:18" s="90" customFormat="1" ht="12" customHeight="1">
      <c r="A99" s="112" t="s">
        <v>32</v>
      </c>
      <c r="B99" s="73"/>
      <c r="C99" s="102" t="s">
        <v>79</v>
      </c>
      <c r="D99" s="187" t="s">
        <v>115</v>
      </c>
      <c r="E99" s="188" t="s">
        <v>115</v>
      </c>
      <c r="F99" s="188" t="s">
        <v>115</v>
      </c>
      <c r="G99" s="188" t="s">
        <v>115</v>
      </c>
      <c r="H99" s="188" t="s">
        <v>115</v>
      </c>
      <c r="I99" s="188" t="s">
        <v>115</v>
      </c>
      <c r="J99" s="189" t="s">
        <v>115</v>
      </c>
      <c r="K99" s="187" t="s">
        <v>202</v>
      </c>
      <c r="L99" s="188" t="s">
        <v>202</v>
      </c>
      <c r="M99" s="188" t="s">
        <v>202</v>
      </c>
      <c r="N99" s="188" t="s">
        <v>124</v>
      </c>
      <c r="O99" s="188" t="s">
        <v>112</v>
      </c>
      <c r="P99" s="188" t="s">
        <v>115</v>
      </c>
      <c r="Q99" s="188" t="s">
        <v>112</v>
      </c>
      <c r="R99" s="189" t="s">
        <v>112</v>
      </c>
    </row>
    <row r="100" spans="1:18" s="90" customFormat="1" ht="12" customHeight="1">
      <c r="A100" s="112" t="s">
        <v>32</v>
      </c>
      <c r="B100" s="73"/>
      <c r="C100" s="102" t="s">
        <v>56</v>
      </c>
      <c r="D100" s="187" t="s">
        <v>115</v>
      </c>
      <c r="E100" s="188" t="s">
        <v>115</v>
      </c>
      <c r="F100" s="188" t="s">
        <v>115</v>
      </c>
      <c r="G100" s="188" t="s">
        <v>115</v>
      </c>
      <c r="H100" s="188" t="s">
        <v>115</v>
      </c>
      <c r="I100" s="188" t="s">
        <v>115</v>
      </c>
      <c r="J100" s="189" t="s">
        <v>115</v>
      </c>
      <c r="K100" s="187" t="s">
        <v>112</v>
      </c>
      <c r="L100" s="188" t="s">
        <v>112</v>
      </c>
      <c r="M100" s="188" t="s">
        <v>202</v>
      </c>
      <c r="N100" s="188" t="s">
        <v>124</v>
      </c>
      <c r="O100" s="188" t="s">
        <v>112</v>
      </c>
      <c r="P100" s="188" t="s">
        <v>202</v>
      </c>
      <c r="Q100" s="188" t="s">
        <v>112</v>
      </c>
      <c r="R100" s="189" t="s">
        <v>112</v>
      </c>
    </row>
    <row r="101" spans="1:18" s="90" customFormat="1" ht="10.199999999999999">
      <c r="A101" s="112" t="s">
        <v>32</v>
      </c>
      <c r="B101" s="73"/>
      <c r="C101" s="111" t="s">
        <v>157</v>
      </c>
      <c r="D101" s="187" t="s">
        <v>115</v>
      </c>
      <c r="E101" s="188" t="s">
        <v>115</v>
      </c>
      <c r="F101" s="188" t="s">
        <v>115</v>
      </c>
      <c r="G101" s="188" t="s">
        <v>115</v>
      </c>
      <c r="H101" s="188" t="s">
        <v>115</v>
      </c>
      <c r="I101" s="188" t="s">
        <v>115</v>
      </c>
      <c r="J101" s="189" t="s">
        <v>115</v>
      </c>
      <c r="K101" s="187" t="s">
        <v>112</v>
      </c>
      <c r="L101" s="188" t="s">
        <v>112</v>
      </c>
      <c r="M101" s="188" t="s">
        <v>202</v>
      </c>
      <c r="N101" s="188" t="s">
        <v>124</v>
      </c>
      <c r="O101" s="188" t="s">
        <v>112</v>
      </c>
      <c r="P101" s="188" t="s">
        <v>202</v>
      </c>
      <c r="Q101" s="188" t="s">
        <v>112</v>
      </c>
      <c r="R101" s="189" t="s">
        <v>112</v>
      </c>
    </row>
    <row r="102" spans="1:18" s="90" customFormat="1" ht="10.199999999999999">
      <c r="A102" s="112" t="s">
        <v>32</v>
      </c>
      <c r="B102" s="73"/>
      <c r="C102" s="102" t="s">
        <v>158</v>
      </c>
      <c r="D102" s="187" t="s">
        <v>115</v>
      </c>
      <c r="E102" s="188" t="s">
        <v>115</v>
      </c>
      <c r="F102" s="188" t="s">
        <v>115</v>
      </c>
      <c r="G102" s="188" t="s">
        <v>115</v>
      </c>
      <c r="H102" s="188" t="s">
        <v>115</v>
      </c>
      <c r="I102" s="188" t="s">
        <v>115</v>
      </c>
      <c r="J102" s="189" t="s">
        <v>115</v>
      </c>
      <c r="K102" s="187" t="s">
        <v>112</v>
      </c>
      <c r="L102" s="188" t="s">
        <v>112</v>
      </c>
      <c r="M102" s="188" t="s">
        <v>202</v>
      </c>
      <c r="N102" s="188" t="s">
        <v>124</v>
      </c>
      <c r="O102" s="188" t="s">
        <v>112</v>
      </c>
      <c r="P102" s="188" t="s">
        <v>202</v>
      </c>
      <c r="Q102" s="188" t="s">
        <v>112</v>
      </c>
      <c r="R102" s="189" t="s">
        <v>112</v>
      </c>
    </row>
    <row r="103" spans="1:18" s="90" customFormat="1" ht="12" customHeight="1">
      <c r="A103" s="112" t="s">
        <v>32</v>
      </c>
      <c r="B103" s="73"/>
      <c r="C103" s="102" t="s">
        <v>159</v>
      </c>
      <c r="D103" s="187" t="s">
        <v>115</v>
      </c>
      <c r="E103" s="188" t="s">
        <v>115</v>
      </c>
      <c r="F103" s="188" t="s">
        <v>115</v>
      </c>
      <c r="G103" s="188" t="s">
        <v>115</v>
      </c>
      <c r="H103" s="188" t="s">
        <v>115</v>
      </c>
      <c r="I103" s="188" t="s">
        <v>115</v>
      </c>
      <c r="J103" s="189" t="s">
        <v>115</v>
      </c>
      <c r="K103" s="187" t="s">
        <v>112</v>
      </c>
      <c r="L103" s="188" t="s">
        <v>112</v>
      </c>
      <c r="M103" s="188" t="s">
        <v>202</v>
      </c>
      <c r="N103" s="188" t="s">
        <v>124</v>
      </c>
      <c r="O103" s="188" t="s">
        <v>112</v>
      </c>
      <c r="P103" s="188" t="s">
        <v>202</v>
      </c>
      <c r="Q103" s="188" t="s">
        <v>112</v>
      </c>
      <c r="R103" s="189" t="s">
        <v>112</v>
      </c>
    </row>
    <row r="104" spans="1:18" s="90" customFormat="1" ht="12" customHeight="1">
      <c r="A104" s="112" t="s">
        <v>32</v>
      </c>
      <c r="B104" s="73"/>
      <c r="C104" s="102" t="s">
        <v>160</v>
      </c>
      <c r="D104" s="187" t="s">
        <v>115</v>
      </c>
      <c r="E104" s="188" t="s">
        <v>115</v>
      </c>
      <c r="F104" s="188" t="s">
        <v>115</v>
      </c>
      <c r="G104" s="188" t="s">
        <v>115</v>
      </c>
      <c r="H104" s="188" t="s">
        <v>115</v>
      </c>
      <c r="I104" s="188" t="s">
        <v>115</v>
      </c>
      <c r="J104" s="189" t="s">
        <v>115</v>
      </c>
      <c r="K104" s="187" t="s">
        <v>112</v>
      </c>
      <c r="L104" s="188" t="s">
        <v>112</v>
      </c>
      <c r="M104" s="188" t="s">
        <v>202</v>
      </c>
      <c r="N104" s="188" t="s">
        <v>124</v>
      </c>
      <c r="O104" s="188" t="s">
        <v>112</v>
      </c>
      <c r="P104" s="188" t="s">
        <v>202</v>
      </c>
      <c r="Q104" s="188" t="s">
        <v>112</v>
      </c>
      <c r="R104" s="189" t="s">
        <v>112</v>
      </c>
    </row>
    <row r="105" spans="1:18" s="90" customFormat="1" ht="12" customHeight="1">
      <c r="A105" s="101" t="s">
        <v>8</v>
      </c>
      <c r="B105" s="70"/>
      <c r="C105" s="102" t="s">
        <v>79</v>
      </c>
      <c r="D105" s="190" t="s">
        <v>115</v>
      </c>
      <c r="E105" s="125" t="s">
        <v>115</v>
      </c>
      <c r="F105" s="125" t="s">
        <v>115</v>
      </c>
      <c r="G105" s="125" t="s">
        <v>115</v>
      </c>
      <c r="H105" s="125" t="s">
        <v>115</v>
      </c>
      <c r="I105" s="125" t="s">
        <v>115</v>
      </c>
      <c r="J105" s="191" t="s">
        <v>115</v>
      </c>
      <c r="K105" s="190" t="s">
        <v>202</v>
      </c>
      <c r="L105" s="125" t="s">
        <v>112</v>
      </c>
      <c r="M105" s="125" t="s">
        <v>124</v>
      </c>
      <c r="N105" s="125" t="s">
        <v>112</v>
      </c>
      <c r="O105" s="125" t="s">
        <v>112</v>
      </c>
      <c r="P105" s="125" t="s">
        <v>124</v>
      </c>
      <c r="Q105" s="125" t="s">
        <v>112</v>
      </c>
      <c r="R105" s="191" t="s">
        <v>115</v>
      </c>
    </row>
    <row r="106" spans="1:18" s="90" customFormat="1" ht="12" customHeight="1">
      <c r="A106" s="101" t="s">
        <v>8</v>
      </c>
      <c r="B106" s="70"/>
      <c r="C106" s="102" t="s">
        <v>56</v>
      </c>
      <c r="D106" s="190" t="s">
        <v>115</v>
      </c>
      <c r="E106" s="125" t="s">
        <v>115</v>
      </c>
      <c r="F106" s="125" t="s">
        <v>115</v>
      </c>
      <c r="G106" s="125" t="s">
        <v>115</v>
      </c>
      <c r="H106" s="125" t="s">
        <v>115</v>
      </c>
      <c r="I106" s="125" t="s">
        <v>115</v>
      </c>
      <c r="J106" s="191" t="s">
        <v>115</v>
      </c>
      <c r="K106" s="190" t="s">
        <v>202</v>
      </c>
      <c r="L106" s="125" t="s">
        <v>112</v>
      </c>
      <c r="M106" s="125" t="s">
        <v>124</v>
      </c>
      <c r="N106" s="125" t="s">
        <v>112</v>
      </c>
      <c r="O106" s="125" t="s">
        <v>112</v>
      </c>
      <c r="P106" s="125" t="s">
        <v>124</v>
      </c>
      <c r="Q106" s="125" t="s">
        <v>112</v>
      </c>
      <c r="R106" s="191" t="s">
        <v>115</v>
      </c>
    </row>
    <row r="107" spans="1:18" s="90" customFormat="1" ht="10.199999999999999">
      <c r="A107" s="101" t="s">
        <v>8</v>
      </c>
      <c r="B107" s="70"/>
      <c r="C107" s="103" t="s">
        <v>157</v>
      </c>
      <c r="D107" s="190" t="s">
        <v>115</v>
      </c>
      <c r="E107" s="125" t="s">
        <v>115</v>
      </c>
      <c r="F107" s="125" t="s">
        <v>115</v>
      </c>
      <c r="G107" s="125" t="s">
        <v>115</v>
      </c>
      <c r="H107" s="125" t="s">
        <v>115</v>
      </c>
      <c r="I107" s="125" t="s">
        <v>115</v>
      </c>
      <c r="J107" s="191" t="s">
        <v>115</v>
      </c>
      <c r="K107" s="190" t="s">
        <v>202</v>
      </c>
      <c r="L107" s="125" t="s">
        <v>112</v>
      </c>
      <c r="M107" s="125" t="s">
        <v>112</v>
      </c>
      <c r="N107" s="125" t="s">
        <v>112</v>
      </c>
      <c r="O107" s="125" t="s">
        <v>112</v>
      </c>
      <c r="P107" s="125" t="s">
        <v>124</v>
      </c>
      <c r="Q107" s="125" t="s">
        <v>112</v>
      </c>
      <c r="R107" s="191" t="s">
        <v>115</v>
      </c>
    </row>
    <row r="108" spans="1:18" s="90" customFormat="1" ht="10.199999999999999">
      <c r="A108" s="101" t="s">
        <v>8</v>
      </c>
      <c r="B108" s="70"/>
      <c r="C108" s="102" t="s">
        <v>158</v>
      </c>
      <c r="D108" s="190" t="s">
        <v>23</v>
      </c>
      <c r="E108" s="125" t="s">
        <v>23</v>
      </c>
      <c r="F108" s="125" t="s">
        <v>23</v>
      </c>
      <c r="G108" s="125" t="s">
        <v>23</v>
      </c>
      <c r="H108" s="125" t="s">
        <v>23</v>
      </c>
      <c r="I108" s="125" t="s">
        <v>23</v>
      </c>
      <c r="J108" s="191" t="s">
        <v>23</v>
      </c>
      <c r="K108" s="190" t="s">
        <v>23</v>
      </c>
      <c r="L108" s="125" t="s">
        <v>23</v>
      </c>
      <c r="M108" s="125" t="s">
        <v>23</v>
      </c>
      <c r="N108" s="125" t="s">
        <v>23</v>
      </c>
      <c r="O108" s="125" t="s">
        <v>23</v>
      </c>
      <c r="P108" s="125" t="s">
        <v>23</v>
      </c>
      <c r="Q108" s="125" t="s">
        <v>23</v>
      </c>
      <c r="R108" s="191" t="s">
        <v>23</v>
      </c>
    </row>
    <row r="109" spans="1:18" s="90" customFormat="1" ht="12" customHeight="1">
      <c r="A109" s="101" t="s">
        <v>8</v>
      </c>
      <c r="B109" s="70"/>
      <c r="C109" s="102" t="s">
        <v>159</v>
      </c>
      <c r="D109" s="190" t="s">
        <v>115</v>
      </c>
      <c r="E109" s="125" t="s">
        <v>115</v>
      </c>
      <c r="F109" s="125" t="s">
        <v>115</v>
      </c>
      <c r="G109" s="125" t="s">
        <v>115</v>
      </c>
      <c r="H109" s="125" t="s">
        <v>115</v>
      </c>
      <c r="I109" s="125" t="s">
        <v>115</v>
      </c>
      <c r="J109" s="191" t="s">
        <v>115</v>
      </c>
      <c r="K109" s="190" t="s">
        <v>202</v>
      </c>
      <c r="L109" s="125" t="s">
        <v>112</v>
      </c>
      <c r="M109" s="125" t="s">
        <v>112</v>
      </c>
      <c r="N109" s="125" t="s">
        <v>112</v>
      </c>
      <c r="O109" s="125" t="s">
        <v>112</v>
      </c>
      <c r="P109" s="125" t="s">
        <v>124</v>
      </c>
      <c r="Q109" s="125" t="s">
        <v>112</v>
      </c>
      <c r="R109" s="191" t="s">
        <v>115</v>
      </c>
    </row>
    <row r="110" spans="1:18" s="90" customFormat="1" ht="12" customHeight="1">
      <c r="A110" s="101" t="s">
        <v>8</v>
      </c>
      <c r="B110" s="70"/>
      <c r="C110" s="102" t="s">
        <v>160</v>
      </c>
      <c r="D110" s="190" t="s">
        <v>115</v>
      </c>
      <c r="E110" s="125" t="s">
        <v>115</v>
      </c>
      <c r="F110" s="125" t="s">
        <v>115</v>
      </c>
      <c r="G110" s="125" t="s">
        <v>115</v>
      </c>
      <c r="H110" s="125" t="s">
        <v>115</v>
      </c>
      <c r="I110" s="125" t="s">
        <v>115</v>
      </c>
      <c r="J110" s="191" t="s">
        <v>115</v>
      </c>
      <c r="K110" s="190" t="s">
        <v>202</v>
      </c>
      <c r="L110" s="125" t="s">
        <v>112</v>
      </c>
      <c r="M110" s="125" t="s">
        <v>112</v>
      </c>
      <c r="N110" s="125" t="s">
        <v>112</v>
      </c>
      <c r="O110" s="125" t="s">
        <v>112</v>
      </c>
      <c r="P110" s="125" t="s">
        <v>124</v>
      </c>
      <c r="Q110" s="125" t="s">
        <v>112</v>
      </c>
      <c r="R110" s="191" t="s">
        <v>115</v>
      </c>
    </row>
    <row r="111" spans="1:18" s="90" customFormat="1" ht="12" customHeight="1">
      <c r="A111" s="112" t="s">
        <v>21</v>
      </c>
      <c r="B111" s="73"/>
      <c r="C111" s="102" t="s">
        <v>79</v>
      </c>
      <c r="D111" s="187" t="s">
        <v>0</v>
      </c>
      <c r="E111" s="188" t="s">
        <v>0</v>
      </c>
      <c r="F111" s="188" t="s">
        <v>0</v>
      </c>
      <c r="G111" s="188" t="s">
        <v>0</v>
      </c>
      <c r="H111" s="188" t="s">
        <v>0</v>
      </c>
      <c r="I111" s="188" t="s">
        <v>0</v>
      </c>
      <c r="J111" s="189" t="s">
        <v>0</v>
      </c>
      <c r="K111" s="187" t="s">
        <v>0</v>
      </c>
      <c r="L111" s="188" t="s">
        <v>0</v>
      </c>
      <c r="M111" s="188" t="s">
        <v>0</v>
      </c>
      <c r="N111" s="188" t="s">
        <v>0</v>
      </c>
      <c r="O111" s="188" t="s">
        <v>0</v>
      </c>
      <c r="P111" s="188" t="s">
        <v>0</v>
      </c>
      <c r="Q111" s="188" t="s">
        <v>0</v>
      </c>
      <c r="R111" s="189" t="s">
        <v>0</v>
      </c>
    </row>
    <row r="112" spans="1:18" s="90" customFormat="1" ht="12" customHeight="1">
      <c r="A112" s="112" t="s">
        <v>21</v>
      </c>
      <c r="B112" s="73"/>
      <c r="C112" s="102" t="s">
        <v>56</v>
      </c>
      <c r="D112" s="187" t="s">
        <v>115</v>
      </c>
      <c r="E112" s="188" t="s">
        <v>115</v>
      </c>
      <c r="F112" s="188" t="s">
        <v>115</v>
      </c>
      <c r="G112" s="188" t="s">
        <v>115</v>
      </c>
      <c r="H112" s="188" t="s">
        <v>115</v>
      </c>
      <c r="I112" s="188" t="s">
        <v>204</v>
      </c>
      <c r="J112" s="189" t="s">
        <v>115</v>
      </c>
      <c r="K112" s="187" t="s">
        <v>204</v>
      </c>
      <c r="L112" s="188" t="s">
        <v>204</v>
      </c>
      <c r="M112" s="188" t="s">
        <v>115</v>
      </c>
      <c r="N112" s="188" t="s">
        <v>204</v>
      </c>
      <c r="O112" s="188" t="s">
        <v>202</v>
      </c>
      <c r="P112" s="188" t="s">
        <v>204</v>
      </c>
      <c r="Q112" s="188" t="s">
        <v>202</v>
      </c>
      <c r="R112" s="189" t="s">
        <v>115</v>
      </c>
    </row>
    <row r="113" spans="1:18" s="90" customFormat="1" ht="10.199999999999999">
      <c r="A113" s="112" t="s">
        <v>21</v>
      </c>
      <c r="B113" s="73"/>
      <c r="C113" s="111" t="s">
        <v>157</v>
      </c>
      <c r="D113" s="187" t="s">
        <v>115</v>
      </c>
      <c r="E113" s="188" t="s">
        <v>115</v>
      </c>
      <c r="F113" s="188" t="s">
        <v>115</v>
      </c>
      <c r="G113" s="188" t="s">
        <v>115</v>
      </c>
      <c r="H113" s="188" t="s">
        <v>115</v>
      </c>
      <c r="I113" s="188" t="s">
        <v>204</v>
      </c>
      <c r="J113" s="189" t="s">
        <v>115</v>
      </c>
      <c r="K113" s="187" t="s">
        <v>204</v>
      </c>
      <c r="L113" s="188" t="s">
        <v>204</v>
      </c>
      <c r="M113" s="188" t="s">
        <v>115</v>
      </c>
      <c r="N113" s="188" t="s">
        <v>204</v>
      </c>
      <c r="O113" s="188" t="s">
        <v>202</v>
      </c>
      <c r="P113" s="188" t="s">
        <v>204</v>
      </c>
      <c r="Q113" s="188" t="s">
        <v>202</v>
      </c>
      <c r="R113" s="189" t="s">
        <v>115</v>
      </c>
    </row>
    <row r="114" spans="1:18" s="90" customFormat="1" ht="10.199999999999999">
      <c r="A114" s="112" t="s">
        <v>21</v>
      </c>
      <c r="B114" s="73"/>
      <c r="C114" s="102" t="s">
        <v>158</v>
      </c>
      <c r="D114" s="187" t="s">
        <v>23</v>
      </c>
      <c r="E114" s="188" t="s">
        <v>23</v>
      </c>
      <c r="F114" s="188" t="s">
        <v>23</v>
      </c>
      <c r="G114" s="188" t="s">
        <v>23</v>
      </c>
      <c r="H114" s="188" t="s">
        <v>23</v>
      </c>
      <c r="I114" s="188" t="s">
        <v>23</v>
      </c>
      <c r="J114" s="189" t="s">
        <v>23</v>
      </c>
      <c r="K114" s="187" t="s">
        <v>23</v>
      </c>
      <c r="L114" s="188" t="s">
        <v>23</v>
      </c>
      <c r="M114" s="188" t="s">
        <v>23</v>
      </c>
      <c r="N114" s="188" t="s">
        <v>23</v>
      </c>
      <c r="O114" s="188" t="s">
        <v>23</v>
      </c>
      <c r="P114" s="188" t="s">
        <v>23</v>
      </c>
      <c r="Q114" s="188" t="s">
        <v>23</v>
      </c>
      <c r="R114" s="189" t="s">
        <v>23</v>
      </c>
    </row>
    <row r="115" spans="1:18" s="90" customFormat="1" ht="12" customHeight="1">
      <c r="A115" s="112" t="s">
        <v>21</v>
      </c>
      <c r="B115" s="73"/>
      <c r="C115" s="102" t="s">
        <v>159</v>
      </c>
      <c r="D115" s="187" t="s">
        <v>115</v>
      </c>
      <c r="E115" s="188" t="s">
        <v>115</v>
      </c>
      <c r="F115" s="188" t="s">
        <v>115</v>
      </c>
      <c r="G115" s="188" t="s">
        <v>115</v>
      </c>
      <c r="H115" s="188" t="s">
        <v>115</v>
      </c>
      <c r="I115" s="188" t="s">
        <v>204</v>
      </c>
      <c r="J115" s="189" t="s">
        <v>115</v>
      </c>
      <c r="K115" s="187" t="s">
        <v>204</v>
      </c>
      <c r="L115" s="188" t="s">
        <v>204</v>
      </c>
      <c r="M115" s="188" t="s">
        <v>115</v>
      </c>
      <c r="N115" s="188" t="s">
        <v>204</v>
      </c>
      <c r="O115" s="188" t="s">
        <v>202</v>
      </c>
      <c r="P115" s="188" t="s">
        <v>204</v>
      </c>
      <c r="Q115" s="188" t="s">
        <v>202</v>
      </c>
      <c r="R115" s="189" t="s">
        <v>115</v>
      </c>
    </row>
    <row r="116" spans="1:18" s="90" customFormat="1" ht="12" customHeight="1">
      <c r="A116" s="112" t="s">
        <v>21</v>
      </c>
      <c r="B116" s="73"/>
      <c r="C116" s="102" t="s">
        <v>160</v>
      </c>
      <c r="D116" s="187" t="s">
        <v>115</v>
      </c>
      <c r="E116" s="188" t="s">
        <v>115</v>
      </c>
      <c r="F116" s="188" t="s">
        <v>115</v>
      </c>
      <c r="G116" s="188" t="s">
        <v>115</v>
      </c>
      <c r="H116" s="188" t="s">
        <v>115</v>
      </c>
      <c r="I116" s="188" t="s">
        <v>204</v>
      </c>
      <c r="J116" s="189" t="s">
        <v>115</v>
      </c>
      <c r="K116" s="187" t="s">
        <v>204</v>
      </c>
      <c r="L116" s="188" t="s">
        <v>204</v>
      </c>
      <c r="M116" s="188" t="s">
        <v>115</v>
      </c>
      <c r="N116" s="188" t="s">
        <v>204</v>
      </c>
      <c r="O116" s="188" t="s">
        <v>202</v>
      </c>
      <c r="P116" s="188" t="s">
        <v>204</v>
      </c>
      <c r="Q116" s="188" t="s">
        <v>202</v>
      </c>
      <c r="R116" s="189" t="s">
        <v>115</v>
      </c>
    </row>
    <row r="117" spans="1:18" s="90" customFormat="1" ht="12" customHeight="1">
      <c r="A117" s="101" t="s">
        <v>30</v>
      </c>
      <c r="B117" s="70"/>
      <c r="C117" s="102" t="s">
        <v>79</v>
      </c>
      <c r="D117" s="190" t="s">
        <v>115</v>
      </c>
      <c r="E117" s="125" t="s">
        <v>115</v>
      </c>
      <c r="F117" s="125" t="s">
        <v>115</v>
      </c>
      <c r="G117" s="125" t="s">
        <v>115</v>
      </c>
      <c r="H117" s="125" t="s">
        <v>115</v>
      </c>
      <c r="I117" s="125" t="s">
        <v>115</v>
      </c>
      <c r="J117" s="191" t="s">
        <v>115</v>
      </c>
      <c r="K117" s="190" t="s">
        <v>202</v>
      </c>
      <c r="L117" s="125" t="s">
        <v>112</v>
      </c>
      <c r="M117" s="125" t="s">
        <v>115</v>
      </c>
      <c r="N117" s="125" t="s">
        <v>202</v>
      </c>
      <c r="O117" s="125" t="s">
        <v>202</v>
      </c>
      <c r="P117" s="125" t="s">
        <v>202</v>
      </c>
      <c r="Q117" s="125" t="s">
        <v>202</v>
      </c>
      <c r="R117" s="191" t="s">
        <v>115</v>
      </c>
    </row>
    <row r="118" spans="1:18" s="90" customFormat="1" ht="12" customHeight="1">
      <c r="A118" s="101" t="s">
        <v>30</v>
      </c>
      <c r="B118" s="70"/>
      <c r="C118" s="102" t="s">
        <v>56</v>
      </c>
      <c r="D118" s="190" t="s">
        <v>115</v>
      </c>
      <c r="E118" s="125" t="s">
        <v>115</v>
      </c>
      <c r="F118" s="125" t="s">
        <v>115</v>
      </c>
      <c r="G118" s="125" t="s">
        <v>115</v>
      </c>
      <c r="H118" s="125" t="s">
        <v>115</v>
      </c>
      <c r="I118" s="125" t="s">
        <v>115</v>
      </c>
      <c r="J118" s="191" t="s">
        <v>115</v>
      </c>
      <c r="K118" s="190" t="s">
        <v>202</v>
      </c>
      <c r="L118" s="125" t="s">
        <v>112</v>
      </c>
      <c r="M118" s="125" t="s">
        <v>115</v>
      </c>
      <c r="N118" s="125" t="s">
        <v>202</v>
      </c>
      <c r="O118" s="125" t="s">
        <v>202</v>
      </c>
      <c r="P118" s="125" t="s">
        <v>202</v>
      </c>
      <c r="Q118" s="125" t="s">
        <v>202</v>
      </c>
      <c r="R118" s="191" t="s">
        <v>115</v>
      </c>
    </row>
    <row r="119" spans="1:18" s="90" customFormat="1" ht="10.199999999999999">
      <c r="A119" s="101" t="s">
        <v>30</v>
      </c>
      <c r="B119" s="70"/>
      <c r="C119" s="103" t="s">
        <v>157</v>
      </c>
      <c r="D119" s="190" t="s">
        <v>115</v>
      </c>
      <c r="E119" s="125" t="s">
        <v>115</v>
      </c>
      <c r="F119" s="125" t="s">
        <v>115</v>
      </c>
      <c r="G119" s="125" t="s">
        <v>115</v>
      </c>
      <c r="H119" s="125" t="s">
        <v>115</v>
      </c>
      <c r="I119" s="125" t="s">
        <v>115</v>
      </c>
      <c r="J119" s="191" t="s">
        <v>115</v>
      </c>
      <c r="K119" s="190" t="s">
        <v>202</v>
      </c>
      <c r="L119" s="125" t="s">
        <v>112</v>
      </c>
      <c r="M119" s="125" t="s">
        <v>115</v>
      </c>
      <c r="N119" s="125" t="s">
        <v>202</v>
      </c>
      <c r="O119" s="125" t="s">
        <v>202</v>
      </c>
      <c r="P119" s="125" t="s">
        <v>202</v>
      </c>
      <c r="Q119" s="125" t="s">
        <v>202</v>
      </c>
      <c r="R119" s="191" t="s">
        <v>115</v>
      </c>
    </row>
    <row r="120" spans="1:18" s="90" customFormat="1" ht="10.199999999999999">
      <c r="A120" s="101" t="s">
        <v>30</v>
      </c>
      <c r="B120" s="70"/>
      <c r="C120" s="102" t="s">
        <v>158</v>
      </c>
      <c r="D120" s="190" t="s">
        <v>23</v>
      </c>
      <c r="E120" s="125" t="s">
        <v>23</v>
      </c>
      <c r="F120" s="125" t="s">
        <v>23</v>
      </c>
      <c r="G120" s="125" t="s">
        <v>23</v>
      </c>
      <c r="H120" s="125" t="s">
        <v>23</v>
      </c>
      <c r="I120" s="125" t="s">
        <v>23</v>
      </c>
      <c r="J120" s="191" t="s">
        <v>23</v>
      </c>
      <c r="K120" s="190" t="s">
        <v>23</v>
      </c>
      <c r="L120" s="125" t="s">
        <v>23</v>
      </c>
      <c r="M120" s="125" t="s">
        <v>23</v>
      </c>
      <c r="N120" s="125" t="s">
        <v>23</v>
      </c>
      <c r="O120" s="125" t="s">
        <v>23</v>
      </c>
      <c r="P120" s="125" t="s">
        <v>23</v>
      </c>
      <c r="Q120" s="125" t="s">
        <v>23</v>
      </c>
      <c r="R120" s="191" t="s">
        <v>23</v>
      </c>
    </row>
    <row r="121" spans="1:18" s="90" customFormat="1" ht="12" customHeight="1">
      <c r="A121" s="101" t="s">
        <v>30</v>
      </c>
      <c r="B121" s="70"/>
      <c r="C121" s="102" t="s">
        <v>159</v>
      </c>
      <c r="D121" s="190" t="s">
        <v>115</v>
      </c>
      <c r="E121" s="125" t="s">
        <v>115</v>
      </c>
      <c r="F121" s="125" t="s">
        <v>115</v>
      </c>
      <c r="G121" s="125" t="s">
        <v>115</v>
      </c>
      <c r="H121" s="125" t="s">
        <v>115</v>
      </c>
      <c r="I121" s="125" t="s">
        <v>115</v>
      </c>
      <c r="J121" s="191" t="s">
        <v>115</v>
      </c>
      <c r="K121" s="190" t="s">
        <v>202</v>
      </c>
      <c r="L121" s="125" t="s">
        <v>112</v>
      </c>
      <c r="M121" s="125" t="s">
        <v>115</v>
      </c>
      <c r="N121" s="125" t="s">
        <v>202</v>
      </c>
      <c r="O121" s="125" t="s">
        <v>202</v>
      </c>
      <c r="P121" s="125" t="s">
        <v>202</v>
      </c>
      <c r="Q121" s="125" t="s">
        <v>202</v>
      </c>
      <c r="R121" s="191" t="s">
        <v>115</v>
      </c>
    </row>
    <row r="122" spans="1:18" s="90" customFormat="1" ht="12" customHeight="1">
      <c r="A122" s="101" t="s">
        <v>30</v>
      </c>
      <c r="B122" s="70"/>
      <c r="C122" s="102" t="s">
        <v>160</v>
      </c>
      <c r="D122" s="190" t="s">
        <v>115</v>
      </c>
      <c r="E122" s="125" t="s">
        <v>115</v>
      </c>
      <c r="F122" s="125" t="s">
        <v>115</v>
      </c>
      <c r="G122" s="125" t="s">
        <v>115</v>
      </c>
      <c r="H122" s="125" t="s">
        <v>115</v>
      </c>
      <c r="I122" s="125" t="s">
        <v>115</v>
      </c>
      <c r="J122" s="191" t="s">
        <v>115</v>
      </c>
      <c r="K122" s="190" t="s">
        <v>202</v>
      </c>
      <c r="L122" s="125" t="s">
        <v>112</v>
      </c>
      <c r="M122" s="125" t="s">
        <v>115</v>
      </c>
      <c r="N122" s="125" t="s">
        <v>202</v>
      </c>
      <c r="O122" s="125" t="s">
        <v>202</v>
      </c>
      <c r="P122" s="125" t="s">
        <v>202</v>
      </c>
      <c r="Q122" s="125" t="s">
        <v>202</v>
      </c>
      <c r="R122" s="191" t="s">
        <v>115</v>
      </c>
    </row>
    <row r="123" spans="1:18" ht="13.2" customHeight="1">
      <c r="A123" s="112" t="s">
        <v>73</v>
      </c>
      <c r="B123" s="73"/>
      <c r="C123" s="102" t="s">
        <v>79</v>
      </c>
      <c r="D123" s="187" t="s">
        <v>115</v>
      </c>
      <c r="E123" s="188" t="s">
        <v>115</v>
      </c>
      <c r="F123" s="188" t="s">
        <v>115</v>
      </c>
      <c r="G123" s="188" t="s">
        <v>115</v>
      </c>
      <c r="H123" s="188" t="s">
        <v>115</v>
      </c>
      <c r="I123" s="188" t="s">
        <v>115</v>
      </c>
      <c r="J123" s="189" t="s">
        <v>202</v>
      </c>
      <c r="K123" s="187" t="s">
        <v>115</v>
      </c>
      <c r="L123" s="188" t="s">
        <v>202</v>
      </c>
      <c r="M123" s="188" t="s">
        <v>115</v>
      </c>
      <c r="N123" s="188" t="s">
        <v>202</v>
      </c>
      <c r="O123" s="188" t="s">
        <v>202</v>
      </c>
      <c r="P123" s="188" t="s">
        <v>202</v>
      </c>
      <c r="Q123" s="188" t="s">
        <v>202</v>
      </c>
      <c r="R123" s="189" t="s">
        <v>115</v>
      </c>
    </row>
    <row r="124" spans="1:18" ht="13.2" customHeight="1">
      <c r="A124" s="112" t="s">
        <v>73</v>
      </c>
      <c r="B124" s="73"/>
      <c r="C124" s="102" t="s">
        <v>56</v>
      </c>
      <c r="D124" s="187" t="s">
        <v>115</v>
      </c>
      <c r="E124" s="188" t="s">
        <v>115</v>
      </c>
      <c r="F124" s="188" t="s">
        <v>115</v>
      </c>
      <c r="G124" s="188" t="s">
        <v>115</v>
      </c>
      <c r="H124" s="188" t="s">
        <v>115</v>
      </c>
      <c r="I124" s="188" t="s">
        <v>115</v>
      </c>
      <c r="J124" s="189" t="s">
        <v>202</v>
      </c>
      <c r="K124" s="187" t="s">
        <v>115</v>
      </c>
      <c r="L124" s="188" t="s">
        <v>202</v>
      </c>
      <c r="M124" s="188" t="s">
        <v>115</v>
      </c>
      <c r="N124" s="188" t="s">
        <v>202</v>
      </c>
      <c r="O124" s="188" t="s">
        <v>202</v>
      </c>
      <c r="P124" s="188" t="s">
        <v>202</v>
      </c>
      <c r="Q124" s="188" t="s">
        <v>202</v>
      </c>
      <c r="R124" s="189" t="s">
        <v>115</v>
      </c>
    </row>
    <row r="125" spans="1:18">
      <c r="A125" s="112" t="s">
        <v>73</v>
      </c>
      <c r="B125" s="73"/>
      <c r="C125" s="111" t="s">
        <v>157</v>
      </c>
      <c r="D125" s="187" t="s">
        <v>115</v>
      </c>
      <c r="E125" s="188" t="s">
        <v>115</v>
      </c>
      <c r="F125" s="188" t="s">
        <v>115</v>
      </c>
      <c r="G125" s="188" t="s">
        <v>115</v>
      </c>
      <c r="H125" s="188" t="s">
        <v>115</v>
      </c>
      <c r="I125" s="188" t="s">
        <v>115</v>
      </c>
      <c r="J125" s="189" t="s">
        <v>202</v>
      </c>
      <c r="K125" s="187" t="s">
        <v>115</v>
      </c>
      <c r="L125" s="188" t="s">
        <v>202</v>
      </c>
      <c r="M125" s="188" t="s">
        <v>115</v>
      </c>
      <c r="N125" s="188" t="s">
        <v>202</v>
      </c>
      <c r="O125" s="188" t="s">
        <v>202</v>
      </c>
      <c r="P125" s="188" t="s">
        <v>202</v>
      </c>
      <c r="Q125" s="188" t="s">
        <v>202</v>
      </c>
      <c r="R125" s="189" t="s">
        <v>115</v>
      </c>
    </row>
    <row r="126" spans="1:18">
      <c r="A126" s="112" t="s">
        <v>73</v>
      </c>
      <c r="B126" s="73"/>
      <c r="C126" s="102" t="s">
        <v>158</v>
      </c>
      <c r="D126" s="187" t="s">
        <v>115</v>
      </c>
      <c r="E126" s="188" t="s">
        <v>115</v>
      </c>
      <c r="F126" s="188" t="s">
        <v>115</v>
      </c>
      <c r="G126" s="188" t="s">
        <v>115</v>
      </c>
      <c r="H126" s="188" t="s">
        <v>115</v>
      </c>
      <c r="I126" s="188" t="s">
        <v>115</v>
      </c>
      <c r="J126" s="189" t="s">
        <v>204</v>
      </c>
      <c r="K126" s="187" t="s">
        <v>115</v>
      </c>
      <c r="L126" s="188" t="s">
        <v>202</v>
      </c>
      <c r="M126" s="188" t="s">
        <v>115</v>
      </c>
      <c r="N126" s="188" t="s">
        <v>202</v>
      </c>
      <c r="O126" s="188" t="s">
        <v>202</v>
      </c>
      <c r="P126" s="188" t="s">
        <v>202</v>
      </c>
      <c r="Q126" s="188" t="s">
        <v>202</v>
      </c>
      <c r="R126" s="189" t="s">
        <v>115</v>
      </c>
    </row>
    <row r="127" spans="1:18" ht="13.2" customHeight="1">
      <c r="A127" s="112" t="s">
        <v>73</v>
      </c>
      <c r="B127" s="73"/>
      <c r="C127" s="102" t="s">
        <v>159</v>
      </c>
      <c r="D127" s="187" t="s">
        <v>115</v>
      </c>
      <c r="E127" s="188" t="s">
        <v>115</v>
      </c>
      <c r="F127" s="188" t="s">
        <v>115</v>
      </c>
      <c r="G127" s="188" t="s">
        <v>115</v>
      </c>
      <c r="H127" s="188" t="s">
        <v>115</v>
      </c>
      <c r="I127" s="188" t="s">
        <v>115</v>
      </c>
      <c r="J127" s="189" t="s">
        <v>202</v>
      </c>
      <c r="K127" s="187" t="s">
        <v>115</v>
      </c>
      <c r="L127" s="188" t="s">
        <v>202</v>
      </c>
      <c r="M127" s="188" t="s">
        <v>115</v>
      </c>
      <c r="N127" s="188" t="s">
        <v>202</v>
      </c>
      <c r="O127" s="188" t="s">
        <v>202</v>
      </c>
      <c r="P127" s="188" t="s">
        <v>202</v>
      </c>
      <c r="Q127" s="188" t="s">
        <v>202</v>
      </c>
      <c r="R127" s="189" t="s">
        <v>115</v>
      </c>
    </row>
    <row r="128" spans="1:18" ht="13.2" customHeight="1">
      <c r="A128" s="112" t="s">
        <v>73</v>
      </c>
      <c r="B128" s="73"/>
      <c r="C128" s="102" t="s">
        <v>160</v>
      </c>
      <c r="D128" s="187" t="s">
        <v>115</v>
      </c>
      <c r="E128" s="188" t="s">
        <v>115</v>
      </c>
      <c r="F128" s="188" t="s">
        <v>115</v>
      </c>
      <c r="G128" s="188" t="s">
        <v>115</v>
      </c>
      <c r="H128" s="188" t="s">
        <v>115</v>
      </c>
      <c r="I128" s="188" t="s">
        <v>115</v>
      </c>
      <c r="J128" s="189" t="s">
        <v>202</v>
      </c>
      <c r="K128" s="187" t="s">
        <v>115</v>
      </c>
      <c r="L128" s="188" t="s">
        <v>202</v>
      </c>
      <c r="M128" s="188" t="s">
        <v>115</v>
      </c>
      <c r="N128" s="188" t="s">
        <v>202</v>
      </c>
      <c r="O128" s="188" t="s">
        <v>202</v>
      </c>
      <c r="P128" s="188" t="s">
        <v>202</v>
      </c>
      <c r="Q128" s="188" t="s">
        <v>202</v>
      </c>
      <c r="R128" s="189" t="s">
        <v>115</v>
      </c>
    </row>
    <row r="129" spans="1:18" s="90" customFormat="1" ht="12" customHeight="1">
      <c r="A129" s="101" t="s">
        <v>33</v>
      </c>
      <c r="B129" s="70"/>
      <c r="C129" s="102" t="s">
        <v>79</v>
      </c>
      <c r="D129" s="190" t="s">
        <v>0</v>
      </c>
      <c r="E129" s="125" t="s">
        <v>0</v>
      </c>
      <c r="F129" s="125" t="s">
        <v>0</v>
      </c>
      <c r="G129" s="125" t="s">
        <v>0</v>
      </c>
      <c r="H129" s="125" t="s">
        <v>0</v>
      </c>
      <c r="I129" s="125" t="s">
        <v>0</v>
      </c>
      <c r="J129" s="191" t="s">
        <v>0</v>
      </c>
      <c r="K129" s="190" t="s">
        <v>0</v>
      </c>
      <c r="L129" s="125" t="s">
        <v>0</v>
      </c>
      <c r="M129" s="125" t="s">
        <v>0</v>
      </c>
      <c r="N129" s="125" t="s">
        <v>0</v>
      </c>
      <c r="O129" s="125" t="s">
        <v>0</v>
      </c>
      <c r="P129" s="125" t="s">
        <v>0</v>
      </c>
      <c r="Q129" s="125" t="s">
        <v>0</v>
      </c>
      <c r="R129" s="191" t="s">
        <v>0</v>
      </c>
    </row>
    <row r="130" spans="1:18" s="90" customFormat="1" ht="12" customHeight="1">
      <c r="A130" s="101" t="s">
        <v>33</v>
      </c>
      <c r="B130" s="70"/>
      <c r="C130" s="102" t="s">
        <v>56</v>
      </c>
      <c r="D130" s="190" t="s">
        <v>0</v>
      </c>
      <c r="E130" s="125" t="s">
        <v>0</v>
      </c>
      <c r="F130" s="125" t="s">
        <v>0</v>
      </c>
      <c r="G130" s="125" t="s">
        <v>0</v>
      </c>
      <c r="H130" s="125" t="s">
        <v>0</v>
      </c>
      <c r="I130" s="125" t="s">
        <v>0</v>
      </c>
      <c r="J130" s="191" t="s">
        <v>0</v>
      </c>
      <c r="K130" s="190" t="s">
        <v>0</v>
      </c>
      <c r="L130" s="125" t="s">
        <v>0</v>
      </c>
      <c r="M130" s="125" t="s">
        <v>0</v>
      </c>
      <c r="N130" s="125" t="s">
        <v>0</v>
      </c>
      <c r="O130" s="125" t="s">
        <v>0</v>
      </c>
      <c r="P130" s="125" t="s">
        <v>0</v>
      </c>
      <c r="Q130" s="125" t="s">
        <v>0</v>
      </c>
      <c r="R130" s="191" t="s">
        <v>0</v>
      </c>
    </row>
    <row r="131" spans="1:18" s="90" customFormat="1" ht="10.199999999999999">
      <c r="A131" s="101" t="s">
        <v>33</v>
      </c>
      <c r="B131" s="70"/>
      <c r="C131" s="103" t="s">
        <v>157</v>
      </c>
      <c r="D131" s="190" t="s">
        <v>0</v>
      </c>
      <c r="E131" s="125" t="s">
        <v>0</v>
      </c>
      <c r="F131" s="125" t="s">
        <v>0</v>
      </c>
      <c r="G131" s="125" t="s">
        <v>0</v>
      </c>
      <c r="H131" s="125" t="s">
        <v>0</v>
      </c>
      <c r="I131" s="125" t="s">
        <v>0</v>
      </c>
      <c r="J131" s="191" t="s">
        <v>0</v>
      </c>
      <c r="K131" s="190" t="s">
        <v>0</v>
      </c>
      <c r="L131" s="125" t="s">
        <v>0</v>
      </c>
      <c r="M131" s="125" t="s">
        <v>0</v>
      </c>
      <c r="N131" s="125" t="s">
        <v>0</v>
      </c>
      <c r="O131" s="125" t="s">
        <v>0</v>
      </c>
      <c r="P131" s="125" t="s">
        <v>0</v>
      </c>
      <c r="Q131" s="125" t="s">
        <v>0</v>
      </c>
      <c r="R131" s="191" t="s">
        <v>0</v>
      </c>
    </row>
    <row r="132" spans="1:18" s="90" customFormat="1" ht="10.199999999999999">
      <c r="A132" s="101" t="s">
        <v>33</v>
      </c>
      <c r="B132" s="70"/>
      <c r="C132" s="102" t="s">
        <v>158</v>
      </c>
      <c r="D132" s="190" t="s">
        <v>0</v>
      </c>
      <c r="E132" s="125" t="s">
        <v>0</v>
      </c>
      <c r="F132" s="125" t="s">
        <v>0</v>
      </c>
      <c r="G132" s="125" t="s">
        <v>0</v>
      </c>
      <c r="H132" s="125" t="s">
        <v>0</v>
      </c>
      <c r="I132" s="125" t="s">
        <v>0</v>
      </c>
      <c r="J132" s="191" t="s">
        <v>0</v>
      </c>
      <c r="K132" s="190" t="s">
        <v>0</v>
      </c>
      <c r="L132" s="125" t="s">
        <v>0</v>
      </c>
      <c r="M132" s="125" t="s">
        <v>0</v>
      </c>
      <c r="N132" s="125" t="s">
        <v>0</v>
      </c>
      <c r="O132" s="125" t="s">
        <v>0</v>
      </c>
      <c r="P132" s="125" t="s">
        <v>0</v>
      </c>
      <c r="Q132" s="125" t="s">
        <v>0</v>
      </c>
      <c r="R132" s="191" t="s">
        <v>0</v>
      </c>
    </row>
    <row r="133" spans="1:18" s="90" customFormat="1" ht="12" customHeight="1">
      <c r="A133" s="101" t="s">
        <v>33</v>
      </c>
      <c r="B133" s="70"/>
      <c r="C133" s="102" t="s">
        <v>159</v>
      </c>
      <c r="D133" s="190" t="s">
        <v>0</v>
      </c>
      <c r="E133" s="125" t="s">
        <v>0</v>
      </c>
      <c r="F133" s="125" t="s">
        <v>0</v>
      </c>
      <c r="G133" s="125" t="s">
        <v>0</v>
      </c>
      <c r="H133" s="125" t="s">
        <v>0</v>
      </c>
      <c r="I133" s="125" t="s">
        <v>0</v>
      </c>
      <c r="J133" s="191" t="s">
        <v>0</v>
      </c>
      <c r="K133" s="190" t="s">
        <v>0</v>
      </c>
      <c r="L133" s="125" t="s">
        <v>0</v>
      </c>
      <c r="M133" s="125" t="s">
        <v>0</v>
      </c>
      <c r="N133" s="125" t="s">
        <v>0</v>
      </c>
      <c r="O133" s="125" t="s">
        <v>0</v>
      </c>
      <c r="P133" s="125" t="s">
        <v>0</v>
      </c>
      <c r="Q133" s="125" t="s">
        <v>0</v>
      </c>
      <c r="R133" s="191" t="s">
        <v>0</v>
      </c>
    </row>
    <row r="134" spans="1:18" s="90" customFormat="1" ht="12" customHeight="1">
      <c r="A134" s="101" t="s">
        <v>33</v>
      </c>
      <c r="B134" s="70"/>
      <c r="C134" s="102" t="s">
        <v>160</v>
      </c>
      <c r="D134" s="190" t="s">
        <v>0</v>
      </c>
      <c r="E134" s="125" t="s">
        <v>0</v>
      </c>
      <c r="F134" s="125" t="s">
        <v>0</v>
      </c>
      <c r="G134" s="125" t="s">
        <v>0</v>
      </c>
      <c r="H134" s="125" t="s">
        <v>0</v>
      </c>
      <c r="I134" s="125" t="s">
        <v>0</v>
      </c>
      <c r="J134" s="191" t="s">
        <v>0</v>
      </c>
      <c r="K134" s="190" t="s">
        <v>0</v>
      </c>
      <c r="L134" s="125" t="s">
        <v>0</v>
      </c>
      <c r="M134" s="125" t="s">
        <v>0</v>
      </c>
      <c r="N134" s="125" t="s">
        <v>0</v>
      </c>
      <c r="O134" s="125" t="s">
        <v>0</v>
      </c>
      <c r="P134" s="125" t="s">
        <v>0</v>
      </c>
      <c r="Q134" s="125" t="s">
        <v>0</v>
      </c>
      <c r="R134" s="191" t="s">
        <v>0</v>
      </c>
    </row>
    <row r="135" spans="1:18" s="90" customFormat="1" ht="12" customHeight="1">
      <c r="A135" s="112" t="s">
        <v>19</v>
      </c>
      <c r="B135" s="73"/>
      <c r="C135" s="102" t="s">
        <v>79</v>
      </c>
      <c r="D135" s="187" t="s">
        <v>115</v>
      </c>
      <c r="E135" s="188" t="s">
        <v>115</v>
      </c>
      <c r="F135" s="188" t="s">
        <v>115</v>
      </c>
      <c r="G135" s="188" t="s">
        <v>202</v>
      </c>
      <c r="H135" s="188" t="s">
        <v>115</v>
      </c>
      <c r="I135" s="188" t="s">
        <v>115</v>
      </c>
      <c r="J135" s="189" t="s">
        <v>124</v>
      </c>
      <c r="K135" s="187" t="s">
        <v>202</v>
      </c>
      <c r="L135" s="188" t="s">
        <v>124</v>
      </c>
      <c r="M135" s="188" t="s">
        <v>124</v>
      </c>
      <c r="N135" s="188" t="s">
        <v>112</v>
      </c>
      <c r="O135" s="188" t="s">
        <v>202</v>
      </c>
      <c r="P135" s="188" t="s">
        <v>124</v>
      </c>
      <c r="Q135" s="188" t="s">
        <v>202</v>
      </c>
      <c r="R135" s="189" t="s">
        <v>115</v>
      </c>
    </row>
    <row r="136" spans="1:18" s="90" customFormat="1" ht="12" customHeight="1">
      <c r="A136" s="112" t="s">
        <v>19</v>
      </c>
      <c r="B136" s="73"/>
      <c r="C136" s="102" t="s">
        <v>56</v>
      </c>
      <c r="D136" s="187" t="s">
        <v>115</v>
      </c>
      <c r="E136" s="188" t="s">
        <v>115</v>
      </c>
      <c r="F136" s="188" t="s">
        <v>115</v>
      </c>
      <c r="G136" s="188" t="s">
        <v>202</v>
      </c>
      <c r="H136" s="188" t="s">
        <v>115</v>
      </c>
      <c r="I136" s="188" t="s">
        <v>202</v>
      </c>
      <c r="J136" s="189" t="s">
        <v>124</v>
      </c>
      <c r="K136" s="187" t="s">
        <v>202</v>
      </c>
      <c r="L136" s="188" t="s">
        <v>124</v>
      </c>
      <c r="M136" s="188" t="s">
        <v>124</v>
      </c>
      <c r="N136" s="188" t="s">
        <v>112</v>
      </c>
      <c r="O136" s="188" t="s">
        <v>202</v>
      </c>
      <c r="P136" s="188" t="s">
        <v>124</v>
      </c>
      <c r="Q136" s="188" t="s">
        <v>202</v>
      </c>
      <c r="R136" s="189" t="s">
        <v>115</v>
      </c>
    </row>
    <row r="137" spans="1:18" s="90" customFormat="1" ht="10.199999999999999">
      <c r="A137" s="112" t="s">
        <v>19</v>
      </c>
      <c r="B137" s="73"/>
      <c r="C137" s="111" t="s">
        <v>157</v>
      </c>
      <c r="D137" s="187" t="s">
        <v>115</v>
      </c>
      <c r="E137" s="188" t="s">
        <v>115</v>
      </c>
      <c r="F137" s="188" t="s">
        <v>115</v>
      </c>
      <c r="G137" s="188" t="s">
        <v>202</v>
      </c>
      <c r="H137" s="188" t="s">
        <v>202</v>
      </c>
      <c r="I137" s="188" t="s">
        <v>124</v>
      </c>
      <c r="J137" s="189" t="s">
        <v>112</v>
      </c>
      <c r="K137" s="187" t="s">
        <v>202</v>
      </c>
      <c r="L137" s="188" t="s">
        <v>124</v>
      </c>
      <c r="M137" s="188" t="s">
        <v>124</v>
      </c>
      <c r="N137" s="188" t="s">
        <v>124</v>
      </c>
      <c r="O137" s="188" t="s">
        <v>202</v>
      </c>
      <c r="P137" s="188" t="s">
        <v>124</v>
      </c>
      <c r="Q137" s="188" t="s">
        <v>202</v>
      </c>
      <c r="R137" s="189" t="s">
        <v>115</v>
      </c>
    </row>
    <row r="138" spans="1:18" s="90" customFormat="1" ht="10.199999999999999">
      <c r="A138" s="112" t="s">
        <v>19</v>
      </c>
      <c r="B138" s="73"/>
      <c r="C138" s="102" t="s">
        <v>158</v>
      </c>
      <c r="D138" s="187" t="s">
        <v>115</v>
      </c>
      <c r="E138" s="188" t="s">
        <v>115</v>
      </c>
      <c r="F138" s="188" t="s">
        <v>115</v>
      </c>
      <c r="G138" s="188" t="s">
        <v>124</v>
      </c>
      <c r="H138" s="188" t="s">
        <v>124</v>
      </c>
      <c r="I138" s="188" t="s">
        <v>124</v>
      </c>
      <c r="J138" s="189" t="s">
        <v>112</v>
      </c>
      <c r="K138" s="187" t="s">
        <v>202</v>
      </c>
      <c r="L138" s="188" t="s">
        <v>124</v>
      </c>
      <c r="M138" s="188" t="s">
        <v>124</v>
      </c>
      <c r="N138" s="188" t="s">
        <v>124</v>
      </c>
      <c r="O138" s="188" t="s">
        <v>124</v>
      </c>
      <c r="P138" s="188" t="s">
        <v>124</v>
      </c>
      <c r="Q138" s="188" t="s">
        <v>124</v>
      </c>
      <c r="R138" s="189" t="s">
        <v>124</v>
      </c>
    </row>
    <row r="139" spans="1:18" s="90" customFormat="1" ht="12" customHeight="1">
      <c r="A139" s="112" t="s">
        <v>19</v>
      </c>
      <c r="B139" s="73"/>
      <c r="C139" s="102" t="s">
        <v>159</v>
      </c>
      <c r="D139" s="187" t="s">
        <v>115</v>
      </c>
      <c r="E139" s="188" t="s">
        <v>115</v>
      </c>
      <c r="F139" s="188" t="s">
        <v>112</v>
      </c>
      <c r="G139" s="188" t="s">
        <v>124</v>
      </c>
      <c r="H139" s="188" t="s">
        <v>202</v>
      </c>
      <c r="I139" s="188" t="s">
        <v>124</v>
      </c>
      <c r="J139" s="189" t="s">
        <v>202</v>
      </c>
      <c r="K139" s="187" t="s">
        <v>202</v>
      </c>
      <c r="L139" s="188" t="s">
        <v>112</v>
      </c>
      <c r="M139" s="188" t="s">
        <v>124</v>
      </c>
      <c r="N139" s="188" t="s">
        <v>112</v>
      </c>
      <c r="O139" s="188" t="s">
        <v>124</v>
      </c>
      <c r="P139" s="188" t="s">
        <v>124</v>
      </c>
      <c r="Q139" s="188" t="s">
        <v>124</v>
      </c>
      <c r="R139" s="189" t="s">
        <v>115</v>
      </c>
    </row>
    <row r="140" spans="1:18" s="90" customFormat="1" ht="12" customHeight="1">
      <c r="A140" s="112" t="s">
        <v>19</v>
      </c>
      <c r="B140" s="73"/>
      <c r="C140" s="102" t="s">
        <v>160</v>
      </c>
      <c r="D140" s="187" t="s">
        <v>115</v>
      </c>
      <c r="E140" s="188" t="s">
        <v>115</v>
      </c>
      <c r="F140" s="188" t="s">
        <v>112</v>
      </c>
      <c r="G140" s="188" t="s">
        <v>124</v>
      </c>
      <c r="H140" s="188" t="s">
        <v>202</v>
      </c>
      <c r="I140" s="188" t="s">
        <v>124</v>
      </c>
      <c r="J140" s="189" t="s">
        <v>202</v>
      </c>
      <c r="K140" s="187" t="s">
        <v>202</v>
      </c>
      <c r="L140" s="188" t="s">
        <v>112</v>
      </c>
      <c r="M140" s="188" t="s">
        <v>124</v>
      </c>
      <c r="N140" s="188" t="s">
        <v>112</v>
      </c>
      <c r="O140" s="188" t="s">
        <v>124</v>
      </c>
      <c r="P140" s="188" t="s">
        <v>124</v>
      </c>
      <c r="Q140" s="188" t="s">
        <v>124</v>
      </c>
      <c r="R140" s="189" t="s">
        <v>202</v>
      </c>
    </row>
    <row r="141" spans="1:18" s="90" customFormat="1" ht="12" customHeight="1">
      <c r="A141" s="101" t="s">
        <v>9</v>
      </c>
      <c r="B141" s="70"/>
      <c r="C141" s="102" t="s">
        <v>79</v>
      </c>
      <c r="D141" s="190" t="s">
        <v>202</v>
      </c>
      <c r="E141" s="125" t="s">
        <v>202</v>
      </c>
      <c r="F141" s="125" t="s">
        <v>202</v>
      </c>
      <c r="G141" s="125" t="s">
        <v>202</v>
      </c>
      <c r="H141" s="125" t="s">
        <v>202</v>
      </c>
      <c r="I141" s="125" t="s">
        <v>202</v>
      </c>
      <c r="J141" s="191" t="s">
        <v>202</v>
      </c>
      <c r="K141" s="190" t="s">
        <v>202</v>
      </c>
      <c r="L141" s="125" t="s">
        <v>202</v>
      </c>
      <c r="M141" s="125" t="s">
        <v>202</v>
      </c>
      <c r="N141" s="125" t="s">
        <v>202</v>
      </c>
      <c r="O141" s="125" t="s">
        <v>202</v>
      </c>
      <c r="P141" s="125" t="s">
        <v>202</v>
      </c>
      <c r="Q141" s="125" t="s">
        <v>202</v>
      </c>
      <c r="R141" s="191" t="s">
        <v>202</v>
      </c>
    </row>
    <row r="142" spans="1:18" s="90" customFormat="1" ht="12" customHeight="1">
      <c r="A142" s="101" t="s">
        <v>9</v>
      </c>
      <c r="B142" s="70"/>
      <c r="C142" s="102" t="s">
        <v>56</v>
      </c>
      <c r="D142" s="190" t="s">
        <v>202</v>
      </c>
      <c r="E142" s="125" t="s">
        <v>202</v>
      </c>
      <c r="F142" s="125" t="s">
        <v>202</v>
      </c>
      <c r="G142" s="125" t="s">
        <v>202</v>
      </c>
      <c r="H142" s="125" t="s">
        <v>202</v>
      </c>
      <c r="I142" s="125" t="s">
        <v>202</v>
      </c>
      <c r="J142" s="191" t="s">
        <v>202</v>
      </c>
      <c r="K142" s="190" t="s">
        <v>202</v>
      </c>
      <c r="L142" s="125" t="s">
        <v>202</v>
      </c>
      <c r="M142" s="125" t="s">
        <v>202</v>
      </c>
      <c r="N142" s="125" t="s">
        <v>202</v>
      </c>
      <c r="O142" s="125" t="s">
        <v>202</v>
      </c>
      <c r="P142" s="125" t="s">
        <v>202</v>
      </c>
      <c r="Q142" s="125" t="s">
        <v>202</v>
      </c>
      <c r="R142" s="191" t="s">
        <v>202</v>
      </c>
    </row>
    <row r="143" spans="1:18" s="90" customFormat="1" ht="10.199999999999999">
      <c r="A143" s="101" t="s">
        <v>9</v>
      </c>
      <c r="B143" s="70"/>
      <c r="C143" s="103" t="s">
        <v>157</v>
      </c>
      <c r="D143" s="190" t="s">
        <v>202</v>
      </c>
      <c r="E143" s="125" t="s">
        <v>202</v>
      </c>
      <c r="F143" s="125" t="s">
        <v>202</v>
      </c>
      <c r="G143" s="125" t="s">
        <v>202</v>
      </c>
      <c r="H143" s="125" t="s">
        <v>202</v>
      </c>
      <c r="I143" s="125" t="s">
        <v>202</v>
      </c>
      <c r="J143" s="191" t="s">
        <v>202</v>
      </c>
      <c r="K143" s="190" t="s">
        <v>202</v>
      </c>
      <c r="L143" s="125" t="s">
        <v>202</v>
      </c>
      <c r="M143" s="125" t="s">
        <v>202</v>
      </c>
      <c r="N143" s="125" t="s">
        <v>202</v>
      </c>
      <c r="O143" s="125" t="s">
        <v>202</v>
      </c>
      <c r="P143" s="125" t="s">
        <v>202</v>
      </c>
      <c r="Q143" s="125" t="s">
        <v>202</v>
      </c>
      <c r="R143" s="191" t="s">
        <v>202</v>
      </c>
    </row>
    <row r="144" spans="1:18" s="90" customFormat="1" ht="10.199999999999999">
      <c r="A144" s="101" t="s">
        <v>9</v>
      </c>
      <c r="B144" s="70"/>
      <c r="C144" s="102" t="s">
        <v>158</v>
      </c>
      <c r="D144" s="190" t="s">
        <v>202</v>
      </c>
      <c r="E144" s="125" t="s">
        <v>202</v>
      </c>
      <c r="F144" s="125" t="s">
        <v>202</v>
      </c>
      <c r="G144" s="125" t="s">
        <v>202</v>
      </c>
      <c r="H144" s="125" t="s">
        <v>202</v>
      </c>
      <c r="I144" s="125" t="s">
        <v>202</v>
      </c>
      <c r="J144" s="191" t="s">
        <v>202</v>
      </c>
      <c r="K144" s="190" t="s">
        <v>202</v>
      </c>
      <c r="L144" s="125" t="s">
        <v>202</v>
      </c>
      <c r="M144" s="125" t="s">
        <v>202</v>
      </c>
      <c r="N144" s="125" t="s">
        <v>202</v>
      </c>
      <c r="O144" s="125" t="s">
        <v>202</v>
      </c>
      <c r="P144" s="125" t="s">
        <v>202</v>
      </c>
      <c r="Q144" s="125" t="s">
        <v>202</v>
      </c>
      <c r="R144" s="191" t="s">
        <v>202</v>
      </c>
    </row>
    <row r="145" spans="1:18" s="90" customFormat="1" ht="12" customHeight="1">
      <c r="A145" s="101" t="s">
        <v>9</v>
      </c>
      <c r="B145" s="70"/>
      <c r="C145" s="102" t="s">
        <v>159</v>
      </c>
      <c r="D145" s="190" t="s">
        <v>202</v>
      </c>
      <c r="E145" s="125" t="s">
        <v>202</v>
      </c>
      <c r="F145" s="125" t="s">
        <v>202</v>
      </c>
      <c r="G145" s="125" t="s">
        <v>202</v>
      </c>
      <c r="H145" s="125" t="s">
        <v>202</v>
      </c>
      <c r="I145" s="125" t="s">
        <v>202</v>
      </c>
      <c r="J145" s="191" t="s">
        <v>202</v>
      </c>
      <c r="K145" s="190" t="s">
        <v>202</v>
      </c>
      <c r="L145" s="125" t="s">
        <v>202</v>
      </c>
      <c r="M145" s="125" t="s">
        <v>202</v>
      </c>
      <c r="N145" s="125" t="s">
        <v>202</v>
      </c>
      <c r="O145" s="125" t="s">
        <v>202</v>
      </c>
      <c r="P145" s="125" t="s">
        <v>202</v>
      </c>
      <c r="Q145" s="125" t="s">
        <v>202</v>
      </c>
      <c r="R145" s="191" t="s">
        <v>202</v>
      </c>
    </row>
    <row r="146" spans="1:18" s="90" customFormat="1" ht="12" customHeight="1">
      <c r="A146" s="101" t="s">
        <v>9</v>
      </c>
      <c r="B146" s="70"/>
      <c r="C146" s="102" t="s">
        <v>160</v>
      </c>
      <c r="D146" s="190" t="s">
        <v>202</v>
      </c>
      <c r="E146" s="125" t="s">
        <v>202</v>
      </c>
      <c r="F146" s="125" t="s">
        <v>202</v>
      </c>
      <c r="G146" s="125" t="s">
        <v>202</v>
      </c>
      <c r="H146" s="125" t="s">
        <v>202</v>
      </c>
      <c r="I146" s="125" t="s">
        <v>202</v>
      </c>
      <c r="J146" s="191" t="s">
        <v>202</v>
      </c>
      <c r="K146" s="190" t="s">
        <v>202</v>
      </c>
      <c r="L146" s="125" t="s">
        <v>202</v>
      </c>
      <c r="M146" s="125" t="s">
        <v>202</v>
      </c>
      <c r="N146" s="125" t="s">
        <v>202</v>
      </c>
      <c r="O146" s="125" t="s">
        <v>202</v>
      </c>
      <c r="P146" s="125" t="s">
        <v>202</v>
      </c>
      <c r="Q146" s="125" t="s">
        <v>202</v>
      </c>
      <c r="R146" s="191" t="s">
        <v>202</v>
      </c>
    </row>
    <row r="147" spans="1:18" s="90" customFormat="1" ht="12" customHeight="1">
      <c r="A147" s="112" t="s">
        <v>10</v>
      </c>
      <c r="B147" s="73"/>
      <c r="C147" s="102" t="s">
        <v>79</v>
      </c>
      <c r="D147" s="187" t="s">
        <v>0</v>
      </c>
      <c r="E147" s="188" t="s">
        <v>0</v>
      </c>
      <c r="F147" s="188" t="s">
        <v>0</v>
      </c>
      <c r="G147" s="188" t="s">
        <v>0</v>
      </c>
      <c r="H147" s="188" t="s">
        <v>0</v>
      </c>
      <c r="I147" s="188" t="s">
        <v>0</v>
      </c>
      <c r="J147" s="189" t="s">
        <v>0</v>
      </c>
      <c r="K147" s="187" t="s">
        <v>0</v>
      </c>
      <c r="L147" s="188" t="s">
        <v>0</v>
      </c>
      <c r="M147" s="188" t="s">
        <v>0</v>
      </c>
      <c r="N147" s="188" t="s">
        <v>0</v>
      </c>
      <c r="O147" s="188" t="s">
        <v>0</v>
      </c>
      <c r="P147" s="188" t="s">
        <v>0</v>
      </c>
      <c r="Q147" s="188" t="s">
        <v>0</v>
      </c>
      <c r="R147" s="189" t="s">
        <v>0</v>
      </c>
    </row>
    <row r="148" spans="1:18" s="90" customFormat="1" ht="12" customHeight="1">
      <c r="A148" s="112" t="s">
        <v>10</v>
      </c>
      <c r="B148" s="73"/>
      <c r="C148" s="102" t="s">
        <v>56</v>
      </c>
      <c r="D148" s="187" t="s">
        <v>115</v>
      </c>
      <c r="E148" s="188" t="s">
        <v>115</v>
      </c>
      <c r="F148" s="188" t="s">
        <v>115</v>
      </c>
      <c r="G148" s="188" t="s">
        <v>115</v>
      </c>
      <c r="H148" s="188" t="s">
        <v>115</v>
      </c>
      <c r="I148" s="188" t="s">
        <v>202</v>
      </c>
      <c r="J148" s="189" t="s">
        <v>115</v>
      </c>
      <c r="K148" s="187" t="s">
        <v>202</v>
      </c>
      <c r="L148" s="188" t="s">
        <v>23</v>
      </c>
      <c r="M148" s="188" t="s">
        <v>115</v>
      </c>
      <c r="N148" s="188" t="s">
        <v>112</v>
      </c>
      <c r="O148" s="188" t="s">
        <v>202</v>
      </c>
      <c r="P148" s="188" t="s">
        <v>202</v>
      </c>
      <c r="Q148" s="188" t="s">
        <v>202</v>
      </c>
      <c r="R148" s="189" t="s">
        <v>202</v>
      </c>
    </row>
    <row r="149" spans="1:18" s="90" customFormat="1" ht="10.199999999999999">
      <c r="A149" s="112" t="s">
        <v>10</v>
      </c>
      <c r="B149" s="73">
        <v>1</v>
      </c>
      <c r="C149" s="111" t="s">
        <v>157</v>
      </c>
      <c r="D149" s="187" t="s">
        <v>115</v>
      </c>
      <c r="E149" s="188" t="s">
        <v>115</v>
      </c>
      <c r="F149" s="188" t="s">
        <v>115</v>
      </c>
      <c r="G149" s="188" t="s">
        <v>115</v>
      </c>
      <c r="H149" s="188" t="s">
        <v>115</v>
      </c>
      <c r="I149" s="188" t="s">
        <v>202</v>
      </c>
      <c r="J149" s="189" t="s">
        <v>115</v>
      </c>
      <c r="K149" s="187" t="s">
        <v>202</v>
      </c>
      <c r="L149" s="188" t="s">
        <v>202</v>
      </c>
      <c r="M149" s="188" t="s">
        <v>204</v>
      </c>
      <c r="N149" s="188" t="s">
        <v>112</v>
      </c>
      <c r="O149" s="188" t="s">
        <v>202</v>
      </c>
      <c r="P149" s="188" t="s">
        <v>202</v>
      </c>
      <c r="Q149" s="188" t="s">
        <v>202</v>
      </c>
      <c r="R149" s="189" t="s">
        <v>202</v>
      </c>
    </row>
    <row r="150" spans="1:18" s="90" customFormat="1" ht="10.199999999999999">
      <c r="A150" s="112" t="s">
        <v>10</v>
      </c>
      <c r="B150" s="73"/>
      <c r="C150" s="102" t="s">
        <v>158</v>
      </c>
      <c r="D150" s="187" t="s">
        <v>23</v>
      </c>
      <c r="E150" s="188" t="s">
        <v>23</v>
      </c>
      <c r="F150" s="188" t="s">
        <v>23</v>
      </c>
      <c r="G150" s="188" t="s">
        <v>23</v>
      </c>
      <c r="H150" s="188" t="s">
        <v>23</v>
      </c>
      <c r="I150" s="188" t="s">
        <v>23</v>
      </c>
      <c r="J150" s="189" t="s">
        <v>23</v>
      </c>
      <c r="K150" s="187" t="s">
        <v>23</v>
      </c>
      <c r="L150" s="188" t="s">
        <v>23</v>
      </c>
      <c r="M150" s="188" t="s">
        <v>23</v>
      </c>
      <c r="N150" s="188" t="s">
        <v>23</v>
      </c>
      <c r="O150" s="188" t="s">
        <v>23</v>
      </c>
      <c r="P150" s="188" t="s">
        <v>23</v>
      </c>
      <c r="Q150" s="188" t="s">
        <v>23</v>
      </c>
      <c r="R150" s="189" t="s">
        <v>23</v>
      </c>
    </row>
    <row r="151" spans="1:18" s="90" customFormat="1" ht="12" customHeight="1">
      <c r="A151" s="112" t="s">
        <v>10</v>
      </c>
      <c r="B151" s="73"/>
      <c r="C151" s="102" t="s">
        <v>159</v>
      </c>
      <c r="D151" s="187" t="s">
        <v>115</v>
      </c>
      <c r="E151" s="188" t="s">
        <v>115</v>
      </c>
      <c r="F151" s="188" t="s">
        <v>115</v>
      </c>
      <c r="G151" s="188" t="s">
        <v>115</v>
      </c>
      <c r="H151" s="188" t="s">
        <v>115</v>
      </c>
      <c r="I151" s="188" t="s">
        <v>202</v>
      </c>
      <c r="J151" s="189" t="s">
        <v>115</v>
      </c>
      <c r="K151" s="187" t="s">
        <v>202</v>
      </c>
      <c r="L151" s="188" t="s">
        <v>202</v>
      </c>
      <c r="M151" s="188" t="s">
        <v>202</v>
      </c>
      <c r="N151" s="188" t="s">
        <v>112</v>
      </c>
      <c r="O151" s="188" t="s">
        <v>202</v>
      </c>
      <c r="P151" s="188" t="s">
        <v>202</v>
      </c>
      <c r="Q151" s="188" t="s">
        <v>202</v>
      </c>
      <c r="R151" s="189" t="s">
        <v>202</v>
      </c>
    </row>
    <row r="152" spans="1:18" s="90" customFormat="1" ht="12" customHeight="1">
      <c r="A152" s="112" t="s">
        <v>10</v>
      </c>
      <c r="B152" s="73"/>
      <c r="C152" s="102" t="s">
        <v>160</v>
      </c>
      <c r="D152" s="187" t="s">
        <v>0</v>
      </c>
      <c r="E152" s="188" t="s">
        <v>0</v>
      </c>
      <c r="F152" s="188" t="s">
        <v>0</v>
      </c>
      <c r="G152" s="188" t="s">
        <v>0</v>
      </c>
      <c r="H152" s="188" t="s">
        <v>0</v>
      </c>
      <c r="I152" s="188" t="s">
        <v>0</v>
      </c>
      <c r="J152" s="189" t="s">
        <v>0</v>
      </c>
      <c r="K152" s="187" t="s">
        <v>0</v>
      </c>
      <c r="L152" s="188" t="s">
        <v>0</v>
      </c>
      <c r="M152" s="188" t="s">
        <v>0</v>
      </c>
      <c r="N152" s="188" t="s">
        <v>0</v>
      </c>
      <c r="O152" s="188" t="s">
        <v>0</v>
      </c>
      <c r="P152" s="188" t="s">
        <v>0</v>
      </c>
      <c r="Q152" s="188" t="s">
        <v>0</v>
      </c>
      <c r="R152" s="189" t="s">
        <v>0</v>
      </c>
    </row>
    <row r="153" spans="1:18" s="90" customFormat="1" ht="12" customHeight="1">
      <c r="A153" s="101" t="s">
        <v>11</v>
      </c>
      <c r="B153" s="70"/>
      <c r="C153" s="102" t="s">
        <v>79</v>
      </c>
      <c r="D153" s="190" t="s">
        <v>0</v>
      </c>
      <c r="E153" s="125" t="s">
        <v>0</v>
      </c>
      <c r="F153" s="125" t="s">
        <v>0</v>
      </c>
      <c r="G153" s="125" t="s">
        <v>0</v>
      </c>
      <c r="H153" s="125" t="s">
        <v>0</v>
      </c>
      <c r="I153" s="125" t="s">
        <v>0</v>
      </c>
      <c r="J153" s="191" t="s">
        <v>0</v>
      </c>
      <c r="K153" s="190" t="s">
        <v>0</v>
      </c>
      <c r="L153" s="125" t="s">
        <v>0</v>
      </c>
      <c r="M153" s="125" t="s">
        <v>0</v>
      </c>
      <c r="N153" s="125" t="s">
        <v>0</v>
      </c>
      <c r="O153" s="125" t="s">
        <v>0</v>
      </c>
      <c r="P153" s="125" t="s">
        <v>0</v>
      </c>
      <c r="Q153" s="125" t="s">
        <v>0</v>
      </c>
      <c r="R153" s="191" t="s">
        <v>0</v>
      </c>
    </row>
    <row r="154" spans="1:18" s="90" customFormat="1" ht="12" customHeight="1">
      <c r="A154" s="101" t="s">
        <v>11</v>
      </c>
      <c r="B154" s="70"/>
      <c r="C154" s="102" t="s">
        <v>56</v>
      </c>
      <c r="D154" s="190" t="s">
        <v>115</v>
      </c>
      <c r="E154" s="125" t="s">
        <v>115</v>
      </c>
      <c r="F154" s="125" t="s">
        <v>115</v>
      </c>
      <c r="G154" s="125" t="s">
        <v>115</v>
      </c>
      <c r="H154" s="125" t="s">
        <v>115</v>
      </c>
      <c r="I154" s="125" t="s">
        <v>202</v>
      </c>
      <c r="J154" s="191" t="s">
        <v>115</v>
      </c>
      <c r="K154" s="190" t="s">
        <v>202</v>
      </c>
      <c r="L154" s="125" t="s">
        <v>202</v>
      </c>
      <c r="M154" s="125" t="s">
        <v>202</v>
      </c>
      <c r="N154" s="125" t="s">
        <v>124</v>
      </c>
      <c r="O154" s="125" t="s">
        <v>112</v>
      </c>
      <c r="P154" s="125" t="s">
        <v>202</v>
      </c>
      <c r="Q154" s="125" t="s">
        <v>112</v>
      </c>
      <c r="R154" s="191" t="s">
        <v>112</v>
      </c>
    </row>
    <row r="155" spans="1:18" s="90" customFormat="1" ht="10.199999999999999">
      <c r="A155" s="101" t="s">
        <v>11</v>
      </c>
      <c r="B155" s="70"/>
      <c r="C155" s="103" t="s">
        <v>157</v>
      </c>
      <c r="D155" s="190" t="s">
        <v>115</v>
      </c>
      <c r="E155" s="125" t="s">
        <v>115</v>
      </c>
      <c r="F155" s="125" t="s">
        <v>115</v>
      </c>
      <c r="G155" s="125" t="s">
        <v>115</v>
      </c>
      <c r="H155" s="125" t="s">
        <v>115</v>
      </c>
      <c r="I155" s="125" t="s">
        <v>202</v>
      </c>
      <c r="J155" s="191" t="s">
        <v>115</v>
      </c>
      <c r="K155" s="190" t="s">
        <v>202</v>
      </c>
      <c r="L155" s="125" t="s">
        <v>202</v>
      </c>
      <c r="M155" s="125" t="s">
        <v>202</v>
      </c>
      <c r="N155" s="125" t="s">
        <v>124</v>
      </c>
      <c r="O155" s="125" t="s">
        <v>112</v>
      </c>
      <c r="P155" s="125" t="s">
        <v>202</v>
      </c>
      <c r="Q155" s="125" t="s">
        <v>112</v>
      </c>
      <c r="R155" s="191" t="s">
        <v>112</v>
      </c>
    </row>
    <row r="156" spans="1:18" s="90" customFormat="1" ht="10.199999999999999">
      <c r="A156" s="101" t="s">
        <v>11</v>
      </c>
      <c r="B156" s="70"/>
      <c r="C156" s="102" t="s">
        <v>158</v>
      </c>
      <c r="D156" s="190" t="s">
        <v>23</v>
      </c>
      <c r="E156" s="125" t="s">
        <v>23</v>
      </c>
      <c r="F156" s="125" t="s">
        <v>23</v>
      </c>
      <c r="G156" s="125" t="s">
        <v>23</v>
      </c>
      <c r="H156" s="125" t="s">
        <v>23</v>
      </c>
      <c r="I156" s="125" t="s">
        <v>23</v>
      </c>
      <c r="J156" s="191" t="s">
        <v>23</v>
      </c>
      <c r="K156" s="190" t="s">
        <v>23</v>
      </c>
      <c r="L156" s="125" t="s">
        <v>23</v>
      </c>
      <c r="M156" s="125" t="s">
        <v>23</v>
      </c>
      <c r="N156" s="125" t="s">
        <v>23</v>
      </c>
      <c r="O156" s="125" t="s">
        <v>23</v>
      </c>
      <c r="P156" s="125" t="s">
        <v>23</v>
      </c>
      <c r="Q156" s="125" t="s">
        <v>23</v>
      </c>
      <c r="R156" s="191" t="s">
        <v>23</v>
      </c>
    </row>
    <row r="157" spans="1:18" s="90" customFormat="1" ht="12" customHeight="1">
      <c r="A157" s="101" t="s">
        <v>11</v>
      </c>
      <c r="B157" s="70"/>
      <c r="C157" s="102" t="s">
        <v>159</v>
      </c>
      <c r="D157" s="190" t="s">
        <v>115</v>
      </c>
      <c r="E157" s="125" t="s">
        <v>115</v>
      </c>
      <c r="F157" s="125" t="s">
        <v>115</v>
      </c>
      <c r="G157" s="125" t="s">
        <v>115</v>
      </c>
      <c r="H157" s="125" t="s">
        <v>115</v>
      </c>
      <c r="I157" s="125" t="s">
        <v>202</v>
      </c>
      <c r="J157" s="191" t="s">
        <v>115</v>
      </c>
      <c r="K157" s="190" t="s">
        <v>202</v>
      </c>
      <c r="L157" s="125" t="s">
        <v>202</v>
      </c>
      <c r="M157" s="125" t="s">
        <v>202</v>
      </c>
      <c r="N157" s="125" t="s">
        <v>124</v>
      </c>
      <c r="O157" s="125" t="s">
        <v>112</v>
      </c>
      <c r="P157" s="125" t="s">
        <v>202</v>
      </c>
      <c r="Q157" s="125" t="s">
        <v>112</v>
      </c>
      <c r="R157" s="191" t="s">
        <v>112</v>
      </c>
    </row>
    <row r="158" spans="1:18" s="90" customFormat="1" ht="12" customHeight="1">
      <c r="A158" s="101" t="s">
        <v>11</v>
      </c>
      <c r="B158" s="70"/>
      <c r="C158" s="102" t="s">
        <v>160</v>
      </c>
      <c r="D158" s="190" t="s">
        <v>115</v>
      </c>
      <c r="E158" s="125" t="s">
        <v>115</v>
      </c>
      <c r="F158" s="125" t="s">
        <v>115</v>
      </c>
      <c r="G158" s="125" t="s">
        <v>115</v>
      </c>
      <c r="H158" s="125" t="s">
        <v>115</v>
      </c>
      <c r="I158" s="125" t="s">
        <v>202</v>
      </c>
      <c r="J158" s="191" t="s">
        <v>115</v>
      </c>
      <c r="K158" s="190" t="s">
        <v>202</v>
      </c>
      <c r="L158" s="125" t="s">
        <v>202</v>
      </c>
      <c r="M158" s="125" t="s">
        <v>202</v>
      </c>
      <c r="N158" s="125" t="s">
        <v>124</v>
      </c>
      <c r="O158" s="125" t="s">
        <v>112</v>
      </c>
      <c r="P158" s="125" t="s">
        <v>202</v>
      </c>
      <c r="Q158" s="125" t="s">
        <v>112</v>
      </c>
      <c r="R158" s="191" t="s">
        <v>112</v>
      </c>
    </row>
    <row r="159" spans="1:18" s="90" customFormat="1" ht="12" customHeight="1">
      <c r="A159" s="112" t="s">
        <v>31</v>
      </c>
      <c r="B159" s="73"/>
      <c r="C159" s="102" t="s">
        <v>79</v>
      </c>
      <c r="D159" s="187" t="s">
        <v>115</v>
      </c>
      <c r="E159" s="188" t="s">
        <v>115</v>
      </c>
      <c r="F159" s="188" t="s">
        <v>115</v>
      </c>
      <c r="G159" s="188" t="s">
        <v>115</v>
      </c>
      <c r="H159" s="188" t="s">
        <v>115</v>
      </c>
      <c r="I159" s="188" t="s">
        <v>115</v>
      </c>
      <c r="J159" s="189" t="s">
        <v>115</v>
      </c>
      <c r="K159" s="187" t="s">
        <v>202</v>
      </c>
      <c r="L159" s="188" t="s">
        <v>115</v>
      </c>
      <c r="M159" s="188" t="s">
        <v>124</v>
      </c>
      <c r="N159" s="188" t="s">
        <v>112</v>
      </c>
      <c r="O159" s="188" t="s">
        <v>112</v>
      </c>
      <c r="P159" s="188" t="s">
        <v>202</v>
      </c>
      <c r="Q159" s="188" t="s">
        <v>112</v>
      </c>
      <c r="R159" s="189" t="s">
        <v>115</v>
      </c>
    </row>
    <row r="160" spans="1:18" s="90" customFormat="1" ht="12" customHeight="1">
      <c r="A160" s="112" t="s">
        <v>31</v>
      </c>
      <c r="B160" s="73"/>
      <c r="C160" s="102" t="s">
        <v>56</v>
      </c>
      <c r="D160" s="187" t="s">
        <v>115</v>
      </c>
      <c r="E160" s="188" t="s">
        <v>115</v>
      </c>
      <c r="F160" s="188" t="s">
        <v>115</v>
      </c>
      <c r="G160" s="188" t="s">
        <v>115</v>
      </c>
      <c r="H160" s="188" t="s">
        <v>115</v>
      </c>
      <c r="I160" s="188" t="s">
        <v>115</v>
      </c>
      <c r="J160" s="189" t="s">
        <v>115</v>
      </c>
      <c r="K160" s="187" t="s">
        <v>202</v>
      </c>
      <c r="L160" s="188" t="s">
        <v>112</v>
      </c>
      <c r="M160" s="188" t="s">
        <v>124</v>
      </c>
      <c r="N160" s="188" t="s">
        <v>112</v>
      </c>
      <c r="O160" s="188" t="s">
        <v>112</v>
      </c>
      <c r="P160" s="188" t="s">
        <v>202</v>
      </c>
      <c r="Q160" s="188" t="s">
        <v>112</v>
      </c>
      <c r="R160" s="189" t="s">
        <v>115</v>
      </c>
    </row>
    <row r="161" spans="1:18" s="90" customFormat="1" ht="10.199999999999999">
      <c r="A161" s="112" t="s">
        <v>31</v>
      </c>
      <c r="B161" s="73"/>
      <c r="C161" s="111" t="s">
        <v>157</v>
      </c>
      <c r="D161" s="187" t="s">
        <v>115</v>
      </c>
      <c r="E161" s="188" t="s">
        <v>115</v>
      </c>
      <c r="F161" s="188" t="s">
        <v>115</v>
      </c>
      <c r="G161" s="188" t="s">
        <v>115</v>
      </c>
      <c r="H161" s="188" t="s">
        <v>115</v>
      </c>
      <c r="I161" s="188" t="s">
        <v>115</v>
      </c>
      <c r="J161" s="189" t="s">
        <v>115</v>
      </c>
      <c r="K161" s="187" t="s">
        <v>202</v>
      </c>
      <c r="L161" s="188" t="s">
        <v>112</v>
      </c>
      <c r="M161" s="188" t="s">
        <v>124</v>
      </c>
      <c r="N161" s="188" t="s">
        <v>112</v>
      </c>
      <c r="O161" s="188" t="s">
        <v>112</v>
      </c>
      <c r="P161" s="188" t="s">
        <v>202</v>
      </c>
      <c r="Q161" s="188" t="s">
        <v>112</v>
      </c>
      <c r="R161" s="189" t="s">
        <v>115</v>
      </c>
    </row>
    <row r="162" spans="1:18" s="90" customFormat="1" ht="10.199999999999999">
      <c r="A162" s="112" t="s">
        <v>31</v>
      </c>
      <c r="B162" s="73"/>
      <c r="C162" s="102" t="s">
        <v>158</v>
      </c>
      <c r="D162" s="187" t="s">
        <v>23</v>
      </c>
      <c r="E162" s="188" t="s">
        <v>23</v>
      </c>
      <c r="F162" s="188" t="s">
        <v>23</v>
      </c>
      <c r="G162" s="188" t="s">
        <v>23</v>
      </c>
      <c r="H162" s="188" t="s">
        <v>23</v>
      </c>
      <c r="I162" s="188" t="s">
        <v>23</v>
      </c>
      <c r="J162" s="189" t="s">
        <v>23</v>
      </c>
      <c r="K162" s="187" t="s">
        <v>23</v>
      </c>
      <c r="L162" s="188" t="s">
        <v>23</v>
      </c>
      <c r="M162" s="188" t="s">
        <v>23</v>
      </c>
      <c r="N162" s="188" t="s">
        <v>23</v>
      </c>
      <c r="O162" s="188" t="s">
        <v>23</v>
      </c>
      <c r="P162" s="188" t="s">
        <v>23</v>
      </c>
      <c r="Q162" s="188" t="s">
        <v>23</v>
      </c>
      <c r="R162" s="189" t="s">
        <v>23</v>
      </c>
    </row>
    <row r="163" spans="1:18" s="90" customFormat="1" ht="12" customHeight="1">
      <c r="A163" s="112" t="s">
        <v>31</v>
      </c>
      <c r="B163" s="73"/>
      <c r="C163" s="102" t="s">
        <v>159</v>
      </c>
      <c r="D163" s="187" t="s">
        <v>115</v>
      </c>
      <c r="E163" s="188" t="s">
        <v>115</v>
      </c>
      <c r="F163" s="188" t="s">
        <v>115</v>
      </c>
      <c r="G163" s="188" t="s">
        <v>115</v>
      </c>
      <c r="H163" s="188" t="s">
        <v>115</v>
      </c>
      <c r="I163" s="188" t="s">
        <v>115</v>
      </c>
      <c r="J163" s="189" t="s">
        <v>115</v>
      </c>
      <c r="K163" s="187" t="s">
        <v>202</v>
      </c>
      <c r="L163" s="188" t="s">
        <v>112</v>
      </c>
      <c r="M163" s="188" t="s">
        <v>124</v>
      </c>
      <c r="N163" s="188" t="s">
        <v>112</v>
      </c>
      <c r="O163" s="188" t="s">
        <v>112</v>
      </c>
      <c r="P163" s="188" t="s">
        <v>202</v>
      </c>
      <c r="Q163" s="188" t="s">
        <v>112</v>
      </c>
      <c r="R163" s="189" t="s">
        <v>115</v>
      </c>
    </row>
    <row r="164" spans="1:18" s="90" customFormat="1" ht="12" customHeight="1">
      <c r="A164" s="112" t="s">
        <v>31</v>
      </c>
      <c r="B164" s="73"/>
      <c r="C164" s="102" t="s">
        <v>160</v>
      </c>
      <c r="D164" s="187" t="s">
        <v>115</v>
      </c>
      <c r="E164" s="188" t="s">
        <v>115</v>
      </c>
      <c r="F164" s="188" t="s">
        <v>115</v>
      </c>
      <c r="G164" s="188" t="s">
        <v>115</v>
      </c>
      <c r="H164" s="188" t="s">
        <v>115</v>
      </c>
      <c r="I164" s="188" t="s">
        <v>115</v>
      </c>
      <c r="J164" s="189" t="s">
        <v>115</v>
      </c>
      <c r="K164" s="187" t="s">
        <v>202</v>
      </c>
      <c r="L164" s="188" t="s">
        <v>112</v>
      </c>
      <c r="M164" s="188" t="s">
        <v>124</v>
      </c>
      <c r="N164" s="188" t="s">
        <v>112</v>
      </c>
      <c r="O164" s="188" t="s">
        <v>112</v>
      </c>
      <c r="P164" s="188" t="s">
        <v>202</v>
      </c>
      <c r="Q164" s="188" t="s">
        <v>112</v>
      </c>
      <c r="R164" s="189" t="s">
        <v>115</v>
      </c>
    </row>
    <row r="165" spans="1:18" s="90" customFormat="1" ht="12" customHeight="1">
      <c r="A165" s="101" t="s">
        <v>12</v>
      </c>
      <c r="B165" s="70"/>
      <c r="C165" s="102" t="s">
        <v>79</v>
      </c>
      <c r="D165" s="190" t="s">
        <v>115</v>
      </c>
      <c r="E165" s="125" t="s">
        <v>115</v>
      </c>
      <c r="F165" s="125" t="s">
        <v>124</v>
      </c>
      <c r="G165" s="125" t="s">
        <v>115</v>
      </c>
      <c r="H165" s="125" t="s">
        <v>115</v>
      </c>
      <c r="I165" s="125" t="s">
        <v>115</v>
      </c>
      <c r="J165" s="191" t="s">
        <v>115</v>
      </c>
      <c r="K165" s="190" t="s">
        <v>115</v>
      </c>
      <c r="L165" s="125" t="s">
        <v>115</v>
      </c>
      <c r="M165" s="125" t="s">
        <v>115</v>
      </c>
      <c r="N165" s="125" t="s">
        <v>115</v>
      </c>
      <c r="O165" s="125" t="s">
        <v>202</v>
      </c>
      <c r="P165" s="125" t="s">
        <v>115</v>
      </c>
      <c r="Q165" s="125" t="s">
        <v>202</v>
      </c>
      <c r="R165" s="191" t="s">
        <v>112</v>
      </c>
    </row>
    <row r="166" spans="1:18" s="90" customFormat="1" ht="12" customHeight="1">
      <c r="A166" s="101" t="s">
        <v>12</v>
      </c>
      <c r="B166" s="70"/>
      <c r="C166" s="102" t="s">
        <v>56</v>
      </c>
      <c r="D166" s="190" t="s">
        <v>115</v>
      </c>
      <c r="E166" s="125" t="s">
        <v>115</v>
      </c>
      <c r="F166" s="125" t="s">
        <v>115</v>
      </c>
      <c r="G166" s="125" t="s">
        <v>115</v>
      </c>
      <c r="H166" s="125" t="s">
        <v>115</v>
      </c>
      <c r="I166" s="125" t="s">
        <v>115</v>
      </c>
      <c r="J166" s="191" t="s">
        <v>115</v>
      </c>
      <c r="K166" s="190" t="s">
        <v>115</v>
      </c>
      <c r="L166" s="125" t="s">
        <v>115</v>
      </c>
      <c r="M166" s="125" t="s">
        <v>115</v>
      </c>
      <c r="N166" s="125" t="s">
        <v>115</v>
      </c>
      <c r="O166" s="125" t="s">
        <v>202</v>
      </c>
      <c r="P166" s="125" t="s">
        <v>115</v>
      </c>
      <c r="Q166" s="125" t="s">
        <v>202</v>
      </c>
      <c r="R166" s="191" t="s">
        <v>112</v>
      </c>
    </row>
    <row r="167" spans="1:18" s="90" customFormat="1" ht="10.199999999999999">
      <c r="A167" s="101" t="s">
        <v>12</v>
      </c>
      <c r="B167" s="70"/>
      <c r="C167" s="103" t="s">
        <v>157</v>
      </c>
      <c r="D167" s="190" t="s">
        <v>115</v>
      </c>
      <c r="E167" s="125" t="s">
        <v>115</v>
      </c>
      <c r="F167" s="125" t="s">
        <v>115</v>
      </c>
      <c r="G167" s="125" t="s">
        <v>115</v>
      </c>
      <c r="H167" s="125" t="s">
        <v>115</v>
      </c>
      <c r="I167" s="125" t="s">
        <v>112</v>
      </c>
      <c r="J167" s="191" t="s">
        <v>115</v>
      </c>
      <c r="K167" s="190" t="s">
        <v>115</v>
      </c>
      <c r="L167" s="125" t="s">
        <v>115</v>
      </c>
      <c r="M167" s="125" t="s">
        <v>115</v>
      </c>
      <c r="N167" s="125" t="s">
        <v>115</v>
      </c>
      <c r="O167" s="125" t="s">
        <v>202</v>
      </c>
      <c r="P167" s="125" t="s">
        <v>115</v>
      </c>
      <c r="Q167" s="125" t="s">
        <v>202</v>
      </c>
      <c r="R167" s="191" t="s">
        <v>112</v>
      </c>
    </row>
    <row r="168" spans="1:18" s="90" customFormat="1" ht="10.199999999999999">
      <c r="A168" s="101" t="s">
        <v>12</v>
      </c>
      <c r="B168" s="70"/>
      <c r="C168" s="102" t="s">
        <v>158</v>
      </c>
      <c r="D168" s="190" t="s">
        <v>115</v>
      </c>
      <c r="E168" s="125" t="s">
        <v>115</v>
      </c>
      <c r="F168" s="125" t="s">
        <v>115</v>
      </c>
      <c r="G168" s="125" t="s">
        <v>115</v>
      </c>
      <c r="H168" s="125" t="s">
        <v>115</v>
      </c>
      <c r="I168" s="125" t="s">
        <v>112</v>
      </c>
      <c r="J168" s="191" t="s">
        <v>115</v>
      </c>
      <c r="K168" s="190" t="s">
        <v>115</v>
      </c>
      <c r="L168" s="125" t="s">
        <v>115</v>
      </c>
      <c r="M168" s="125" t="s">
        <v>115</v>
      </c>
      <c r="N168" s="125" t="s">
        <v>115</v>
      </c>
      <c r="O168" s="125" t="s">
        <v>202</v>
      </c>
      <c r="P168" s="125" t="s">
        <v>115</v>
      </c>
      <c r="Q168" s="125" t="s">
        <v>202</v>
      </c>
      <c r="R168" s="191" t="s">
        <v>112</v>
      </c>
    </row>
    <row r="169" spans="1:18" s="90" customFormat="1" ht="12" customHeight="1">
      <c r="A169" s="101" t="s">
        <v>12</v>
      </c>
      <c r="B169" s="70"/>
      <c r="C169" s="102" t="s">
        <v>159</v>
      </c>
      <c r="D169" s="190" t="s">
        <v>115</v>
      </c>
      <c r="E169" s="125" t="s">
        <v>115</v>
      </c>
      <c r="F169" s="125" t="s">
        <v>115</v>
      </c>
      <c r="G169" s="125" t="s">
        <v>115</v>
      </c>
      <c r="H169" s="125" t="s">
        <v>115</v>
      </c>
      <c r="I169" s="125" t="s">
        <v>112</v>
      </c>
      <c r="J169" s="191" t="s">
        <v>115</v>
      </c>
      <c r="K169" s="190" t="s">
        <v>115</v>
      </c>
      <c r="L169" s="125" t="s">
        <v>115</v>
      </c>
      <c r="M169" s="125" t="s">
        <v>115</v>
      </c>
      <c r="N169" s="125" t="s">
        <v>115</v>
      </c>
      <c r="O169" s="125" t="s">
        <v>202</v>
      </c>
      <c r="P169" s="125" t="s">
        <v>115</v>
      </c>
      <c r="Q169" s="125" t="s">
        <v>202</v>
      </c>
      <c r="R169" s="191" t="s">
        <v>112</v>
      </c>
    </row>
    <row r="170" spans="1:18" s="90" customFormat="1" ht="12" customHeight="1">
      <c r="A170" s="101" t="s">
        <v>12</v>
      </c>
      <c r="B170" s="70"/>
      <c r="C170" s="102" t="s">
        <v>160</v>
      </c>
      <c r="D170" s="190" t="s">
        <v>115</v>
      </c>
      <c r="E170" s="125" t="s">
        <v>115</v>
      </c>
      <c r="F170" s="125" t="s">
        <v>115</v>
      </c>
      <c r="G170" s="125" t="s">
        <v>115</v>
      </c>
      <c r="H170" s="125" t="s">
        <v>115</v>
      </c>
      <c r="I170" s="125" t="s">
        <v>112</v>
      </c>
      <c r="J170" s="191" t="s">
        <v>115</v>
      </c>
      <c r="K170" s="190" t="s">
        <v>115</v>
      </c>
      <c r="L170" s="125" t="s">
        <v>115</v>
      </c>
      <c r="M170" s="125" t="s">
        <v>115</v>
      </c>
      <c r="N170" s="125" t="s">
        <v>115</v>
      </c>
      <c r="O170" s="125" t="s">
        <v>202</v>
      </c>
      <c r="P170" s="125" t="s">
        <v>115</v>
      </c>
      <c r="Q170" s="125" t="s">
        <v>202</v>
      </c>
      <c r="R170" s="191" t="s">
        <v>112</v>
      </c>
    </row>
    <row r="171" spans="1:18" s="90" customFormat="1" ht="12" customHeight="1">
      <c r="A171" s="112" t="s">
        <v>29</v>
      </c>
      <c r="B171" s="73"/>
      <c r="C171" s="102" t="s">
        <v>79</v>
      </c>
      <c r="D171" s="187" t="s">
        <v>115</v>
      </c>
      <c r="E171" s="188" t="s">
        <v>115</v>
      </c>
      <c r="F171" s="188" t="s">
        <v>23</v>
      </c>
      <c r="G171" s="188" t="s">
        <v>115</v>
      </c>
      <c r="H171" s="188" t="s">
        <v>115</v>
      </c>
      <c r="I171" s="188" t="s">
        <v>115</v>
      </c>
      <c r="J171" s="189" t="s">
        <v>115</v>
      </c>
      <c r="K171" s="187" t="s">
        <v>112</v>
      </c>
      <c r="L171" s="188" t="s">
        <v>202</v>
      </c>
      <c r="M171" s="188" t="s">
        <v>112</v>
      </c>
      <c r="N171" s="188" t="s">
        <v>112</v>
      </c>
      <c r="O171" s="188" t="s">
        <v>112</v>
      </c>
      <c r="P171" s="188" t="s">
        <v>115</v>
      </c>
      <c r="Q171" s="188" t="s">
        <v>112</v>
      </c>
      <c r="R171" s="189" t="s">
        <v>112</v>
      </c>
    </row>
    <row r="172" spans="1:18" s="90" customFormat="1" ht="12" customHeight="1">
      <c r="A172" s="112" t="s">
        <v>29</v>
      </c>
      <c r="B172" s="73"/>
      <c r="C172" s="102" t="s">
        <v>56</v>
      </c>
      <c r="D172" s="187" t="s">
        <v>115</v>
      </c>
      <c r="E172" s="188" t="s">
        <v>115</v>
      </c>
      <c r="F172" s="188" t="s">
        <v>115</v>
      </c>
      <c r="G172" s="188" t="s">
        <v>115</v>
      </c>
      <c r="H172" s="188" t="s">
        <v>115</v>
      </c>
      <c r="I172" s="188" t="s">
        <v>115</v>
      </c>
      <c r="J172" s="189" t="s">
        <v>115</v>
      </c>
      <c r="K172" s="187" t="s">
        <v>112</v>
      </c>
      <c r="L172" s="188" t="s">
        <v>202</v>
      </c>
      <c r="M172" s="188" t="s">
        <v>112</v>
      </c>
      <c r="N172" s="188" t="s">
        <v>112</v>
      </c>
      <c r="O172" s="188" t="s">
        <v>112</v>
      </c>
      <c r="P172" s="188" t="s">
        <v>115</v>
      </c>
      <c r="Q172" s="188" t="s">
        <v>112</v>
      </c>
      <c r="R172" s="189" t="s">
        <v>112</v>
      </c>
    </row>
    <row r="173" spans="1:18" s="90" customFormat="1" ht="10.199999999999999">
      <c r="A173" s="112" t="s">
        <v>29</v>
      </c>
      <c r="B173" s="73"/>
      <c r="C173" s="111" t="s">
        <v>157</v>
      </c>
      <c r="D173" s="187" t="s">
        <v>115</v>
      </c>
      <c r="E173" s="188" t="s">
        <v>115</v>
      </c>
      <c r="F173" s="188" t="s">
        <v>115</v>
      </c>
      <c r="G173" s="188" t="s">
        <v>115</v>
      </c>
      <c r="H173" s="188" t="s">
        <v>115</v>
      </c>
      <c r="I173" s="188" t="s">
        <v>115</v>
      </c>
      <c r="J173" s="189" t="s">
        <v>115</v>
      </c>
      <c r="K173" s="187" t="s">
        <v>112</v>
      </c>
      <c r="L173" s="188" t="s">
        <v>202</v>
      </c>
      <c r="M173" s="188" t="s">
        <v>112</v>
      </c>
      <c r="N173" s="188" t="s">
        <v>112</v>
      </c>
      <c r="O173" s="188" t="s">
        <v>112</v>
      </c>
      <c r="P173" s="188" t="s">
        <v>115</v>
      </c>
      <c r="Q173" s="188" t="s">
        <v>112</v>
      </c>
      <c r="R173" s="189" t="s">
        <v>112</v>
      </c>
    </row>
    <row r="174" spans="1:18" s="90" customFormat="1" ht="10.199999999999999">
      <c r="A174" s="112" t="s">
        <v>29</v>
      </c>
      <c r="B174" s="73"/>
      <c r="C174" s="102" t="s">
        <v>158</v>
      </c>
      <c r="D174" s="187" t="s">
        <v>115</v>
      </c>
      <c r="E174" s="188" t="s">
        <v>115</v>
      </c>
      <c r="F174" s="188" t="s">
        <v>115</v>
      </c>
      <c r="G174" s="188" t="s">
        <v>115</v>
      </c>
      <c r="H174" s="188" t="s">
        <v>115</v>
      </c>
      <c r="I174" s="188" t="s">
        <v>115</v>
      </c>
      <c r="J174" s="189" t="s">
        <v>115</v>
      </c>
      <c r="K174" s="187" t="s">
        <v>112</v>
      </c>
      <c r="L174" s="188" t="s">
        <v>202</v>
      </c>
      <c r="M174" s="188" t="s">
        <v>112</v>
      </c>
      <c r="N174" s="188" t="s">
        <v>112</v>
      </c>
      <c r="O174" s="188" t="s">
        <v>112</v>
      </c>
      <c r="P174" s="188" t="s">
        <v>115</v>
      </c>
      <c r="Q174" s="188" t="s">
        <v>112</v>
      </c>
      <c r="R174" s="189" t="s">
        <v>112</v>
      </c>
    </row>
    <row r="175" spans="1:18" s="90" customFormat="1" ht="12" customHeight="1">
      <c r="A175" s="112" t="s">
        <v>29</v>
      </c>
      <c r="B175" s="73"/>
      <c r="C175" s="102" t="s">
        <v>159</v>
      </c>
      <c r="D175" s="187" t="s">
        <v>115</v>
      </c>
      <c r="E175" s="188" t="s">
        <v>115</v>
      </c>
      <c r="F175" s="188" t="s">
        <v>115</v>
      </c>
      <c r="G175" s="188" t="s">
        <v>115</v>
      </c>
      <c r="H175" s="188" t="s">
        <v>115</v>
      </c>
      <c r="I175" s="188" t="s">
        <v>115</v>
      </c>
      <c r="J175" s="189" t="s">
        <v>115</v>
      </c>
      <c r="K175" s="187" t="s">
        <v>112</v>
      </c>
      <c r="L175" s="188" t="s">
        <v>202</v>
      </c>
      <c r="M175" s="188" t="s">
        <v>112</v>
      </c>
      <c r="N175" s="188" t="s">
        <v>112</v>
      </c>
      <c r="O175" s="188" t="s">
        <v>112</v>
      </c>
      <c r="P175" s="188" t="s">
        <v>115</v>
      </c>
      <c r="Q175" s="188" t="s">
        <v>112</v>
      </c>
      <c r="R175" s="189" t="s">
        <v>112</v>
      </c>
    </row>
    <row r="176" spans="1:18" s="90" customFormat="1" ht="12" customHeight="1">
      <c r="A176" s="112" t="s">
        <v>29</v>
      </c>
      <c r="B176" s="73"/>
      <c r="C176" s="102" t="s">
        <v>160</v>
      </c>
      <c r="D176" s="187" t="s">
        <v>115</v>
      </c>
      <c r="E176" s="188" t="s">
        <v>115</v>
      </c>
      <c r="F176" s="188" t="s">
        <v>115</v>
      </c>
      <c r="G176" s="188" t="s">
        <v>115</v>
      </c>
      <c r="H176" s="188" t="s">
        <v>115</v>
      </c>
      <c r="I176" s="188" t="s">
        <v>115</v>
      </c>
      <c r="J176" s="189" t="s">
        <v>115</v>
      </c>
      <c r="K176" s="187" t="s">
        <v>112</v>
      </c>
      <c r="L176" s="188" t="s">
        <v>202</v>
      </c>
      <c r="M176" s="188" t="s">
        <v>112</v>
      </c>
      <c r="N176" s="188" t="s">
        <v>112</v>
      </c>
      <c r="O176" s="188" t="s">
        <v>112</v>
      </c>
      <c r="P176" s="188" t="s">
        <v>115</v>
      </c>
      <c r="Q176" s="188" t="s">
        <v>112</v>
      </c>
      <c r="R176" s="189" t="s">
        <v>112</v>
      </c>
    </row>
    <row r="177" spans="1:18" s="90" customFormat="1" ht="12" customHeight="1">
      <c r="A177" s="101" t="s">
        <v>39</v>
      </c>
      <c r="B177" s="70"/>
      <c r="C177" s="102" t="s">
        <v>79</v>
      </c>
      <c r="D177" s="190" t="s">
        <v>115</v>
      </c>
      <c r="E177" s="125" t="s">
        <v>115</v>
      </c>
      <c r="F177" s="125" t="s">
        <v>23</v>
      </c>
      <c r="G177" s="125" t="s">
        <v>115</v>
      </c>
      <c r="H177" s="125" t="s">
        <v>115</v>
      </c>
      <c r="I177" s="125" t="s">
        <v>23</v>
      </c>
      <c r="J177" s="191" t="s">
        <v>115</v>
      </c>
      <c r="K177" s="190" t="s">
        <v>202</v>
      </c>
      <c r="L177" s="125" t="s">
        <v>115</v>
      </c>
      <c r="M177" s="125" t="s">
        <v>115</v>
      </c>
      <c r="N177" s="125" t="s">
        <v>115</v>
      </c>
      <c r="O177" s="125" t="s">
        <v>115</v>
      </c>
      <c r="P177" s="125" t="s">
        <v>23</v>
      </c>
      <c r="Q177" s="125" t="s">
        <v>115</v>
      </c>
      <c r="R177" s="191" t="s">
        <v>115</v>
      </c>
    </row>
    <row r="178" spans="1:18" s="90" customFormat="1" ht="12" customHeight="1">
      <c r="A178" s="101" t="s">
        <v>39</v>
      </c>
      <c r="B178" s="70"/>
      <c r="C178" s="102" t="s">
        <v>56</v>
      </c>
      <c r="D178" s="190" t="s">
        <v>115</v>
      </c>
      <c r="E178" s="125" t="s">
        <v>115</v>
      </c>
      <c r="F178" s="125" t="s">
        <v>115</v>
      </c>
      <c r="G178" s="125" t="s">
        <v>115</v>
      </c>
      <c r="H178" s="125" t="s">
        <v>115</v>
      </c>
      <c r="I178" s="125" t="s">
        <v>202</v>
      </c>
      <c r="J178" s="191" t="s">
        <v>115</v>
      </c>
      <c r="K178" s="190" t="s">
        <v>202</v>
      </c>
      <c r="L178" s="125" t="s">
        <v>115</v>
      </c>
      <c r="M178" s="125" t="s">
        <v>115</v>
      </c>
      <c r="N178" s="125" t="s">
        <v>115</v>
      </c>
      <c r="O178" s="125" t="s">
        <v>115</v>
      </c>
      <c r="P178" s="125" t="s">
        <v>23</v>
      </c>
      <c r="Q178" s="125" t="s">
        <v>115</v>
      </c>
      <c r="R178" s="191" t="s">
        <v>115</v>
      </c>
    </row>
    <row r="179" spans="1:18" s="90" customFormat="1" ht="10.199999999999999">
      <c r="A179" s="101" t="s">
        <v>39</v>
      </c>
      <c r="B179" s="70"/>
      <c r="C179" s="103" t="s">
        <v>157</v>
      </c>
      <c r="D179" s="190" t="s">
        <v>115</v>
      </c>
      <c r="E179" s="125" t="s">
        <v>115</v>
      </c>
      <c r="F179" s="125" t="s">
        <v>115</v>
      </c>
      <c r="G179" s="125" t="s">
        <v>115</v>
      </c>
      <c r="H179" s="125" t="s">
        <v>115</v>
      </c>
      <c r="I179" s="125" t="s">
        <v>202</v>
      </c>
      <c r="J179" s="191" t="s">
        <v>115</v>
      </c>
      <c r="K179" s="190" t="s">
        <v>202</v>
      </c>
      <c r="L179" s="125" t="s">
        <v>115</v>
      </c>
      <c r="M179" s="125" t="s">
        <v>115</v>
      </c>
      <c r="N179" s="125" t="s">
        <v>115</v>
      </c>
      <c r="O179" s="125" t="s">
        <v>115</v>
      </c>
      <c r="P179" s="125" t="s">
        <v>23</v>
      </c>
      <c r="Q179" s="125" t="s">
        <v>115</v>
      </c>
      <c r="R179" s="191" t="s">
        <v>115</v>
      </c>
    </row>
    <row r="180" spans="1:18" s="90" customFormat="1" ht="10.199999999999999">
      <c r="A180" s="101" t="s">
        <v>39</v>
      </c>
      <c r="B180" s="70"/>
      <c r="C180" s="102" t="s">
        <v>158</v>
      </c>
      <c r="D180" s="190" t="s">
        <v>23</v>
      </c>
      <c r="E180" s="125" t="s">
        <v>23</v>
      </c>
      <c r="F180" s="125" t="s">
        <v>23</v>
      </c>
      <c r="G180" s="125" t="s">
        <v>23</v>
      </c>
      <c r="H180" s="125" t="s">
        <v>23</v>
      </c>
      <c r="I180" s="125" t="s">
        <v>23</v>
      </c>
      <c r="J180" s="191" t="s">
        <v>23</v>
      </c>
      <c r="K180" s="190" t="s">
        <v>23</v>
      </c>
      <c r="L180" s="125" t="s">
        <v>23</v>
      </c>
      <c r="M180" s="125" t="s">
        <v>23</v>
      </c>
      <c r="N180" s="125" t="s">
        <v>23</v>
      </c>
      <c r="O180" s="125" t="s">
        <v>23</v>
      </c>
      <c r="P180" s="125" t="s">
        <v>23</v>
      </c>
      <c r="Q180" s="125" t="s">
        <v>23</v>
      </c>
      <c r="R180" s="191" t="s">
        <v>23</v>
      </c>
    </row>
    <row r="181" spans="1:18" s="90" customFormat="1" ht="12" customHeight="1">
      <c r="A181" s="101" t="s">
        <v>39</v>
      </c>
      <c r="B181" s="70"/>
      <c r="C181" s="102" t="s">
        <v>159</v>
      </c>
      <c r="D181" s="190" t="s">
        <v>115</v>
      </c>
      <c r="E181" s="125" t="s">
        <v>115</v>
      </c>
      <c r="F181" s="125" t="s">
        <v>115</v>
      </c>
      <c r="G181" s="125" t="s">
        <v>115</v>
      </c>
      <c r="H181" s="125" t="s">
        <v>115</v>
      </c>
      <c r="I181" s="125" t="s">
        <v>202</v>
      </c>
      <c r="J181" s="191" t="s">
        <v>115</v>
      </c>
      <c r="K181" s="190" t="s">
        <v>202</v>
      </c>
      <c r="L181" s="125" t="s">
        <v>115</v>
      </c>
      <c r="M181" s="125" t="s">
        <v>115</v>
      </c>
      <c r="N181" s="125" t="s">
        <v>115</v>
      </c>
      <c r="O181" s="125" t="s">
        <v>115</v>
      </c>
      <c r="P181" s="125" t="s">
        <v>23</v>
      </c>
      <c r="Q181" s="125" t="s">
        <v>115</v>
      </c>
      <c r="R181" s="191" t="s">
        <v>115</v>
      </c>
    </row>
    <row r="182" spans="1:18" s="90" customFormat="1" ht="12" customHeight="1">
      <c r="A182" s="101" t="s">
        <v>39</v>
      </c>
      <c r="B182" s="70"/>
      <c r="C182" s="102" t="s">
        <v>160</v>
      </c>
      <c r="D182" s="190" t="s">
        <v>115</v>
      </c>
      <c r="E182" s="125" t="s">
        <v>115</v>
      </c>
      <c r="F182" s="125" t="s">
        <v>115</v>
      </c>
      <c r="G182" s="125" t="s">
        <v>115</v>
      </c>
      <c r="H182" s="125" t="s">
        <v>115</v>
      </c>
      <c r="I182" s="125" t="s">
        <v>202</v>
      </c>
      <c r="J182" s="191" t="s">
        <v>115</v>
      </c>
      <c r="K182" s="190" t="s">
        <v>202</v>
      </c>
      <c r="L182" s="125" t="s">
        <v>115</v>
      </c>
      <c r="M182" s="125" t="s">
        <v>115</v>
      </c>
      <c r="N182" s="125" t="s">
        <v>115</v>
      </c>
      <c r="O182" s="125" t="s">
        <v>115</v>
      </c>
      <c r="P182" s="125" t="s">
        <v>23</v>
      </c>
      <c r="Q182" s="125" t="s">
        <v>115</v>
      </c>
      <c r="R182" s="191" t="s">
        <v>115</v>
      </c>
    </row>
    <row r="183" spans="1:18" s="90" customFormat="1" ht="12" customHeight="1">
      <c r="A183" s="112" t="s">
        <v>13</v>
      </c>
      <c r="B183" s="73"/>
      <c r="C183" s="102" t="s">
        <v>79</v>
      </c>
      <c r="D183" s="187" t="s">
        <v>115</v>
      </c>
      <c r="E183" s="188" t="s">
        <v>115</v>
      </c>
      <c r="F183" s="188" t="s">
        <v>115</v>
      </c>
      <c r="G183" s="188" t="s">
        <v>115</v>
      </c>
      <c r="H183" s="188" t="s">
        <v>115</v>
      </c>
      <c r="I183" s="188" t="s">
        <v>115</v>
      </c>
      <c r="J183" s="189" t="s">
        <v>115</v>
      </c>
      <c r="K183" s="187" t="s">
        <v>115</v>
      </c>
      <c r="L183" s="188" t="s">
        <v>124</v>
      </c>
      <c r="M183" s="188" t="s">
        <v>115</v>
      </c>
      <c r="N183" s="188" t="s">
        <v>112</v>
      </c>
      <c r="O183" s="188" t="s">
        <v>112</v>
      </c>
      <c r="P183" s="188" t="s">
        <v>124</v>
      </c>
      <c r="Q183" s="188" t="s">
        <v>202</v>
      </c>
      <c r="R183" s="189" t="s">
        <v>112</v>
      </c>
    </row>
    <row r="184" spans="1:18" s="90" customFormat="1" ht="12" customHeight="1">
      <c r="A184" s="112" t="s">
        <v>13</v>
      </c>
      <c r="B184" s="73"/>
      <c r="C184" s="102" t="s">
        <v>56</v>
      </c>
      <c r="D184" s="187" t="s">
        <v>115</v>
      </c>
      <c r="E184" s="188" t="s">
        <v>115</v>
      </c>
      <c r="F184" s="188" t="s">
        <v>115</v>
      </c>
      <c r="G184" s="188" t="s">
        <v>115</v>
      </c>
      <c r="H184" s="188" t="s">
        <v>115</v>
      </c>
      <c r="I184" s="188" t="s">
        <v>115</v>
      </c>
      <c r="J184" s="189" t="s">
        <v>115</v>
      </c>
      <c r="K184" s="187" t="s">
        <v>115</v>
      </c>
      <c r="L184" s="188" t="s">
        <v>124</v>
      </c>
      <c r="M184" s="188" t="s">
        <v>115</v>
      </c>
      <c r="N184" s="188" t="s">
        <v>112</v>
      </c>
      <c r="O184" s="188" t="s">
        <v>112</v>
      </c>
      <c r="P184" s="188" t="s">
        <v>124</v>
      </c>
      <c r="Q184" s="188" t="s">
        <v>202</v>
      </c>
      <c r="R184" s="189" t="s">
        <v>112</v>
      </c>
    </row>
    <row r="185" spans="1:18" s="90" customFormat="1" ht="10.199999999999999">
      <c r="A185" s="112" t="s">
        <v>13</v>
      </c>
      <c r="B185" s="73"/>
      <c r="C185" s="111" t="s">
        <v>157</v>
      </c>
      <c r="D185" s="187" t="s">
        <v>115</v>
      </c>
      <c r="E185" s="188" t="s">
        <v>115</v>
      </c>
      <c r="F185" s="188" t="s">
        <v>115</v>
      </c>
      <c r="G185" s="188" t="s">
        <v>115</v>
      </c>
      <c r="H185" s="188" t="s">
        <v>115</v>
      </c>
      <c r="I185" s="188" t="s">
        <v>115</v>
      </c>
      <c r="J185" s="189" t="s">
        <v>115</v>
      </c>
      <c r="K185" s="187" t="s">
        <v>115</v>
      </c>
      <c r="L185" s="188" t="s">
        <v>124</v>
      </c>
      <c r="M185" s="188" t="s">
        <v>115</v>
      </c>
      <c r="N185" s="188" t="s">
        <v>112</v>
      </c>
      <c r="O185" s="188" t="s">
        <v>112</v>
      </c>
      <c r="P185" s="188" t="s">
        <v>124</v>
      </c>
      <c r="Q185" s="188" t="s">
        <v>202</v>
      </c>
      <c r="R185" s="189" t="s">
        <v>112</v>
      </c>
    </row>
    <row r="186" spans="1:18" s="90" customFormat="1" ht="10.199999999999999">
      <c r="A186" s="112" t="s">
        <v>13</v>
      </c>
      <c r="B186" s="73"/>
      <c r="C186" s="102" t="s">
        <v>158</v>
      </c>
      <c r="D186" s="187" t="s">
        <v>115</v>
      </c>
      <c r="E186" s="188" t="s">
        <v>115</v>
      </c>
      <c r="F186" s="188" t="s">
        <v>115</v>
      </c>
      <c r="G186" s="188" t="s">
        <v>115</v>
      </c>
      <c r="H186" s="188" t="s">
        <v>115</v>
      </c>
      <c r="I186" s="188" t="s">
        <v>115</v>
      </c>
      <c r="J186" s="189" t="s">
        <v>115</v>
      </c>
      <c r="K186" s="187" t="s">
        <v>115</v>
      </c>
      <c r="L186" s="188" t="s">
        <v>124</v>
      </c>
      <c r="M186" s="188" t="s">
        <v>115</v>
      </c>
      <c r="N186" s="188" t="s">
        <v>112</v>
      </c>
      <c r="O186" s="188" t="s">
        <v>112</v>
      </c>
      <c r="P186" s="188" t="s">
        <v>124</v>
      </c>
      <c r="Q186" s="188" t="s">
        <v>202</v>
      </c>
      <c r="R186" s="189" t="s">
        <v>112</v>
      </c>
    </row>
    <row r="187" spans="1:18" s="90" customFormat="1" ht="12" customHeight="1">
      <c r="A187" s="112" t="s">
        <v>13</v>
      </c>
      <c r="B187" s="73"/>
      <c r="C187" s="102" t="s">
        <v>159</v>
      </c>
      <c r="D187" s="187" t="s">
        <v>115</v>
      </c>
      <c r="E187" s="188" t="s">
        <v>115</v>
      </c>
      <c r="F187" s="188" t="s">
        <v>115</v>
      </c>
      <c r="G187" s="188" t="s">
        <v>115</v>
      </c>
      <c r="H187" s="188" t="s">
        <v>115</v>
      </c>
      <c r="I187" s="188" t="s">
        <v>115</v>
      </c>
      <c r="J187" s="189" t="s">
        <v>115</v>
      </c>
      <c r="K187" s="187" t="s">
        <v>115</v>
      </c>
      <c r="L187" s="188" t="s">
        <v>124</v>
      </c>
      <c r="M187" s="188" t="s">
        <v>115</v>
      </c>
      <c r="N187" s="188" t="s">
        <v>112</v>
      </c>
      <c r="O187" s="188" t="s">
        <v>112</v>
      </c>
      <c r="P187" s="188" t="s">
        <v>124</v>
      </c>
      <c r="Q187" s="188" t="s">
        <v>202</v>
      </c>
      <c r="R187" s="189" t="s">
        <v>112</v>
      </c>
    </row>
    <row r="188" spans="1:18" s="90" customFormat="1" ht="12" customHeight="1">
      <c r="A188" s="112" t="s">
        <v>13</v>
      </c>
      <c r="B188" s="73"/>
      <c r="C188" s="102" t="s">
        <v>160</v>
      </c>
      <c r="D188" s="187" t="s">
        <v>115</v>
      </c>
      <c r="E188" s="188" t="s">
        <v>115</v>
      </c>
      <c r="F188" s="188" t="s">
        <v>115</v>
      </c>
      <c r="G188" s="188" t="s">
        <v>115</v>
      </c>
      <c r="H188" s="188" t="s">
        <v>115</v>
      </c>
      <c r="I188" s="188" t="s">
        <v>115</v>
      </c>
      <c r="J188" s="189" t="s">
        <v>115</v>
      </c>
      <c r="K188" s="187" t="s">
        <v>115</v>
      </c>
      <c r="L188" s="188" t="s">
        <v>124</v>
      </c>
      <c r="M188" s="188" t="s">
        <v>115</v>
      </c>
      <c r="N188" s="188" t="s">
        <v>112</v>
      </c>
      <c r="O188" s="188" t="s">
        <v>112</v>
      </c>
      <c r="P188" s="188" t="s">
        <v>124</v>
      </c>
      <c r="Q188" s="188" t="s">
        <v>202</v>
      </c>
      <c r="R188" s="189" t="s">
        <v>112</v>
      </c>
    </row>
    <row r="189" spans="1:18" s="90" customFormat="1" ht="12" customHeight="1">
      <c r="A189" s="101" t="s">
        <v>14</v>
      </c>
      <c r="B189" s="70"/>
      <c r="C189" s="102" t="s">
        <v>79</v>
      </c>
      <c r="D189" s="190" t="s">
        <v>115</v>
      </c>
      <c r="E189" s="125" t="s">
        <v>112</v>
      </c>
      <c r="F189" s="125" t="s">
        <v>23</v>
      </c>
      <c r="G189" s="125" t="s">
        <v>115</v>
      </c>
      <c r="H189" s="125" t="s">
        <v>115</v>
      </c>
      <c r="I189" s="125" t="s">
        <v>115</v>
      </c>
      <c r="J189" s="191" t="s">
        <v>115</v>
      </c>
      <c r="K189" s="190" t="s">
        <v>112</v>
      </c>
      <c r="L189" s="125" t="s">
        <v>112</v>
      </c>
      <c r="M189" s="125" t="s">
        <v>23</v>
      </c>
      <c r="N189" s="125" t="s">
        <v>112</v>
      </c>
      <c r="O189" s="125" t="s">
        <v>112</v>
      </c>
      <c r="P189" s="125" t="s">
        <v>202</v>
      </c>
      <c r="Q189" s="125" t="s">
        <v>23</v>
      </c>
      <c r="R189" s="191" t="s">
        <v>202</v>
      </c>
    </row>
    <row r="190" spans="1:18" s="90" customFormat="1" ht="12" customHeight="1">
      <c r="A190" s="101" t="s">
        <v>14</v>
      </c>
      <c r="B190" s="70"/>
      <c r="C190" s="102" t="s">
        <v>56</v>
      </c>
      <c r="D190" s="190" t="s">
        <v>115</v>
      </c>
      <c r="E190" s="125" t="s">
        <v>115</v>
      </c>
      <c r="F190" s="125" t="s">
        <v>115</v>
      </c>
      <c r="G190" s="125" t="s">
        <v>115</v>
      </c>
      <c r="H190" s="125" t="s">
        <v>115</v>
      </c>
      <c r="I190" s="125" t="s">
        <v>202</v>
      </c>
      <c r="J190" s="191" t="s">
        <v>115</v>
      </c>
      <c r="K190" s="190" t="s">
        <v>112</v>
      </c>
      <c r="L190" s="125" t="s">
        <v>112</v>
      </c>
      <c r="M190" s="125" t="s">
        <v>202</v>
      </c>
      <c r="N190" s="125" t="s">
        <v>112</v>
      </c>
      <c r="O190" s="125" t="s">
        <v>112</v>
      </c>
      <c r="P190" s="125" t="s">
        <v>202</v>
      </c>
      <c r="Q190" s="125" t="s">
        <v>23</v>
      </c>
      <c r="R190" s="191" t="s">
        <v>202</v>
      </c>
    </row>
    <row r="191" spans="1:18" s="90" customFormat="1" ht="10.199999999999999">
      <c r="A191" s="101" t="s">
        <v>14</v>
      </c>
      <c r="B191" s="70"/>
      <c r="C191" s="103" t="s">
        <v>157</v>
      </c>
      <c r="D191" s="190" t="s">
        <v>115</v>
      </c>
      <c r="E191" s="125" t="s">
        <v>115</v>
      </c>
      <c r="F191" s="125" t="s">
        <v>115</v>
      </c>
      <c r="G191" s="125" t="s">
        <v>115</v>
      </c>
      <c r="H191" s="125" t="s">
        <v>115</v>
      </c>
      <c r="I191" s="125" t="s">
        <v>202</v>
      </c>
      <c r="J191" s="191" t="s">
        <v>115</v>
      </c>
      <c r="K191" s="190" t="s">
        <v>112</v>
      </c>
      <c r="L191" s="125" t="s">
        <v>112</v>
      </c>
      <c r="M191" s="125" t="s">
        <v>202</v>
      </c>
      <c r="N191" s="125" t="s">
        <v>112</v>
      </c>
      <c r="O191" s="125" t="s">
        <v>112</v>
      </c>
      <c r="P191" s="125" t="s">
        <v>202</v>
      </c>
      <c r="Q191" s="125" t="s">
        <v>23</v>
      </c>
      <c r="R191" s="191" t="s">
        <v>202</v>
      </c>
    </row>
    <row r="192" spans="1:18" s="90" customFormat="1" ht="10.199999999999999">
      <c r="A192" s="101" t="s">
        <v>14</v>
      </c>
      <c r="B192" s="70"/>
      <c r="C192" s="102" t="s">
        <v>158</v>
      </c>
      <c r="D192" s="190" t="s">
        <v>23</v>
      </c>
      <c r="E192" s="125" t="s">
        <v>23</v>
      </c>
      <c r="F192" s="125" t="s">
        <v>23</v>
      </c>
      <c r="G192" s="125" t="s">
        <v>23</v>
      </c>
      <c r="H192" s="125" t="s">
        <v>23</v>
      </c>
      <c r="I192" s="125" t="s">
        <v>23</v>
      </c>
      <c r="J192" s="191" t="s">
        <v>23</v>
      </c>
      <c r="K192" s="190" t="s">
        <v>23</v>
      </c>
      <c r="L192" s="125" t="s">
        <v>23</v>
      </c>
      <c r="M192" s="125" t="s">
        <v>23</v>
      </c>
      <c r="N192" s="125" t="s">
        <v>23</v>
      </c>
      <c r="O192" s="125" t="s">
        <v>23</v>
      </c>
      <c r="P192" s="125" t="s">
        <v>23</v>
      </c>
      <c r="Q192" s="125" t="s">
        <v>23</v>
      </c>
      <c r="R192" s="191" t="s">
        <v>23</v>
      </c>
    </row>
    <row r="193" spans="1:18" s="90" customFormat="1" ht="12" customHeight="1">
      <c r="A193" s="101" t="s">
        <v>14</v>
      </c>
      <c r="B193" s="70"/>
      <c r="C193" s="102" t="s">
        <v>159</v>
      </c>
      <c r="D193" s="190" t="s">
        <v>115</v>
      </c>
      <c r="E193" s="125" t="s">
        <v>115</v>
      </c>
      <c r="F193" s="125" t="s">
        <v>115</v>
      </c>
      <c r="G193" s="125" t="s">
        <v>115</v>
      </c>
      <c r="H193" s="125" t="s">
        <v>115</v>
      </c>
      <c r="I193" s="125" t="s">
        <v>202</v>
      </c>
      <c r="J193" s="191" t="s">
        <v>115</v>
      </c>
      <c r="K193" s="190" t="s">
        <v>112</v>
      </c>
      <c r="L193" s="125" t="s">
        <v>112</v>
      </c>
      <c r="M193" s="125" t="s">
        <v>202</v>
      </c>
      <c r="N193" s="125" t="s">
        <v>112</v>
      </c>
      <c r="O193" s="125" t="s">
        <v>112</v>
      </c>
      <c r="P193" s="125" t="s">
        <v>202</v>
      </c>
      <c r="Q193" s="125" t="s">
        <v>23</v>
      </c>
      <c r="R193" s="191" t="s">
        <v>202</v>
      </c>
    </row>
    <row r="194" spans="1:18" s="90" customFormat="1" ht="12" customHeight="1">
      <c r="A194" s="101" t="s">
        <v>14</v>
      </c>
      <c r="B194" s="70"/>
      <c r="C194" s="102" t="s">
        <v>160</v>
      </c>
      <c r="D194" s="190" t="s">
        <v>115</v>
      </c>
      <c r="E194" s="125" t="s">
        <v>115</v>
      </c>
      <c r="F194" s="125" t="s">
        <v>115</v>
      </c>
      <c r="G194" s="125" t="s">
        <v>115</v>
      </c>
      <c r="H194" s="125" t="s">
        <v>115</v>
      </c>
      <c r="I194" s="125" t="s">
        <v>202</v>
      </c>
      <c r="J194" s="191" t="s">
        <v>115</v>
      </c>
      <c r="K194" s="190" t="s">
        <v>112</v>
      </c>
      <c r="L194" s="125" t="s">
        <v>112</v>
      </c>
      <c r="M194" s="125" t="s">
        <v>202</v>
      </c>
      <c r="N194" s="125" t="s">
        <v>112</v>
      </c>
      <c r="O194" s="125" t="s">
        <v>112</v>
      </c>
      <c r="P194" s="125" t="s">
        <v>202</v>
      </c>
      <c r="Q194" s="125" t="s">
        <v>23</v>
      </c>
      <c r="R194" s="191" t="s">
        <v>202</v>
      </c>
    </row>
    <row r="195" spans="1:18" s="90" customFormat="1" ht="12" customHeight="1">
      <c r="A195" s="112" t="s">
        <v>15</v>
      </c>
      <c r="B195" s="73"/>
      <c r="C195" s="102" t="s">
        <v>79</v>
      </c>
      <c r="D195" s="187" t="s">
        <v>115</v>
      </c>
      <c r="E195" s="188" t="s">
        <v>115</v>
      </c>
      <c r="F195" s="188" t="s">
        <v>115</v>
      </c>
      <c r="G195" s="188" t="s">
        <v>115</v>
      </c>
      <c r="H195" s="188" t="s">
        <v>115</v>
      </c>
      <c r="I195" s="188" t="s">
        <v>115</v>
      </c>
      <c r="J195" s="189" t="s">
        <v>115</v>
      </c>
      <c r="K195" s="187" t="s">
        <v>112</v>
      </c>
      <c r="L195" s="188" t="s">
        <v>124</v>
      </c>
      <c r="M195" s="188" t="s">
        <v>115</v>
      </c>
      <c r="N195" s="188" t="s">
        <v>124</v>
      </c>
      <c r="O195" s="188" t="s">
        <v>112</v>
      </c>
      <c r="P195" s="188" t="s">
        <v>112</v>
      </c>
      <c r="Q195" s="188" t="s">
        <v>112</v>
      </c>
      <c r="R195" s="189" t="s">
        <v>115</v>
      </c>
    </row>
    <row r="196" spans="1:18" s="90" customFormat="1" ht="12" customHeight="1">
      <c r="A196" s="112" t="s">
        <v>15</v>
      </c>
      <c r="B196" s="73"/>
      <c r="C196" s="102" t="s">
        <v>56</v>
      </c>
      <c r="D196" s="187" t="s">
        <v>115</v>
      </c>
      <c r="E196" s="188" t="s">
        <v>115</v>
      </c>
      <c r="F196" s="188" t="s">
        <v>115</v>
      </c>
      <c r="G196" s="188" t="s">
        <v>115</v>
      </c>
      <c r="H196" s="188" t="s">
        <v>115</v>
      </c>
      <c r="I196" s="188" t="s">
        <v>115</v>
      </c>
      <c r="J196" s="189" t="s">
        <v>115</v>
      </c>
      <c r="K196" s="187" t="s">
        <v>112</v>
      </c>
      <c r="L196" s="188" t="s">
        <v>124</v>
      </c>
      <c r="M196" s="188" t="s">
        <v>115</v>
      </c>
      <c r="N196" s="188" t="s">
        <v>124</v>
      </c>
      <c r="O196" s="188" t="s">
        <v>112</v>
      </c>
      <c r="P196" s="188" t="s">
        <v>112</v>
      </c>
      <c r="Q196" s="188" t="s">
        <v>112</v>
      </c>
      <c r="R196" s="189" t="s">
        <v>115</v>
      </c>
    </row>
    <row r="197" spans="1:18" s="90" customFormat="1" ht="10.199999999999999">
      <c r="A197" s="112" t="s">
        <v>15</v>
      </c>
      <c r="B197" s="73"/>
      <c r="C197" s="102" t="s">
        <v>157</v>
      </c>
      <c r="D197" s="187" t="s">
        <v>115</v>
      </c>
      <c r="E197" s="188" t="s">
        <v>115</v>
      </c>
      <c r="F197" s="188" t="s">
        <v>115</v>
      </c>
      <c r="G197" s="188" t="s">
        <v>115</v>
      </c>
      <c r="H197" s="188" t="s">
        <v>115</v>
      </c>
      <c r="I197" s="188" t="s">
        <v>115</v>
      </c>
      <c r="J197" s="189" t="s">
        <v>115</v>
      </c>
      <c r="K197" s="187" t="s">
        <v>112</v>
      </c>
      <c r="L197" s="188" t="s">
        <v>124</v>
      </c>
      <c r="M197" s="188" t="s">
        <v>115</v>
      </c>
      <c r="N197" s="188" t="s">
        <v>124</v>
      </c>
      <c r="O197" s="188" t="s">
        <v>112</v>
      </c>
      <c r="P197" s="188" t="s">
        <v>112</v>
      </c>
      <c r="Q197" s="188" t="s">
        <v>112</v>
      </c>
      <c r="R197" s="189" t="s">
        <v>115</v>
      </c>
    </row>
    <row r="198" spans="1:18" s="90" customFormat="1" ht="10.199999999999999">
      <c r="A198" s="112" t="s">
        <v>15</v>
      </c>
      <c r="B198" s="73"/>
      <c r="C198" s="111" t="s">
        <v>158</v>
      </c>
      <c r="D198" s="187" t="s">
        <v>23</v>
      </c>
      <c r="E198" s="188" t="s">
        <v>23</v>
      </c>
      <c r="F198" s="188" t="s">
        <v>23</v>
      </c>
      <c r="G198" s="188" t="s">
        <v>23</v>
      </c>
      <c r="H198" s="188" t="s">
        <v>23</v>
      </c>
      <c r="I198" s="188" t="s">
        <v>23</v>
      </c>
      <c r="J198" s="189" t="s">
        <v>23</v>
      </c>
      <c r="K198" s="187" t="s">
        <v>23</v>
      </c>
      <c r="L198" s="188" t="s">
        <v>23</v>
      </c>
      <c r="M198" s="188" t="s">
        <v>23</v>
      </c>
      <c r="N198" s="188" t="s">
        <v>23</v>
      </c>
      <c r="O198" s="188" t="s">
        <v>23</v>
      </c>
      <c r="P198" s="188" t="s">
        <v>23</v>
      </c>
      <c r="Q198" s="188" t="s">
        <v>23</v>
      </c>
      <c r="R198" s="189" t="s">
        <v>23</v>
      </c>
    </row>
    <row r="199" spans="1:18" s="90" customFormat="1" ht="12" customHeight="1">
      <c r="A199" s="112" t="s">
        <v>15</v>
      </c>
      <c r="B199" s="73"/>
      <c r="C199" s="102" t="s">
        <v>159</v>
      </c>
      <c r="D199" s="187" t="s">
        <v>115</v>
      </c>
      <c r="E199" s="188" t="s">
        <v>115</v>
      </c>
      <c r="F199" s="188" t="s">
        <v>115</v>
      </c>
      <c r="G199" s="188" t="s">
        <v>115</v>
      </c>
      <c r="H199" s="188" t="s">
        <v>115</v>
      </c>
      <c r="I199" s="188" t="s">
        <v>124</v>
      </c>
      <c r="J199" s="189" t="s">
        <v>112</v>
      </c>
      <c r="K199" s="187" t="s">
        <v>112</v>
      </c>
      <c r="L199" s="188" t="s">
        <v>124</v>
      </c>
      <c r="M199" s="188" t="s">
        <v>115</v>
      </c>
      <c r="N199" s="188" t="s">
        <v>124</v>
      </c>
      <c r="O199" s="188" t="s">
        <v>112</v>
      </c>
      <c r="P199" s="188" t="s">
        <v>112</v>
      </c>
      <c r="Q199" s="188" t="s">
        <v>112</v>
      </c>
      <c r="R199" s="189" t="s">
        <v>203</v>
      </c>
    </row>
    <row r="200" spans="1:18" s="90" customFormat="1" ht="12" customHeight="1">
      <c r="A200" s="112" t="s">
        <v>15</v>
      </c>
      <c r="B200" s="73"/>
      <c r="C200" s="102" t="s">
        <v>160</v>
      </c>
      <c r="D200" s="187" t="s">
        <v>115</v>
      </c>
      <c r="E200" s="188" t="s">
        <v>115</v>
      </c>
      <c r="F200" s="188" t="s">
        <v>115</v>
      </c>
      <c r="G200" s="188" t="s">
        <v>115</v>
      </c>
      <c r="H200" s="188" t="s">
        <v>115</v>
      </c>
      <c r="I200" s="188" t="s">
        <v>124</v>
      </c>
      <c r="J200" s="189" t="s">
        <v>112</v>
      </c>
      <c r="K200" s="187" t="s">
        <v>112</v>
      </c>
      <c r="L200" s="188" t="s">
        <v>124</v>
      </c>
      <c r="M200" s="188" t="s">
        <v>115</v>
      </c>
      <c r="N200" s="188" t="s">
        <v>124</v>
      </c>
      <c r="O200" s="188" t="s">
        <v>112</v>
      </c>
      <c r="P200" s="188" t="s">
        <v>112</v>
      </c>
      <c r="Q200" s="188" t="s">
        <v>112</v>
      </c>
      <c r="R200" s="189" t="s">
        <v>203</v>
      </c>
    </row>
    <row r="201" spans="1:18" s="90" customFormat="1" ht="12" customHeight="1">
      <c r="A201" s="101" t="s">
        <v>16</v>
      </c>
      <c r="B201" s="70"/>
      <c r="C201" s="102" t="s">
        <v>79</v>
      </c>
      <c r="D201" s="190" t="s">
        <v>115</v>
      </c>
      <c r="E201" s="125" t="s">
        <v>115</v>
      </c>
      <c r="F201" s="125" t="s">
        <v>115</v>
      </c>
      <c r="G201" s="125" t="s">
        <v>124</v>
      </c>
      <c r="H201" s="125" t="s">
        <v>115</v>
      </c>
      <c r="I201" s="125" t="s">
        <v>112</v>
      </c>
      <c r="J201" s="191" t="s">
        <v>115</v>
      </c>
      <c r="K201" s="190" t="s">
        <v>115</v>
      </c>
      <c r="L201" s="125" t="s">
        <v>124</v>
      </c>
      <c r="M201" s="125" t="s">
        <v>124</v>
      </c>
      <c r="N201" s="125" t="s">
        <v>202</v>
      </c>
      <c r="O201" s="125" t="s">
        <v>202</v>
      </c>
      <c r="P201" s="125" t="s">
        <v>202</v>
      </c>
      <c r="Q201" s="125" t="s">
        <v>202</v>
      </c>
      <c r="R201" s="191" t="s">
        <v>112</v>
      </c>
    </row>
    <row r="202" spans="1:18" s="90" customFormat="1" ht="12" customHeight="1">
      <c r="A202" s="101" t="s">
        <v>16</v>
      </c>
      <c r="B202" s="70"/>
      <c r="C202" s="102" t="s">
        <v>56</v>
      </c>
      <c r="D202" s="190" t="s">
        <v>115</v>
      </c>
      <c r="E202" s="125" t="s">
        <v>115</v>
      </c>
      <c r="F202" s="125" t="s">
        <v>115</v>
      </c>
      <c r="G202" s="125" t="s">
        <v>124</v>
      </c>
      <c r="H202" s="125" t="s">
        <v>115</v>
      </c>
      <c r="I202" s="125" t="s">
        <v>112</v>
      </c>
      <c r="J202" s="191" t="s">
        <v>115</v>
      </c>
      <c r="K202" s="190" t="s">
        <v>115</v>
      </c>
      <c r="L202" s="125" t="s">
        <v>112</v>
      </c>
      <c r="M202" s="125" t="s">
        <v>124</v>
      </c>
      <c r="N202" s="125" t="s">
        <v>112</v>
      </c>
      <c r="O202" s="125" t="s">
        <v>202</v>
      </c>
      <c r="P202" s="125" t="s">
        <v>202</v>
      </c>
      <c r="Q202" s="125" t="s">
        <v>202</v>
      </c>
      <c r="R202" s="191" t="s">
        <v>112</v>
      </c>
    </row>
    <row r="203" spans="1:18" s="90" customFormat="1" ht="10.199999999999999">
      <c r="A203" s="101" t="s">
        <v>16</v>
      </c>
      <c r="B203" s="70"/>
      <c r="C203" s="103" t="s">
        <v>157</v>
      </c>
      <c r="D203" s="190" t="s">
        <v>115</v>
      </c>
      <c r="E203" s="125" t="s">
        <v>115</v>
      </c>
      <c r="F203" s="125" t="s">
        <v>115</v>
      </c>
      <c r="G203" s="125" t="s">
        <v>124</v>
      </c>
      <c r="H203" s="125" t="s">
        <v>115</v>
      </c>
      <c r="I203" s="125" t="s">
        <v>112</v>
      </c>
      <c r="J203" s="191" t="s">
        <v>115</v>
      </c>
      <c r="K203" s="190" t="s">
        <v>115</v>
      </c>
      <c r="L203" s="125" t="s">
        <v>112</v>
      </c>
      <c r="M203" s="125" t="s">
        <v>124</v>
      </c>
      <c r="N203" s="125" t="s">
        <v>112</v>
      </c>
      <c r="O203" s="125" t="s">
        <v>202</v>
      </c>
      <c r="P203" s="125" t="s">
        <v>202</v>
      </c>
      <c r="Q203" s="125" t="s">
        <v>202</v>
      </c>
      <c r="R203" s="191" t="s">
        <v>112</v>
      </c>
    </row>
    <row r="204" spans="1:18" s="90" customFormat="1" ht="10.199999999999999">
      <c r="A204" s="101" t="s">
        <v>16</v>
      </c>
      <c r="B204" s="70"/>
      <c r="C204" s="102" t="s">
        <v>158</v>
      </c>
      <c r="D204" s="190" t="s">
        <v>23</v>
      </c>
      <c r="E204" s="125" t="s">
        <v>23</v>
      </c>
      <c r="F204" s="125" t="s">
        <v>23</v>
      </c>
      <c r="G204" s="125" t="s">
        <v>23</v>
      </c>
      <c r="H204" s="125" t="s">
        <v>23</v>
      </c>
      <c r="I204" s="125" t="s">
        <v>23</v>
      </c>
      <c r="J204" s="191" t="s">
        <v>23</v>
      </c>
      <c r="K204" s="190" t="s">
        <v>23</v>
      </c>
      <c r="L204" s="125" t="s">
        <v>23</v>
      </c>
      <c r="M204" s="125" t="s">
        <v>23</v>
      </c>
      <c r="N204" s="125" t="s">
        <v>23</v>
      </c>
      <c r="O204" s="125" t="s">
        <v>23</v>
      </c>
      <c r="P204" s="125" t="s">
        <v>23</v>
      </c>
      <c r="Q204" s="125" t="s">
        <v>23</v>
      </c>
      <c r="R204" s="191" t="s">
        <v>23</v>
      </c>
    </row>
    <row r="205" spans="1:18" s="90" customFormat="1" ht="12" customHeight="1">
      <c r="A205" s="101" t="s">
        <v>16</v>
      </c>
      <c r="B205" s="70"/>
      <c r="C205" s="102" t="s">
        <v>159</v>
      </c>
      <c r="D205" s="190" t="s">
        <v>115</v>
      </c>
      <c r="E205" s="125" t="s">
        <v>115</v>
      </c>
      <c r="F205" s="125" t="s">
        <v>115</v>
      </c>
      <c r="G205" s="125" t="s">
        <v>124</v>
      </c>
      <c r="H205" s="125" t="s">
        <v>115</v>
      </c>
      <c r="I205" s="125" t="s">
        <v>112</v>
      </c>
      <c r="J205" s="191" t="s">
        <v>115</v>
      </c>
      <c r="K205" s="190" t="s">
        <v>115</v>
      </c>
      <c r="L205" s="125" t="s">
        <v>112</v>
      </c>
      <c r="M205" s="125" t="s">
        <v>124</v>
      </c>
      <c r="N205" s="125" t="s">
        <v>112</v>
      </c>
      <c r="O205" s="125" t="s">
        <v>202</v>
      </c>
      <c r="P205" s="125" t="s">
        <v>202</v>
      </c>
      <c r="Q205" s="125" t="s">
        <v>202</v>
      </c>
      <c r="R205" s="191" t="s">
        <v>112</v>
      </c>
    </row>
    <row r="206" spans="1:18" s="90" customFormat="1" ht="12" customHeight="1">
      <c r="A206" s="101" t="s">
        <v>16</v>
      </c>
      <c r="B206" s="70"/>
      <c r="C206" s="102" t="s">
        <v>160</v>
      </c>
      <c r="D206" s="190" t="s">
        <v>115</v>
      </c>
      <c r="E206" s="125" t="s">
        <v>115</v>
      </c>
      <c r="F206" s="125" t="s">
        <v>115</v>
      </c>
      <c r="G206" s="125" t="s">
        <v>124</v>
      </c>
      <c r="H206" s="125" t="s">
        <v>115</v>
      </c>
      <c r="I206" s="125" t="s">
        <v>112</v>
      </c>
      <c r="J206" s="191" t="s">
        <v>115</v>
      </c>
      <c r="K206" s="190" t="s">
        <v>115</v>
      </c>
      <c r="L206" s="125" t="s">
        <v>112</v>
      </c>
      <c r="M206" s="125" t="s">
        <v>124</v>
      </c>
      <c r="N206" s="125" t="s">
        <v>112</v>
      </c>
      <c r="O206" s="125" t="s">
        <v>202</v>
      </c>
      <c r="P206" s="125" t="s">
        <v>202</v>
      </c>
      <c r="Q206" s="125" t="s">
        <v>202</v>
      </c>
      <c r="R206" s="191" t="s">
        <v>112</v>
      </c>
    </row>
    <row r="207" spans="1:18" s="90" customFormat="1" ht="12" customHeight="1">
      <c r="A207" s="112" t="s">
        <v>22</v>
      </c>
      <c r="B207" s="73"/>
      <c r="C207" s="102" t="s">
        <v>79</v>
      </c>
      <c r="D207" s="187" t="s">
        <v>115</v>
      </c>
      <c r="E207" s="188" t="s">
        <v>202</v>
      </c>
      <c r="F207" s="188" t="s">
        <v>202</v>
      </c>
      <c r="G207" s="188" t="s">
        <v>202</v>
      </c>
      <c r="H207" s="188" t="s">
        <v>202</v>
      </c>
      <c r="I207" s="188" t="s">
        <v>202</v>
      </c>
      <c r="J207" s="189" t="s">
        <v>202</v>
      </c>
      <c r="K207" s="187" t="s">
        <v>202</v>
      </c>
      <c r="L207" s="188" t="s">
        <v>202</v>
      </c>
      <c r="M207" s="188" t="s">
        <v>202</v>
      </c>
      <c r="N207" s="188" t="s">
        <v>202</v>
      </c>
      <c r="O207" s="188" t="s">
        <v>202</v>
      </c>
      <c r="P207" s="188" t="s">
        <v>202</v>
      </c>
      <c r="Q207" s="188" t="s">
        <v>202</v>
      </c>
      <c r="R207" s="189" t="s">
        <v>202</v>
      </c>
    </row>
    <row r="208" spans="1:18" s="90" customFormat="1" ht="12" customHeight="1">
      <c r="A208" s="112" t="s">
        <v>22</v>
      </c>
      <c r="B208" s="73"/>
      <c r="C208" s="102" t="s">
        <v>56</v>
      </c>
      <c r="D208" s="187" t="s">
        <v>115</v>
      </c>
      <c r="E208" s="188" t="s">
        <v>202</v>
      </c>
      <c r="F208" s="188" t="s">
        <v>202</v>
      </c>
      <c r="G208" s="188" t="s">
        <v>202</v>
      </c>
      <c r="H208" s="188" t="s">
        <v>202</v>
      </c>
      <c r="I208" s="188" t="s">
        <v>202</v>
      </c>
      <c r="J208" s="189" t="s">
        <v>202</v>
      </c>
      <c r="K208" s="187" t="s">
        <v>202</v>
      </c>
      <c r="L208" s="188" t="s">
        <v>202</v>
      </c>
      <c r="M208" s="188" t="s">
        <v>202</v>
      </c>
      <c r="N208" s="188" t="s">
        <v>202</v>
      </c>
      <c r="O208" s="188" t="s">
        <v>202</v>
      </c>
      <c r="P208" s="188" t="s">
        <v>202</v>
      </c>
      <c r="Q208" s="188" t="s">
        <v>202</v>
      </c>
      <c r="R208" s="189" t="s">
        <v>202</v>
      </c>
    </row>
    <row r="209" spans="1:18" s="90" customFormat="1" ht="10.199999999999999">
      <c r="A209" s="112" t="s">
        <v>22</v>
      </c>
      <c r="B209" s="73"/>
      <c r="C209" s="102" t="s">
        <v>157</v>
      </c>
      <c r="D209" s="187" t="s">
        <v>115</v>
      </c>
      <c r="E209" s="188" t="s">
        <v>202</v>
      </c>
      <c r="F209" s="188" t="s">
        <v>202</v>
      </c>
      <c r="G209" s="188" t="s">
        <v>202</v>
      </c>
      <c r="H209" s="188" t="s">
        <v>202</v>
      </c>
      <c r="I209" s="188" t="s">
        <v>202</v>
      </c>
      <c r="J209" s="189" t="s">
        <v>202</v>
      </c>
      <c r="K209" s="187" t="s">
        <v>202</v>
      </c>
      <c r="L209" s="188" t="s">
        <v>202</v>
      </c>
      <c r="M209" s="188" t="s">
        <v>202</v>
      </c>
      <c r="N209" s="188" t="s">
        <v>202</v>
      </c>
      <c r="O209" s="188" t="s">
        <v>202</v>
      </c>
      <c r="P209" s="188" t="s">
        <v>202</v>
      </c>
      <c r="Q209" s="188" t="s">
        <v>202</v>
      </c>
      <c r="R209" s="189" t="s">
        <v>202</v>
      </c>
    </row>
    <row r="210" spans="1:18" s="90" customFormat="1" ht="10.199999999999999">
      <c r="A210" s="112" t="s">
        <v>22</v>
      </c>
      <c r="B210" s="73"/>
      <c r="C210" s="111" t="s">
        <v>158</v>
      </c>
      <c r="D210" s="187" t="s">
        <v>23</v>
      </c>
      <c r="E210" s="188" t="s">
        <v>23</v>
      </c>
      <c r="F210" s="188" t="s">
        <v>23</v>
      </c>
      <c r="G210" s="188" t="s">
        <v>23</v>
      </c>
      <c r="H210" s="188" t="s">
        <v>23</v>
      </c>
      <c r="I210" s="188" t="s">
        <v>23</v>
      </c>
      <c r="J210" s="189" t="s">
        <v>23</v>
      </c>
      <c r="K210" s="187" t="s">
        <v>23</v>
      </c>
      <c r="L210" s="188" t="s">
        <v>23</v>
      </c>
      <c r="M210" s="188" t="s">
        <v>23</v>
      </c>
      <c r="N210" s="188" t="s">
        <v>23</v>
      </c>
      <c r="O210" s="188" t="s">
        <v>23</v>
      </c>
      <c r="P210" s="188" t="s">
        <v>23</v>
      </c>
      <c r="Q210" s="188" t="s">
        <v>23</v>
      </c>
      <c r="R210" s="189" t="s">
        <v>23</v>
      </c>
    </row>
    <row r="211" spans="1:18" s="90" customFormat="1" ht="12" customHeight="1">
      <c r="A211" s="112" t="s">
        <v>22</v>
      </c>
      <c r="B211" s="73"/>
      <c r="C211" s="102" t="s">
        <v>159</v>
      </c>
      <c r="D211" s="187" t="s">
        <v>115</v>
      </c>
      <c r="E211" s="188" t="s">
        <v>202</v>
      </c>
      <c r="F211" s="188" t="s">
        <v>202</v>
      </c>
      <c r="G211" s="188" t="s">
        <v>202</v>
      </c>
      <c r="H211" s="188" t="s">
        <v>202</v>
      </c>
      <c r="I211" s="188" t="s">
        <v>202</v>
      </c>
      <c r="J211" s="189" t="s">
        <v>202</v>
      </c>
      <c r="K211" s="187" t="s">
        <v>202</v>
      </c>
      <c r="L211" s="188" t="s">
        <v>202</v>
      </c>
      <c r="M211" s="188" t="s">
        <v>202</v>
      </c>
      <c r="N211" s="188" t="s">
        <v>202</v>
      </c>
      <c r="O211" s="188" t="s">
        <v>202</v>
      </c>
      <c r="P211" s="188" t="s">
        <v>202</v>
      </c>
      <c r="Q211" s="188" t="s">
        <v>202</v>
      </c>
      <c r="R211" s="189" t="s">
        <v>202</v>
      </c>
    </row>
    <row r="212" spans="1:18" s="90" customFormat="1" ht="12" customHeight="1">
      <c r="A212" s="112" t="s">
        <v>22</v>
      </c>
      <c r="B212" s="73"/>
      <c r="C212" s="102" t="s">
        <v>160</v>
      </c>
      <c r="D212" s="187" t="s">
        <v>115</v>
      </c>
      <c r="E212" s="188" t="s">
        <v>113</v>
      </c>
      <c r="F212" s="188" t="s">
        <v>113</v>
      </c>
      <c r="G212" s="188" t="s">
        <v>113</v>
      </c>
      <c r="H212" s="188" t="s">
        <v>113</v>
      </c>
      <c r="I212" s="188" t="s">
        <v>113</v>
      </c>
      <c r="J212" s="189" t="s">
        <v>113</v>
      </c>
      <c r="K212" s="187" t="s">
        <v>113</v>
      </c>
      <c r="L212" s="188" t="s">
        <v>113</v>
      </c>
      <c r="M212" s="188" t="s">
        <v>113</v>
      </c>
      <c r="N212" s="188" t="s">
        <v>113</v>
      </c>
      <c r="O212" s="188" t="s">
        <v>113</v>
      </c>
      <c r="P212" s="188" t="s">
        <v>113</v>
      </c>
      <c r="Q212" s="188" t="s">
        <v>113</v>
      </c>
      <c r="R212" s="189" t="s">
        <v>113</v>
      </c>
    </row>
    <row r="213" spans="1:18" s="90" customFormat="1" ht="12" customHeight="1">
      <c r="A213" s="101"/>
      <c r="B213" s="70"/>
      <c r="C213" s="100"/>
      <c r="D213" s="110"/>
      <c r="E213" s="105"/>
      <c r="F213" s="105"/>
      <c r="G213" s="105"/>
      <c r="H213" s="105"/>
      <c r="I213" s="105"/>
      <c r="J213" s="104"/>
      <c r="K213" s="106"/>
      <c r="L213" s="105"/>
      <c r="M213" s="105"/>
      <c r="N213" s="105"/>
      <c r="O213" s="105"/>
      <c r="P213" s="105"/>
      <c r="Q213" s="105"/>
      <c r="R213" s="104"/>
    </row>
    <row r="214" spans="1:18" s="90" customFormat="1" ht="12" customHeight="1">
      <c r="A214" s="217" t="s">
        <v>149</v>
      </c>
      <c r="B214" s="70"/>
      <c r="C214" s="100"/>
      <c r="D214" s="110"/>
      <c r="E214" s="105"/>
      <c r="F214" s="105"/>
      <c r="G214" s="105"/>
      <c r="H214" s="105"/>
      <c r="I214" s="105"/>
      <c r="J214" s="104"/>
      <c r="K214" s="106"/>
      <c r="L214" s="105"/>
      <c r="M214" s="105"/>
      <c r="N214" s="105"/>
      <c r="O214" s="105"/>
      <c r="P214" s="105"/>
      <c r="Q214" s="105"/>
      <c r="R214" s="104"/>
    </row>
    <row r="215" spans="1:18" s="90" customFormat="1" ht="12" customHeight="1">
      <c r="A215" s="112" t="s">
        <v>155</v>
      </c>
      <c r="B215" s="73"/>
      <c r="C215" s="102" t="s">
        <v>79</v>
      </c>
      <c r="D215" s="187" t="s">
        <v>115</v>
      </c>
      <c r="E215" s="188" t="s">
        <v>115</v>
      </c>
      <c r="F215" s="188" t="s">
        <v>202</v>
      </c>
      <c r="G215" s="188" t="s">
        <v>202</v>
      </c>
      <c r="H215" s="188" t="s">
        <v>202</v>
      </c>
      <c r="I215" s="188" t="s">
        <v>202</v>
      </c>
      <c r="J215" s="189" t="s">
        <v>202</v>
      </c>
      <c r="K215" s="187" t="s">
        <v>112</v>
      </c>
      <c r="L215" s="188" t="s">
        <v>112</v>
      </c>
      <c r="M215" s="188" t="s">
        <v>124</v>
      </c>
      <c r="N215" s="188" t="s">
        <v>112</v>
      </c>
      <c r="O215" s="188" t="s">
        <v>112</v>
      </c>
      <c r="P215" s="188" t="s">
        <v>115</v>
      </c>
      <c r="Q215" s="188" t="s">
        <v>112</v>
      </c>
      <c r="R215" s="189" t="s">
        <v>115</v>
      </c>
    </row>
    <row r="216" spans="1:18" s="90" customFormat="1" ht="12" customHeight="1">
      <c r="A216" s="112" t="s">
        <v>155</v>
      </c>
      <c r="B216" s="73"/>
      <c r="C216" s="102" t="s">
        <v>56</v>
      </c>
      <c r="D216" s="187" t="s">
        <v>115</v>
      </c>
      <c r="E216" s="188" t="s">
        <v>115</v>
      </c>
      <c r="F216" s="188" t="s">
        <v>202</v>
      </c>
      <c r="G216" s="188" t="s">
        <v>202</v>
      </c>
      <c r="H216" s="188" t="s">
        <v>202</v>
      </c>
      <c r="I216" s="188" t="s">
        <v>202</v>
      </c>
      <c r="J216" s="189" t="s">
        <v>202</v>
      </c>
      <c r="K216" s="187" t="s">
        <v>112</v>
      </c>
      <c r="L216" s="188" t="s">
        <v>112</v>
      </c>
      <c r="M216" s="188" t="s">
        <v>124</v>
      </c>
      <c r="N216" s="188" t="s">
        <v>112</v>
      </c>
      <c r="O216" s="188" t="s">
        <v>112</v>
      </c>
      <c r="P216" s="188" t="s">
        <v>115</v>
      </c>
      <c r="Q216" s="188" t="s">
        <v>112</v>
      </c>
      <c r="R216" s="189" t="s">
        <v>115</v>
      </c>
    </row>
    <row r="217" spans="1:18" s="90" customFormat="1" ht="10.199999999999999">
      <c r="A217" s="112" t="s">
        <v>155</v>
      </c>
      <c r="B217" s="73"/>
      <c r="C217" s="102" t="s">
        <v>157</v>
      </c>
      <c r="D217" s="187" t="s">
        <v>115</v>
      </c>
      <c r="E217" s="188" t="s">
        <v>115</v>
      </c>
      <c r="F217" s="188" t="s">
        <v>202</v>
      </c>
      <c r="G217" s="188" t="s">
        <v>202</v>
      </c>
      <c r="H217" s="188" t="s">
        <v>202</v>
      </c>
      <c r="I217" s="188" t="s">
        <v>202</v>
      </c>
      <c r="J217" s="189" t="s">
        <v>202</v>
      </c>
      <c r="K217" s="187" t="s">
        <v>112</v>
      </c>
      <c r="L217" s="188" t="s">
        <v>112</v>
      </c>
      <c r="M217" s="188" t="s">
        <v>124</v>
      </c>
      <c r="N217" s="188" t="s">
        <v>112</v>
      </c>
      <c r="O217" s="188" t="s">
        <v>112</v>
      </c>
      <c r="P217" s="188" t="s">
        <v>112</v>
      </c>
      <c r="Q217" s="188" t="s">
        <v>112</v>
      </c>
      <c r="R217" s="189" t="s">
        <v>115</v>
      </c>
    </row>
    <row r="218" spans="1:18" s="90" customFormat="1" ht="10.199999999999999">
      <c r="A218" s="112" t="s">
        <v>155</v>
      </c>
      <c r="B218" s="73"/>
      <c r="C218" s="111" t="s">
        <v>158</v>
      </c>
      <c r="D218" s="187" t="s">
        <v>23</v>
      </c>
      <c r="E218" s="188" t="s">
        <v>23</v>
      </c>
      <c r="F218" s="188" t="s">
        <v>23</v>
      </c>
      <c r="G218" s="188" t="s">
        <v>23</v>
      </c>
      <c r="H218" s="188" t="s">
        <v>23</v>
      </c>
      <c r="I218" s="188" t="s">
        <v>23</v>
      </c>
      <c r="J218" s="189" t="s">
        <v>23</v>
      </c>
      <c r="K218" s="187" t="s">
        <v>23</v>
      </c>
      <c r="L218" s="188" t="s">
        <v>23</v>
      </c>
      <c r="M218" s="188" t="s">
        <v>23</v>
      </c>
      <c r="N218" s="188" t="s">
        <v>23</v>
      </c>
      <c r="O218" s="188" t="s">
        <v>23</v>
      </c>
      <c r="P218" s="188" t="s">
        <v>23</v>
      </c>
      <c r="Q218" s="188" t="s">
        <v>23</v>
      </c>
      <c r="R218" s="189" t="s">
        <v>23</v>
      </c>
    </row>
    <row r="219" spans="1:18" s="90" customFormat="1" ht="12" customHeight="1">
      <c r="A219" s="112" t="s">
        <v>155</v>
      </c>
      <c r="B219" s="73"/>
      <c r="C219" s="102" t="s">
        <v>159</v>
      </c>
      <c r="D219" s="187" t="s">
        <v>115</v>
      </c>
      <c r="E219" s="188" t="s">
        <v>115</v>
      </c>
      <c r="F219" s="188" t="s">
        <v>202</v>
      </c>
      <c r="G219" s="188" t="s">
        <v>202</v>
      </c>
      <c r="H219" s="188" t="s">
        <v>202</v>
      </c>
      <c r="I219" s="188" t="s">
        <v>202</v>
      </c>
      <c r="J219" s="189" t="s">
        <v>202</v>
      </c>
      <c r="K219" s="187" t="s">
        <v>112</v>
      </c>
      <c r="L219" s="188" t="s">
        <v>112</v>
      </c>
      <c r="M219" s="188" t="s">
        <v>124</v>
      </c>
      <c r="N219" s="188" t="s">
        <v>112</v>
      </c>
      <c r="O219" s="188" t="s">
        <v>112</v>
      </c>
      <c r="P219" s="188" t="s">
        <v>112</v>
      </c>
      <c r="Q219" s="188" t="s">
        <v>112</v>
      </c>
      <c r="R219" s="189" t="s">
        <v>115</v>
      </c>
    </row>
    <row r="220" spans="1:18" s="90" customFormat="1" ht="12" customHeight="1">
      <c r="A220" s="112" t="s">
        <v>155</v>
      </c>
      <c r="B220" s="73"/>
      <c r="C220" s="102" t="s">
        <v>160</v>
      </c>
      <c r="D220" s="187" t="s">
        <v>115</v>
      </c>
      <c r="E220" s="188" t="s">
        <v>115</v>
      </c>
      <c r="F220" s="188" t="s">
        <v>202</v>
      </c>
      <c r="G220" s="188" t="s">
        <v>202</v>
      </c>
      <c r="H220" s="188" t="s">
        <v>202</v>
      </c>
      <c r="I220" s="188" t="s">
        <v>202</v>
      </c>
      <c r="J220" s="189" t="s">
        <v>202</v>
      </c>
      <c r="K220" s="187" t="s">
        <v>112</v>
      </c>
      <c r="L220" s="188" t="s">
        <v>112</v>
      </c>
      <c r="M220" s="188" t="s">
        <v>124</v>
      </c>
      <c r="N220" s="188" t="s">
        <v>112</v>
      </c>
      <c r="O220" s="188" t="s">
        <v>112</v>
      </c>
      <c r="P220" s="188" t="s">
        <v>112</v>
      </c>
      <c r="Q220" s="188" t="s">
        <v>112</v>
      </c>
      <c r="R220" s="189" t="s">
        <v>115</v>
      </c>
    </row>
    <row r="221" spans="1:18" s="90" customFormat="1" ht="12" customHeight="1">
      <c r="A221" s="101" t="s">
        <v>156</v>
      </c>
      <c r="B221" s="70"/>
      <c r="C221" s="102" t="s">
        <v>79</v>
      </c>
      <c r="D221" s="190" t="s">
        <v>115</v>
      </c>
      <c r="E221" s="125" t="s">
        <v>115</v>
      </c>
      <c r="F221" s="125" t="s">
        <v>115</v>
      </c>
      <c r="G221" s="125" t="s">
        <v>115</v>
      </c>
      <c r="H221" s="125" t="s">
        <v>115</v>
      </c>
      <c r="I221" s="125" t="s">
        <v>115</v>
      </c>
      <c r="J221" s="191" t="s">
        <v>115</v>
      </c>
      <c r="K221" s="190" t="s">
        <v>112</v>
      </c>
      <c r="L221" s="125" t="s">
        <v>112</v>
      </c>
      <c r="M221" s="125" t="s">
        <v>112</v>
      </c>
      <c r="N221" s="125" t="s">
        <v>112</v>
      </c>
      <c r="O221" s="125" t="s">
        <v>112</v>
      </c>
      <c r="P221" s="125" t="s">
        <v>112</v>
      </c>
      <c r="Q221" s="125" t="s">
        <v>202</v>
      </c>
      <c r="R221" s="191" t="s">
        <v>115</v>
      </c>
    </row>
    <row r="222" spans="1:18" s="90" customFormat="1" ht="12" customHeight="1">
      <c r="A222" s="101" t="s">
        <v>156</v>
      </c>
      <c r="B222" s="70"/>
      <c r="C222" s="102" t="s">
        <v>56</v>
      </c>
      <c r="D222" s="190" t="s">
        <v>115</v>
      </c>
      <c r="E222" s="125" t="s">
        <v>115</v>
      </c>
      <c r="F222" s="125" t="s">
        <v>115</v>
      </c>
      <c r="G222" s="125" t="s">
        <v>115</v>
      </c>
      <c r="H222" s="125" t="s">
        <v>115</v>
      </c>
      <c r="I222" s="125" t="s">
        <v>115</v>
      </c>
      <c r="J222" s="191" t="s">
        <v>115</v>
      </c>
      <c r="K222" s="190" t="s">
        <v>112</v>
      </c>
      <c r="L222" s="125" t="s">
        <v>112</v>
      </c>
      <c r="M222" s="125" t="s">
        <v>112</v>
      </c>
      <c r="N222" s="125" t="s">
        <v>112</v>
      </c>
      <c r="O222" s="125" t="s">
        <v>112</v>
      </c>
      <c r="P222" s="125" t="s">
        <v>112</v>
      </c>
      <c r="Q222" s="125" t="s">
        <v>202</v>
      </c>
      <c r="R222" s="191" t="s">
        <v>115</v>
      </c>
    </row>
    <row r="223" spans="1:18" s="90" customFormat="1" ht="10.199999999999999">
      <c r="A223" s="101" t="s">
        <v>156</v>
      </c>
      <c r="B223" s="70"/>
      <c r="C223" s="103" t="s">
        <v>157</v>
      </c>
      <c r="D223" s="190" t="s">
        <v>115</v>
      </c>
      <c r="E223" s="125" t="s">
        <v>115</v>
      </c>
      <c r="F223" s="125" t="s">
        <v>115</v>
      </c>
      <c r="G223" s="125" t="s">
        <v>115</v>
      </c>
      <c r="H223" s="125" t="s">
        <v>115</v>
      </c>
      <c r="I223" s="125" t="s">
        <v>112</v>
      </c>
      <c r="J223" s="191" t="s">
        <v>112</v>
      </c>
      <c r="K223" s="190" t="s">
        <v>112</v>
      </c>
      <c r="L223" s="125" t="s">
        <v>112</v>
      </c>
      <c r="M223" s="125" t="s">
        <v>112</v>
      </c>
      <c r="N223" s="125" t="s">
        <v>112</v>
      </c>
      <c r="O223" s="125" t="s">
        <v>112</v>
      </c>
      <c r="P223" s="125" t="s">
        <v>112</v>
      </c>
      <c r="Q223" s="125" t="s">
        <v>202</v>
      </c>
      <c r="R223" s="191" t="s">
        <v>115</v>
      </c>
    </row>
    <row r="224" spans="1:18" s="90" customFormat="1" ht="10.199999999999999">
      <c r="A224" s="101" t="s">
        <v>156</v>
      </c>
      <c r="B224" s="70"/>
      <c r="C224" s="102" t="s">
        <v>158</v>
      </c>
      <c r="D224" s="190" t="s">
        <v>23</v>
      </c>
      <c r="E224" s="125" t="s">
        <v>23</v>
      </c>
      <c r="F224" s="125" t="s">
        <v>23</v>
      </c>
      <c r="G224" s="125" t="s">
        <v>23</v>
      </c>
      <c r="H224" s="125" t="s">
        <v>23</v>
      </c>
      <c r="I224" s="125" t="s">
        <v>23</v>
      </c>
      <c r="J224" s="191" t="s">
        <v>23</v>
      </c>
      <c r="K224" s="190" t="s">
        <v>23</v>
      </c>
      <c r="L224" s="125" t="s">
        <v>23</v>
      </c>
      <c r="M224" s="125" t="s">
        <v>23</v>
      </c>
      <c r="N224" s="125" t="s">
        <v>23</v>
      </c>
      <c r="O224" s="125" t="s">
        <v>23</v>
      </c>
      <c r="P224" s="125" t="s">
        <v>23</v>
      </c>
      <c r="Q224" s="125" t="s">
        <v>23</v>
      </c>
      <c r="R224" s="191" t="s">
        <v>23</v>
      </c>
    </row>
    <row r="225" spans="1:18" s="90" customFormat="1" ht="12" customHeight="1">
      <c r="A225" s="101" t="s">
        <v>156</v>
      </c>
      <c r="B225" s="70"/>
      <c r="C225" s="102" t="s">
        <v>159</v>
      </c>
      <c r="D225" s="190" t="s">
        <v>115</v>
      </c>
      <c r="E225" s="125" t="s">
        <v>115</v>
      </c>
      <c r="F225" s="125" t="s">
        <v>115</v>
      </c>
      <c r="G225" s="125" t="s">
        <v>115</v>
      </c>
      <c r="H225" s="125" t="s">
        <v>115</v>
      </c>
      <c r="I225" s="125" t="s">
        <v>112</v>
      </c>
      <c r="J225" s="191" t="s">
        <v>112</v>
      </c>
      <c r="K225" s="190" t="s">
        <v>112</v>
      </c>
      <c r="L225" s="125" t="s">
        <v>112</v>
      </c>
      <c r="M225" s="125" t="s">
        <v>112</v>
      </c>
      <c r="N225" s="125" t="s">
        <v>112</v>
      </c>
      <c r="O225" s="125" t="s">
        <v>112</v>
      </c>
      <c r="P225" s="125" t="s">
        <v>112</v>
      </c>
      <c r="Q225" s="125" t="s">
        <v>202</v>
      </c>
      <c r="R225" s="191" t="s">
        <v>115</v>
      </c>
    </row>
    <row r="226" spans="1:18" s="90" customFormat="1" ht="12" customHeight="1">
      <c r="A226" s="101" t="s">
        <v>156</v>
      </c>
      <c r="B226" s="70"/>
      <c r="C226" s="102" t="s">
        <v>160</v>
      </c>
      <c r="D226" s="190" t="s">
        <v>115</v>
      </c>
      <c r="E226" s="125" t="s">
        <v>115</v>
      </c>
      <c r="F226" s="125" t="s">
        <v>115</v>
      </c>
      <c r="G226" s="125" t="s">
        <v>115</v>
      </c>
      <c r="H226" s="125" t="s">
        <v>115</v>
      </c>
      <c r="I226" s="125" t="s">
        <v>112</v>
      </c>
      <c r="J226" s="191" t="s">
        <v>112</v>
      </c>
      <c r="K226" s="190" t="s">
        <v>112</v>
      </c>
      <c r="L226" s="125" t="s">
        <v>112</v>
      </c>
      <c r="M226" s="125" t="s">
        <v>112</v>
      </c>
      <c r="N226" s="125" t="s">
        <v>112</v>
      </c>
      <c r="O226" s="125" t="s">
        <v>112</v>
      </c>
      <c r="P226" s="125" t="s">
        <v>112</v>
      </c>
      <c r="Q226" s="125" t="s">
        <v>202</v>
      </c>
      <c r="R226" s="191" t="s">
        <v>115</v>
      </c>
    </row>
    <row r="227" spans="1:18" s="90" customFormat="1" ht="12" customHeight="1">
      <c r="A227" s="112" t="s">
        <v>127</v>
      </c>
      <c r="B227" s="73"/>
      <c r="C227" s="102" t="s">
        <v>79</v>
      </c>
      <c r="D227" s="187" t="s">
        <v>115</v>
      </c>
      <c r="E227" s="188" t="s">
        <v>115</v>
      </c>
      <c r="F227" s="188" t="s">
        <v>115</v>
      </c>
      <c r="G227" s="188" t="s">
        <v>112</v>
      </c>
      <c r="H227" s="188" t="s">
        <v>115</v>
      </c>
      <c r="I227" s="188" t="s">
        <v>112</v>
      </c>
      <c r="J227" s="189" t="s">
        <v>115</v>
      </c>
      <c r="K227" s="187" t="s">
        <v>202</v>
      </c>
      <c r="L227" s="188" t="s">
        <v>202</v>
      </c>
      <c r="M227" s="188" t="s">
        <v>202</v>
      </c>
      <c r="N227" s="188" t="s">
        <v>202</v>
      </c>
      <c r="O227" s="188" t="s">
        <v>202</v>
      </c>
      <c r="P227" s="188" t="s">
        <v>202</v>
      </c>
      <c r="Q227" s="188" t="s">
        <v>202</v>
      </c>
      <c r="R227" s="189" t="s">
        <v>202</v>
      </c>
    </row>
    <row r="228" spans="1:18" s="90" customFormat="1" ht="12" customHeight="1">
      <c r="A228" s="112" t="s">
        <v>127</v>
      </c>
      <c r="B228" s="73"/>
      <c r="C228" s="102" t="s">
        <v>56</v>
      </c>
      <c r="D228" s="187" t="s">
        <v>115</v>
      </c>
      <c r="E228" s="188" t="s">
        <v>115</v>
      </c>
      <c r="F228" s="188" t="s">
        <v>115</v>
      </c>
      <c r="G228" s="188" t="s">
        <v>112</v>
      </c>
      <c r="H228" s="188" t="s">
        <v>115</v>
      </c>
      <c r="I228" s="188" t="s">
        <v>112</v>
      </c>
      <c r="J228" s="189" t="s">
        <v>115</v>
      </c>
      <c r="K228" s="187" t="s">
        <v>202</v>
      </c>
      <c r="L228" s="188" t="s">
        <v>202</v>
      </c>
      <c r="M228" s="188" t="s">
        <v>202</v>
      </c>
      <c r="N228" s="188" t="s">
        <v>202</v>
      </c>
      <c r="O228" s="188" t="s">
        <v>202</v>
      </c>
      <c r="P228" s="188" t="s">
        <v>202</v>
      </c>
      <c r="Q228" s="188" t="s">
        <v>202</v>
      </c>
      <c r="R228" s="189" t="s">
        <v>202</v>
      </c>
    </row>
    <row r="229" spans="1:18" s="90" customFormat="1" ht="10.199999999999999">
      <c r="A229" s="112" t="s">
        <v>127</v>
      </c>
      <c r="B229" s="73"/>
      <c r="C229" s="102" t="s">
        <v>157</v>
      </c>
      <c r="D229" s="187" t="s">
        <v>115</v>
      </c>
      <c r="E229" s="188" t="s">
        <v>115</v>
      </c>
      <c r="F229" s="188" t="s">
        <v>115</v>
      </c>
      <c r="G229" s="188" t="s">
        <v>112</v>
      </c>
      <c r="H229" s="188" t="s">
        <v>115</v>
      </c>
      <c r="I229" s="188" t="s">
        <v>112</v>
      </c>
      <c r="J229" s="189" t="s">
        <v>115</v>
      </c>
      <c r="K229" s="187" t="s">
        <v>202</v>
      </c>
      <c r="L229" s="188" t="s">
        <v>202</v>
      </c>
      <c r="M229" s="188" t="s">
        <v>202</v>
      </c>
      <c r="N229" s="188" t="s">
        <v>202</v>
      </c>
      <c r="O229" s="188" t="s">
        <v>202</v>
      </c>
      <c r="P229" s="188" t="s">
        <v>202</v>
      </c>
      <c r="Q229" s="188" t="s">
        <v>202</v>
      </c>
      <c r="R229" s="189" t="s">
        <v>202</v>
      </c>
    </row>
    <row r="230" spans="1:18" s="90" customFormat="1" ht="10.199999999999999">
      <c r="A230" s="112" t="s">
        <v>127</v>
      </c>
      <c r="B230" s="73"/>
      <c r="C230" s="111" t="s">
        <v>158</v>
      </c>
      <c r="D230" s="187" t="s">
        <v>23</v>
      </c>
      <c r="E230" s="188" t="s">
        <v>23</v>
      </c>
      <c r="F230" s="188" t="s">
        <v>23</v>
      </c>
      <c r="G230" s="188" t="s">
        <v>23</v>
      </c>
      <c r="H230" s="188" t="s">
        <v>23</v>
      </c>
      <c r="I230" s="188" t="s">
        <v>23</v>
      </c>
      <c r="J230" s="189" t="s">
        <v>23</v>
      </c>
      <c r="K230" s="187" t="s">
        <v>23</v>
      </c>
      <c r="L230" s="188" t="s">
        <v>23</v>
      </c>
      <c r="M230" s="188" t="s">
        <v>23</v>
      </c>
      <c r="N230" s="188" t="s">
        <v>23</v>
      </c>
      <c r="O230" s="188" t="s">
        <v>23</v>
      </c>
      <c r="P230" s="188" t="s">
        <v>23</v>
      </c>
      <c r="Q230" s="188" t="s">
        <v>23</v>
      </c>
      <c r="R230" s="189" t="s">
        <v>23</v>
      </c>
    </row>
    <row r="231" spans="1:18" s="90" customFormat="1" ht="12" customHeight="1">
      <c r="A231" s="112" t="s">
        <v>127</v>
      </c>
      <c r="B231" s="73"/>
      <c r="C231" s="102" t="s">
        <v>159</v>
      </c>
      <c r="D231" s="187" t="s">
        <v>115</v>
      </c>
      <c r="E231" s="188" t="s">
        <v>115</v>
      </c>
      <c r="F231" s="188" t="s">
        <v>115</v>
      </c>
      <c r="G231" s="188" t="s">
        <v>112</v>
      </c>
      <c r="H231" s="188" t="s">
        <v>115</v>
      </c>
      <c r="I231" s="188" t="s">
        <v>112</v>
      </c>
      <c r="J231" s="189" t="s">
        <v>115</v>
      </c>
      <c r="K231" s="187" t="s">
        <v>202</v>
      </c>
      <c r="L231" s="188" t="s">
        <v>202</v>
      </c>
      <c r="M231" s="188" t="s">
        <v>202</v>
      </c>
      <c r="N231" s="188" t="s">
        <v>202</v>
      </c>
      <c r="O231" s="188" t="s">
        <v>202</v>
      </c>
      <c r="P231" s="188" t="s">
        <v>202</v>
      </c>
      <c r="Q231" s="188" t="s">
        <v>202</v>
      </c>
      <c r="R231" s="189" t="s">
        <v>202</v>
      </c>
    </row>
    <row r="232" spans="1:18" s="90" customFormat="1" ht="12" customHeight="1">
      <c r="A232" s="112" t="s">
        <v>127</v>
      </c>
      <c r="B232" s="73"/>
      <c r="C232" s="102" t="s">
        <v>160</v>
      </c>
      <c r="D232" s="187" t="s">
        <v>0</v>
      </c>
      <c r="E232" s="188" t="s">
        <v>0</v>
      </c>
      <c r="F232" s="188" t="s">
        <v>0</v>
      </c>
      <c r="G232" s="188" t="s">
        <v>0</v>
      </c>
      <c r="H232" s="188" t="s">
        <v>0</v>
      </c>
      <c r="I232" s="188" t="s">
        <v>0</v>
      </c>
      <c r="J232" s="189" t="s">
        <v>0</v>
      </c>
      <c r="K232" s="187" t="s">
        <v>0</v>
      </c>
      <c r="L232" s="188" t="s">
        <v>0</v>
      </c>
      <c r="M232" s="188" t="s">
        <v>0</v>
      </c>
      <c r="N232" s="188" t="s">
        <v>0</v>
      </c>
      <c r="O232" s="188" t="s">
        <v>0</v>
      </c>
      <c r="P232" s="188" t="s">
        <v>0</v>
      </c>
      <c r="Q232" s="188" t="s">
        <v>0</v>
      </c>
      <c r="R232" s="189" t="s">
        <v>0</v>
      </c>
    </row>
    <row r="233" spans="1:18" s="90" customFormat="1" ht="12" customHeight="1">
      <c r="A233" s="101" t="s">
        <v>128</v>
      </c>
      <c r="B233" s="70"/>
      <c r="C233" s="102" t="s">
        <v>79</v>
      </c>
      <c r="D233" s="190" t="s">
        <v>115</v>
      </c>
      <c r="E233" s="125" t="s">
        <v>115</v>
      </c>
      <c r="F233" s="125" t="s">
        <v>115</v>
      </c>
      <c r="G233" s="125" t="s">
        <v>112</v>
      </c>
      <c r="H233" s="125" t="s">
        <v>115</v>
      </c>
      <c r="I233" s="125" t="s">
        <v>112</v>
      </c>
      <c r="J233" s="191" t="s">
        <v>204</v>
      </c>
      <c r="K233" s="190" t="s">
        <v>23</v>
      </c>
      <c r="L233" s="125" t="s">
        <v>112</v>
      </c>
      <c r="M233" s="125" t="s">
        <v>115</v>
      </c>
      <c r="N233" s="125" t="s">
        <v>112</v>
      </c>
      <c r="O233" s="125" t="s">
        <v>202</v>
      </c>
      <c r="P233" s="125" t="s">
        <v>202</v>
      </c>
      <c r="Q233" s="125" t="s">
        <v>115</v>
      </c>
      <c r="R233" s="191" t="s">
        <v>115</v>
      </c>
    </row>
    <row r="234" spans="1:18" s="90" customFormat="1" ht="12" customHeight="1">
      <c r="A234" s="101" t="s">
        <v>128</v>
      </c>
      <c r="B234" s="70"/>
      <c r="C234" s="102" t="s">
        <v>56</v>
      </c>
      <c r="D234" s="190" t="s">
        <v>115</v>
      </c>
      <c r="E234" s="125" t="s">
        <v>115</v>
      </c>
      <c r="F234" s="125" t="s">
        <v>115</v>
      </c>
      <c r="G234" s="125" t="s">
        <v>112</v>
      </c>
      <c r="H234" s="125" t="s">
        <v>115</v>
      </c>
      <c r="I234" s="125" t="s">
        <v>112</v>
      </c>
      <c r="J234" s="191" t="s">
        <v>204</v>
      </c>
      <c r="K234" s="190" t="s">
        <v>23</v>
      </c>
      <c r="L234" s="125" t="s">
        <v>112</v>
      </c>
      <c r="M234" s="125" t="s">
        <v>115</v>
      </c>
      <c r="N234" s="125" t="s">
        <v>112</v>
      </c>
      <c r="O234" s="125" t="s">
        <v>202</v>
      </c>
      <c r="P234" s="125" t="s">
        <v>202</v>
      </c>
      <c r="Q234" s="125" t="s">
        <v>115</v>
      </c>
      <c r="R234" s="191" t="s">
        <v>115</v>
      </c>
    </row>
    <row r="235" spans="1:18" s="90" customFormat="1" ht="10.199999999999999">
      <c r="A235" s="101" t="s">
        <v>128</v>
      </c>
      <c r="B235" s="70"/>
      <c r="C235" s="103" t="s">
        <v>157</v>
      </c>
      <c r="D235" s="190" t="s">
        <v>115</v>
      </c>
      <c r="E235" s="125" t="s">
        <v>115</v>
      </c>
      <c r="F235" s="125" t="s">
        <v>115</v>
      </c>
      <c r="G235" s="125" t="s">
        <v>112</v>
      </c>
      <c r="H235" s="125" t="s">
        <v>115</v>
      </c>
      <c r="I235" s="125" t="s">
        <v>112</v>
      </c>
      <c r="J235" s="191" t="s">
        <v>204</v>
      </c>
      <c r="K235" s="190" t="s">
        <v>23</v>
      </c>
      <c r="L235" s="125" t="s">
        <v>112</v>
      </c>
      <c r="M235" s="125" t="s">
        <v>115</v>
      </c>
      <c r="N235" s="125" t="s">
        <v>112</v>
      </c>
      <c r="O235" s="125" t="s">
        <v>202</v>
      </c>
      <c r="P235" s="125" t="s">
        <v>202</v>
      </c>
      <c r="Q235" s="125" t="s">
        <v>115</v>
      </c>
      <c r="R235" s="191" t="s">
        <v>115</v>
      </c>
    </row>
    <row r="236" spans="1:18" s="90" customFormat="1" ht="10.199999999999999">
      <c r="A236" s="101" t="s">
        <v>128</v>
      </c>
      <c r="B236" s="70"/>
      <c r="C236" s="102" t="s">
        <v>158</v>
      </c>
      <c r="D236" s="190" t="s">
        <v>23</v>
      </c>
      <c r="E236" s="125" t="s">
        <v>23</v>
      </c>
      <c r="F236" s="125" t="s">
        <v>23</v>
      </c>
      <c r="G236" s="125" t="s">
        <v>23</v>
      </c>
      <c r="H236" s="125" t="s">
        <v>23</v>
      </c>
      <c r="I236" s="125" t="s">
        <v>23</v>
      </c>
      <c r="J236" s="191" t="s">
        <v>23</v>
      </c>
      <c r="K236" s="190" t="s">
        <v>23</v>
      </c>
      <c r="L236" s="125" t="s">
        <v>23</v>
      </c>
      <c r="M236" s="125" t="s">
        <v>23</v>
      </c>
      <c r="N236" s="125" t="s">
        <v>23</v>
      </c>
      <c r="O236" s="125" t="s">
        <v>23</v>
      </c>
      <c r="P236" s="125" t="s">
        <v>23</v>
      </c>
      <c r="Q236" s="125" t="s">
        <v>23</v>
      </c>
      <c r="R236" s="191" t="s">
        <v>23</v>
      </c>
    </row>
    <row r="237" spans="1:18" s="90" customFormat="1" ht="12" customHeight="1">
      <c r="A237" s="101" t="s">
        <v>128</v>
      </c>
      <c r="B237" s="70"/>
      <c r="C237" s="102" t="s">
        <v>159</v>
      </c>
      <c r="D237" s="190" t="s">
        <v>115</v>
      </c>
      <c r="E237" s="125" t="s">
        <v>115</v>
      </c>
      <c r="F237" s="125" t="s">
        <v>115</v>
      </c>
      <c r="G237" s="125" t="s">
        <v>112</v>
      </c>
      <c r="H237" s="125" t="s">
        <v>115</v>
      </c>
      <c r="I237" s="125" t="s">
        <v>112</v>
      </c>
      <c r="J237" s="191" t="s">
        <v>204</v>
      </c>
      <c r="K237" s="190" t="s">
        <v>23</v>
      </c>
      <c r="L237" s="125" t="s">
        <v>112</v>
      </c>
      <c r="M237" s="125" t="s">
        <v>115</v>
      </c>
      <c r="N237" s="125" t="s">
        <v>112</v>
      </c>
      <c r="O237" s="125" t="s">
        <v>202</v>
      </c>
      <c r="P237" s="125" t="s">
        <v>202</v>
      </c>
      <c r="Q237" s="125" t="s">
        <v>115</v>
      </c>
      <c r="R237" s="191" t="s">
        <v>115</v>
      </c>
    </row>
    <row r="238" spans="1:18" s="90" customFormat="1" ht="12" customHeight="1">
      <c r="A238" s="101" t="s">
        <v>128</v>
      </c>
      <c r="B238" s="70"/>
      <c r="C238" s="102" t="s">
        <v>160</v>
      </c>
      <c r="D238" s="190" t="s">
        <v>23</v>
      </c>
      <c r="E238" s="125" t="s">
        <v>23</v>
      </c>
      <c r="F238" s="125" t="s">
        <v>23</v>
      </c>
      <c r="G238" s="125" t="s">
        <v>23</v>
      </c>
      <c r="H238" s="125" t="s">
        <v>23</v>
      </c>
      <c r="I238" s="125" t="s">
        <v>23</v>
      </c>
      <c r="J238" s="191" t="s">
        <v>23</v>
      </c>
      <c r="K238" s="190" t="s">
        <v>23</v>
      </c>
      <c r="L238" s="125" t="s">
        <v>23</v>
      </c>
      <c r="M238" s="125" t="s">
        <v>23</v>
      </c>
      <c r="N238" s="125" t="s">
        <v>23</v>
      </c>
      <c r="O238" s="125" t="s">
        <v>23</v>
      </c>
      <c r="P238" s="125" t="s">
        <v>23</v>
      </c>
      <c r="Q238" s="125" t="s">
        <v>23</v>
      </c>
      <c r="R238" s="191" t="s">
        <v>23</v>
      </c>
    </row>
    <row r="239" spans="1:18" s="90" customFormat="1" ht="12" customHeight="1">
      <c r="A239" s="109"/>
      <c r="B239" s="74"/>
      <c r="C239" s="107"/>
      <c r="D239" s="106"/>
      <c r="E239" s="105"/>
      <c r="F239" s="105"/>
      <c r="G239" s="105"/>
      <c r="H239" s="105"/>
      <c r="I239" s="105"/>
      <c r="J239" s="104"/>
      <c r="K239" s="106"/>
      <c r="L239" s="105"/>
      <c r="M239" s="105"/>
      <c r="N239" s="105"/>
      <c r="O239" s="105"/>
      <c r="P239" s="105"/>
      <c r="Q239" s="105"/>
      <c r="R239" s="104"/>
    </row>
    <row r="240" spans="1:18" ht="13.2" customHeight="1">
      <c r="A240" s="108" t="s">
        <v>71</v>
      </c>
      <c r="B240" s="74"/>
      <c r="C240" s="107"/>
      <c r="D240" s="106"/>
      <c r="E240" s="105"/>
      <c r="F240" s="105"/>
      <c r="G240" s="105"/>
      <c r="H240" s="105"/>
      <c r="I240" s="105"/>
      <c r="J240" s="104"/>
      <c r="K240" s="106"/>
      <c r="L240" s="105"/>
      <c r="M240" s="105"/>
      <c r="N240" s="105"/>
      <c r="O240" s="105"/>
      <c r="P240" s="105"/>
      <c r="Q240" s="105"/>
      <c r="R240" s="104"/>
    </row>
    <row r="241" spans="1:18" ht="13.2" customHeight="1">
      <c r="A241" s="112" t="s">
        <v>50</v>
      </c>
      <c r="B241" s="73"/>
      <c r="C241" s="111"/>
      <c r="D241" s="187" t="s">
        <v>0</v>
      </c>
      <c r="E241" s="188" t="s">
        <v>0</v>
      </c>
      <c r="F241" s="188" t="s">
        <v>0</v>
      </c>
      <c r="G241" s="188" t="s">
        <v>0</v>
      </c>
      <c r="H241" s="188" t="s">
        <v>0</v>
      </c>
      <c r="I241" s="188" t="s">
        <v>0</v>
      </c>
      <c r="J241" s="189" t="s">
        <v>0</v>
      </c>
      <c r="K241" s="187" t="s">
        <v>0</v>
      </c>
      <c r="L241" s="188" t="s">
        <v>0</v>
      </c>
      <c r="M241" s="188" t="s">
        <v>0</v>
      </c>
      <c r="N241" s="188" t="s">
        <v>0</v>
      </c>
      <c r="O241" s="188" t="s">
        <v>0</v>
      </c>
      <c r="P241" s="188" t="s">
        <v>0</v>
      </c>
      <c r="Q241" s="188" t="s">
        <v>0</v>
      </c>
      <c r="R241" s="189" t="s">
        <v>0</v>
      </c>
    </row>
    <row r="242" spans="1:18" ht="13.2" customHeight="1">
      <c r="A242" s="101" t="s">
        <v>40</v>
      </c>
      <c r="B242" s="70"/>
      <c r="C242" s="102" t="s">
        <v>79</v>
      </c>
      <c r="D242" s="190" t="s">
        <v>115</v>
      </c>
      <c r="E242" s="125" t="s">
        <v>115</v>
      </c>
      <c r="F242" s="125" t="s">
        <v>0</v>
      </c>
      <c r="G242" s="125" t="s">
        <v>0</v>
      </c>
      <c r="H242" s="125" t="s">
        <v>115</v>
      </c>
      <c r="I242" s="125" t="s">
        <v>0</v>
      </c>
      <c r="J242" s="191" t="s">
        <v>0</v>
      </c>
      <c r="K242" s="190" t="s">
        <v>0</v>
      </c>
      <c r="L242" s="125" t="s">
        <v>0</v>
      </c>
      <c r="M242" s="125" t="s">
        <v>0</v>
      </c>
      <c r="N242" s="125" t="s">
        <v>0</v>
      </c>
      <c r="O242" s="125" t="s">
        <v>0</v>
      </c>
      <c r="P242" s="125" t="s">
        <v>0</v>
      </c>
      <c r="Q242" s="125" t="s">
        <v>0</v>
      </c>
      <c r="R242" s="191" t="s">
        <v>115</v>
      </c>
    </row>
    <row r="243" spans="1:18" ht="13.2" customHeight="1">
      <c r="A243" s="101" t="s">
        <v>40</v>
      </c>
      <c r="B243" s="70"/>
      <c r="C243" s="102" t="s">
        <v>56</v>
      </c>
      <c r="D243" s="190" t="s">
        <v>115</v>
      </c>
      <c r="E243" s="125" t="s">
        <v>115</v>
      </c>
      <c r="F243" s="125" t="s">
        <v>0</v>
      </c>
      <c r="G243" s="125" t="s">
        <v>0</v>
      </c>
      <c r="H243" s="125" t="s">
        <v>115</v>
      </c>
      <c r="I243" s="125" t="s">
        <v>0</v>
      </c>
      <c r="J243" s="191" t="s">
        <v>0</v>
      </c>
      <c r="K243" s="190" t="s">
        <v>0</v>
      </c>
      <c r="L243" s="125" t="s">
        <v>0</v>
      </c>
      <c r="M243" s="125" t="s">
        <v>0</v>
      </c>
      <c r="N243" s="125" t="s">
        <v>0</v>
      </c>
      <c r="O243" s="125" t="s">
        <v>0</v>
      </c>
      <c r="P243" s="125" t="s">
        <v>0</v>
      </c>
      <c r="Q243" s="125" t="s">
        <v>0</v>
      </c>
      <c r="R243" s="191" t="s">
        <v>115</v>
      </c>
    </row>
    <row r="244" spans="1:18" ht="13.2" customHeight="1">
      <c r="A244" s="101" t="s">
        <v>40</v>
      </c>
      <c r="B244" s="70"/>
      <c r="C244" s="103" t="s">
        <v>157</v>
      </c>
      <c r="D244" s="190" t="s">
        <v>115</v>
      </c>
      <c r="E244" s="125" t="s">
        <v>115</v>
      </c>
      <c r="F244" s="125" t="s">
        <v>0</v>
      </c>
      <c r="G244" s="125" t="s">
        <v>0</v>
      </c>
      <c r="H244" s="125" t="s">
        <v>115</v>
      </c>
      <c r="I244" s="125" t="s">
        <v>0</v>
      </c>
      <c r="J244" s="191" t="s">
        <v>0</v>
      </c>
      <c r="K244" s="190" t="s">
        <v>0</v>
      </c>
      <c r="L244" s="125" t="s">
        <v>0</v>
      </c>
      <c r="M244" s="125" t="s">
        <v>0</v>
      </c>
      <c r="N244" s="125" t="s">
        <v>0</v>
      </c>
      <c r="O244" s="125" t="s">
        <v>0</v>
      </c>
      <c r="P244" s="125" t="s">
        <v>0</v>
      </c>
      <c r="Q244" s="125" t="s">
        <v>0</v>
      </c>
      <c r="R244" s="191" t="s">
        <v>115</v>
      </c>
    </row>
    <row r="245" spans="1:18" ht="13.2" customHeight="1">
      <c r="A245" s="101" t="s">
        <v>40</v>
      </c>
      <c r="B245" s="70"/>
      <c r="C245" s="102" t="s">
        <v>158</v>
      </c>
      <c r="D245" s="190" t="s">
        <v>115</v>
      </c>
      <c r="E245" s="125" t="s">
        <v>115</v>
      </c>
      <c r="F245" s="125" t="s">
        <v>0</v>
      </c>
      <c r="G245" s="125" t="s">
        <v>0</v>
      </c>
      <c r="H245" s="125" t="s">
        <v>115</v>
      </c>
      <c r="I245" s="125" t="s">
        <v>0</v>
      </c>
      <c r="J245" s="191" t="s">
        <v>0</v>
      </c>
      <c r="K245" s="190" t="s">
        <v>0</v>
      </c>
      <c r="L245" s="125" t="s">
        <v>0</v>
      </c>
      <c r="M245" s="125" t="s">
        <v>0</v>
      </c>
      <c r="N245" s="125" t="s">
        <v>0</v>
      </c>
      <c r="O245" s="125" t="s">
        <v>0</v>
      </c>
      <c r="P245" s="125" t="s">
        <v>0</v>
      </c>
      <c r="Q245" s="125" t="s">
        <v>0</v>
      </c>
      <c r="R245" s="191" t="s">
        <v>115</v>
      </c>
    </row>
    <row r="246" spans="1:18" ht="13.2" customHeight="1">
      <c r="A246" s="101" t="s">
        <v>40</v>
      </c>
      <c r="B246" s="70"/>
      <c r="C246" s="102" t="s">
        <v>159</v>
      </c>
      <c r="D246" s="190" t="s">
        <v>115</v>
      </c>
      <c r="E246" s="125" t="s">
        <v>115</v>
      </c>
      <c r="F246" s="125" t="s">
        <v>0</v>
      </c>
      <c r="G246" s="125" t="s">
        <v>0</v>
      </c>
      <c r="H246" s="125" t="s">
        <v>115</v>
      </c>
      <c r="I246" s="125" t="s">
        <v>0</v>
      </c>
      <c r="J246" s="191" t="s">
        <v>0</v>
      </c>
      <c r="K246" s="190" t="s">
        <v>0</v>
      </c>
      <c r="L246" s="125" t="s">
        <v>0</v>
      </c>
      <c r="M246" s="125" t="s">
        <v>0</v>
      </c>
      <c r="N246" s="125" t="s">
        <v>0</v>
      </c>
      <c r="O246" s="125" t="s">
        <v>0</v>
      </c>
      <c r="P246" s="125" t="s">
        <v>0</v>
      </c>
      <c r="Q246" s="125" t="s">
        <v>0</v>
      </c>
      <c r="R246" s="191" t="s">
        <v>115</v>
      </c>
    </row>
    <row r="247" spans="1:18" ht="13.2" customHeight="1">
      <c r="A247" s="101" t="s">
        <v>40</v>
      </c>
      <c r="B247" s="70"/>
      <c r="C247" s="102" t="s">
        <v>160</v>
      </c>
      <c r="D247" s="190" t="s">
        <v>115</v>
      </c>
      <c r="E247" s="125" t="s">
        <v>115</v>
      </c>
      <c r="F247" s="125" t="s">
        <v>0</v>
      </c>
      <c r="G247" s="125" t="s">
        <v>0</v>
      </c>
      <c r="H247" s="125" t="s">
        <v>115</v>
      </c>
      <c r="I247" s="125" t="s">
        <v>0</v>
      </c>
      <c r="J247" s="191" t="s">
        <v>0</v>
      </c>
      <c r="K247" s="190" t="s">
        <v>0</v>
      </c>
      <c r="L247" s="125" t="s">
        <v>0</v>
      </c>
      <c r="M247" s="125" t="s">
        <v>0</v>
      </c>
      <c r="N247" s="125" t="s">
        <v>0</v>
      </c>
      <c r="O247" s="125" t="s">
        <v>0</v>
      </c>
      <c r="P247" s="125" t="s">
        <v>0</v>
      </c>
      <c r="Q247" s="125" t="s">
        <v>0</v>
      </c>
      <c r="R247" s="191" t="s">
        <v>115</v>
      </c>
    </row>
    <row r="248" spans="1:18" ht="13.2" customHeight="1">
      <c r="A248" s="112" t="s">
        <v>47</v>
      </c>
      <c r="B248" s="73"/>
      <c r="C248" s="111"/>
      <c r="D248" s="187" t="s">
        <v>0</v>
      </c>
      <c r="E248" s="188" t="s">
        <v>0</v>
      </c>
      <c r="F248" s="188" t="s">
        <v>0</v>
      </c>
      <c r="G248" s="188" t="s">
        <v>0</v>
      </c>
      <c r="H248" s="188" t="s">
        <v>0</v>
      </c>
      <c r="I248" s="188" t="s">
        <v>0</v>
      </c>
      <c r="J248" s="189" t="s">
        <v>0</v>
      </c>
      <c r="K248" s="187" t="s">
        <v>0</v>
      </c>
      <c r="L248" s="188" t="s">
        <v>0</v>
      </c>
      <c r="M248" s="188" t="s">
        <v>0</v>
      </c>
      <c r="N248" s="188" t="s">
        <v>0</v>
      </c>
      <c r="O248" s="188" t="s">
        <v>0</v>
      </c>
      <c r="P248" s="188" t="s">
        <v>0</v>
      </c>
      <c r="Q248" s="188" t="s">
        <v>0</v>
      </c>
      <c r="R248" s="189" t="s">
        <v>0</v>
      </c>
    </row>
    <row r="249" spans="1:18" ht="13.2" customHeight="1">
      <c r="A249" s="101" t="s">
        <v>72</v>
      </c>
      <c r="B249" s="70"/>
      <c r="C249" s="102" t="s">
        <v>79</v>
      </c>
      <c r="D249" s="190" t="s">
        <v>115</v>
      </c>
      <c r="E249" s="125" t="s">
        <v>115</v>
      </c>
      <c r="F249" s="125" t="s">
        <v>115</v>
      </c>
      <c r="G249" s="125" t="s">
        <v>115</v>
      </c>
      <c r="H249" s="125" t="s">
        <v>115</v>
      </c>
      <c r="I249" s="125" t="s">
        <v>115</v>
      </c>
      <c r="J249" s="191" t="s">
        <v>115</v>
      </c>
      <c r="K249" s="190" t="s">
        <v>115</v>
      </c>
      <c r="L249" s="125" t="s">
        <v>124</v>
      </c>
      <c r="M249" s="125" t="s">
        <v>115</v>
      </c>
      <c r="N249" s="125" t="s">
        <v>124</v>
      </c>
      <c r="O249" s="125" t="s">
        <v>124</v>
      </c>
      <c r="P249" s="125" t="s">
        <v>124</v>
      </c>
      <c r="Q249" s="125" t="s">
        <v>124</v>
      </c>
      <c r="R249" s="191" t="s">
        <v>202</v>
      </c>
    </row>
    <row r="250" spans="1:18" ht="13.2" customHeight="1">
      <c r="A250" s="101" t="s">
        <v>72</v>
      </c>
      <c r="B250" s="70"/>
      <c r="C250" s="102" t="s">
        <v>56</v>
      </c>
      <c r="D250" s="190" t="s">
        <v>115</v>
      </c>
      <c r="E250" s="125" t="s">
        <v>115</v>
      </c>
      <c r="F250" s="125" t="s">
        <v>115</v>
      </c>
      <c r="G250" s="125" t="s">
        <v>115</v>
      </c>
      <c r="H250" s="125" t="s">
        <v>115</v>
      </c>
      <c r="I250" s="125" t="s">
        <v>115</v>
      </c>
      <c r="J250" s="191" t="s">
        <v>115</v>
      </c>
      <c r="K250" s="190" t="s">
        <v>115</v>
      </c>
      <c r="L250" s="125" t="s">
        <v>124</v>
      </c>
      <c r="M250" s="125" t="s">
        <v>115</v>
      </c>
      <c r="N250" s="125" t="s">
        <v>124</v>
      </c>
      <c r="O250" s="125" t="s">
        <v>124</v>
      </c>
      <c r="P250" s="125" t="s">
        <v>124</v>
      </c>
      <c r="Q250" s="125" t="s">
        <v>124</v>
      </c>
      <c r="R250" s="191" t="s">
        <v>202</v>
      </c>
    </row>
    <row r="251" spans="1:18">
      <c r="A251" s="101" t="s">
        <v>72</v>
      </c>
      <c r="B251" s="70"/>
      <c r="C251" s="103" t="s">
        <v>157</v>
      </c>
      <c r="D251" s="190" t="s">
        <v>115</v>
      </c>
      <c r="E251" s="125" t="s">
        <v>115</v>
      </c>
      <c r="F251" s="125" t="s">
        <v>115</v>
      </c>
      <c r="G251" s="125" t="s">
        <v>115</v>
      </c>
      <c r="H251" s="125" t="s">
        <v>115</v>
      </c>
      <c r="I251" s="125" t="s">
        <v>115</v>
      </c>
      <c r="J251" s="191" t="s">
        <v>115</v>
      </c>
      <c r="K251" s="190" t="s">
        <v>115</v>
      </c>
      <c r="L251" s="125" t="s">
        <v>124</v>
      </c>
      <c r="M251" s="125" t="s">
        <v>115</v>
      </c>
      <c r="N251" s="125" t="s">
        <v>124</v>
      </c>
      <c r="O251" s="125" t="s">
        <v>124</v>
      </c>
      <c r="P251" s="125" t="s">
        <v>124</v>
      </c>
      <c r="Q251" s="125" t="s">
        <v>124</v>
      </c>
      <c r="R251" s="191" t="s">
        <v>202</v>
      </c>
    </row>
    <row r="252" spans="1:18">
      <c r="A252" s="101" t="s">
        <v>72</v>
      </c>
      <c r="B252" s="70"/>
      <c r="C252" s="102" t="s">
        <v>158</v>
      </c>
      <c r="D252" s="190" t="s">
        <v>23</v>
      </c>
      <c r="E252" s="125" t="s">
        <v>23</v>
      </c>
      <c r="F252" s="125" t="s">
        <v>23</v>
      </c>
      <c r="G252" s="125" t="s">
        <v>23</v>
      </c>
      <c r="H252" s="125" t="s">
        <v>23</v>
      </c>
      <c r="I252" s="125" t="s">
        <v>23</v>
      </c>
      <c r="J252" s="191" t="s">
        <v>23</v>
      </c>
      <c r="K252" s="190" t="s">
        <v>23</v>
      </c>
      <c r="L252" s="125" t="s">
        <v>23</v>
      </c>
      <c r="M252" s="125" t="s">
        <v>23</v>
      </c>
      <c r="N252" s="125" t="s">
        <v>23</v>
      </c>
      <c r="O252" s="125" t="s">
        <v>23</v>
      </c>
      <c r="P252" s="125" t="s">
        <v>23</v>
      </c>
      <c r="Q252" s="125" t="s">
        <v>23</v>
      </c>
      <c r="R252" s="191" t="s">
        <v>23</v>
      </c>
    </row>
    <row r="253" spans="1:18" ht="13.2" customHeight="1">
      <c r="A253" s="101" t="s">
        <v>72</v>
      </c>
      <c r="B253" s="70"/>
      <c r="C253" s="102" t="s">
        <v>159</v>
      </c>
      <c r="D253" s="190" t="s">
        <v>115</v>
      </c>
      <c r="E253" s="125" t="s">
        <v>115</v>
      </c>
      <c r="F253" s="125" t="s">
        <v>115</v>
      </c>
      <c r="G253" s="125" t="s">
        <v>115</v>
      </c>
      <c r="H253" s="125" t="s">
        <v>115</v>
      </c>
      <c r="I253" s="125" t="s">
        <v>115</v>
      </c>
      <c r="J253" s="191" t="s">
        <v>115</v>
      </c>
      <c r="K253" s="190" t="s">
        <v>115</v>
      </c>
      <c r="L253" s="125" t="s">
        <v>124</v>
      </c>
      <c r="M253" s="125" t="s">
        <v>115</v>
      </c>
      <c r="N253" s="125" t="s">
        <v>124</v>
      </c>
      <c r="O253" s="125" t="s">
        <v>124</v>
      </c>
      <c r="P253" s="125" t="s">
        <v>124</v>
      </c>
      <c r="Q253" s="125" t="s">
        <v>124</v>
      </c>
      <c r="R253" s="191" t="s">
        <v>202</v>
      </c>
    </row>
    <row r="254" spans="1:18" ht="13.2" customHeight="1">
      <c r="A254" s="101" t="s">
        <v>72</v>
      </c>
      <c r="B254" s="70"/>
      <c r="C254" s="102" t="s">
        <v>160</v>
      </c>
      <c r="D254" s="190" t="s">
        <v>202</v>
      </c>
      <c r="E254" s="125" t="s">
        <v>202</v>
      </c>
      <c r="F254" s="125" t="s">
        <v>202</v>
      </c>
      <c r="G254" s="125" t="s">
        <v>202</v>
      </c>
      <c r="H254" s="125" t="s">
        <v>202</v>
      </c>
      <c r="I254" s="125" t="s">
        <v>202</v>
      </c>
      <c r="J254" s="191" t="s">
        <v>202</v>
      </c>
      <c r="K254" s="190" t="s">
        <v>115</v>
      </c>
      <c r="L254" s="125" t="s">
        <v>124</v>
      </c>
      <c r="M254" s="125" t="s">
        <v>115</v>
      </c>
      <c r="N254" s="125" t="s">
        <v>124</v>
      </c>
      <c r="O254" s="125" t="s">
        <v>124</v>
      </c>
      <c r="P254" s="125" t="s">
        <v>124</v>
      </c>
      <c r="Q254" s="125" t="s">
        <v>124</v>
      </c>
      <c r="R254" s="191" t="s">
        <v>202</v>
      </c>
    </row>
    <row r="255" spans="1:18" ht="13.2" customHeight="1">
      <c r="A255" s="112" t="s">
        <v>82</v>
      </c>
      <c r="B255" s="73"/>
      <c r="C255" s="111" t="s">
        <v>79</v>
      </c>
      <c r="D255" s="187" t="s">
        <v>115</v>
      </c>
      <c r="E255" s="188" t="s">
        <v>115</v>
      </c>
      <c r="F255" s="188" t="s">
        <v>115</v>
      </c>
      <c r="G255" s="188" t="s">
        <v>112</v>
      </c>
      <c r="H255" s="188" t="s">
        <v>115</v>
      </c>
      <c r="I255" s="188" t="s">
        <v>115</v>
      </c>
      <c r="J255" s="189" t="s">
        <v>115</v>
      </c>
      <c r="K255" s="187" t="s">
        <v>202</v>
      </c>
      <c r="L255" s="188" t="s">
        <v>112</v>
      </c>
      <c r="M255" s="188" t="s">
        <v>115</v>
      </c>
      <c r="N255" s="188" t="s">
        <v>112</v>
      </c>
      <c r="O255" s="188" t="s">
        <v>115</v>
      </c>
      <c r="P255" s="188" t="s">
        <v>115</v>
      </c>
      <c r="Q255" s="188" t="s">
        <v>115</v>
      </c>
      <c r="R255" s="189" t="s">
        <v>202</v>
      </c>
    </row>
    <row r="256" spans="1:18" ht="13.2" customHeight="1">
      <c r="A256" s="112" t="s">
        <v>82</v>
      </c>
      <c r="B256" s="73"/>
      <c r="C256" s="111" t="s">
        <v>56</v>
      </c>
      <c r="D256" s="187" t="s">
        <v>115</v>
      </c>
      <c r="E256" s="188" t="s">
        <v>115</v>
      </c>
      <c r="F256" s="188" t="s">
        <v>115</v>
      </c>
      <c r="G256" s="188" t="s">
        <v>112</v>
      </c>
      <c r="H256" s="188" t="s">
        <v>115</v>
      </c>
      <c r="I256" s="188" t="s">
        <v>115</v>
      </c>
      <c r="J256" s="189" t="s">
        <v>115</v>
      </c>
      <c r="K256" s="187" t="s">
        <v>202</v>
      </c>
      <c r="L256" s="188" t="s">
        <v>112</v>
      </c>
      <c r="M256" s="188" t="s">
        <v>115</v>
      </c>
      <c r="N256" s="188" t="s">
        <v>112</v>
      </c>
      <c r="O256" s="188" t="s">
        <v>115</v>
      </c>
      <c r="P256" s="188" t="s">
        <v>115</v>
      </c>
      <c r="Q256" s="188" t="s">
        <v>115</v>
      </c>
      <c r="R256" s="189" t="s">
        <v>202</v>
      </c>
    </row>
    <row r="257" spans="1:18">
      <c r="A257" s="112" t="s">
        <v>82</v>
      </c>
      <c r="B257" s="73"/>
      <c r="C257" s="111" t="s">
        <v>157</v>
      </c>
      <c r="D257" s="187" t="s">
        <v>115</v>
      </c>
      <c r="E257" s="188" t="s">
        <v>115</v>
      </c>
      <c r="F257" s="188" t="s">
        <v>115</v>
      </c>
      <c r="G257" s="188" t="s">
        <v>112</v>
      </c>
      <c r="H257" s="188" t="s">
        <v>115</v>
      </c>
      <c r="I257" s="188" t="s">
        <v>115</v>
      </c>
      <c r="J257" s="189" t="s">
        <v>115</v>
      </c>
      <c r="K257" s="187" t="s">
        <v>202</v>
      </c>
      <c r="L257" s="188" t="s">
        <v>112</v>
      </c>
      <c r="M257" s="188" t="s">
        <v>115</v>
      </c>
      <c r="N257" s="188" t="s">
        <v>112</v>
      </c>
      <c r="O257" s="188" t="s">
        <v>115</v>
      </c>
      <c r="P257" s="188" t="s">
        <v>115</v>
      </c>
      <c r="Q257" s="188" t="s">
        <v>115</v>
      </c>
      <c r="R257" s="189" t="s">
        <v>202</v>
      </c>
    </row>
    <row r="258" spans="1:18">
      <c r="A258" s="112" t="s">
        <v>82</v>
      </c>
      <c r="B258" s="73"/>
      <c r="C258" s="111" t="s">
        <v>158</v>
      </c>
      <c r="D258" s="187" t="s">
        <v>115</v>
      </c>
      <c r="E258" s="188" t="s">
        <v>115</v>
      </c>
      <c r="F258" s="188" t="s">
        <v>115</v>
      </c>
      <c r="G258" s="188" t="s">
        <v>112</v>
      </c>
      <c r="H258" s="188" t="s">
        <v>115</v>
      </c>
      <c r="I258" s="188" t="s">
        <v>115</v>
      </c>
      <c r="J258" s="189" t="s">
        <v>115</v>
      </c>
      <c r="K258" s="187" t="s">
        <v>202</v>
      </c>
      <c r="L258" s="188" t="s">
        <v>112</v>
      </c>
      <c r="M258" s="188" t="s">
        <v>115</v>
      </c>
      <c r="N258" s="188" t="s">
        <v>112</v>
      </c>
      <c r="O258" s="188" t="s">
        <v>115</v>
      </c>
      <c r="P258" s="188" t="s">
        <v>115</v>
      </c>
      <c r="Q258" s="188" t="s">
        <v>115</v>
      </c>
      <c r="R258" s="189" t="s">
        <v>202</v>
      </c>
    </row>
    <row r="259" spans="1:18" ht="13.2" customHeight="1">
      <c r="A259" s="112" t="s">
        <v>82</v>
      </c>
      <c r="B259" s="73"/>
      <c r="C259" s="111" t="s">
        <v>159</v>
      </c>
      <c r="D259" s="187" t="s">
        <v>115</v>
      </c>
      <c r="E259" s="188" t="s">
        <v>115</v>
      </c>
      <c r="F259" s="188" t="s">
        <v>115</v>
      </c>
      <c r="G259" s="188" t="s">
        <v>112</v>
      </c>
      <c r="H259" s="188" t="s">
        <v>115</v>
      </c>
      <c r="I259" s="188" t="s">
        <v>115</v>
      </c>
      <c r="J259" s="189" t="s">
        <v>115</v>
      </c>
      <c r="K259" s="187" t="s">
        <v>202</v>
      </c>
      <c r="L259" s="188" t="s">
        <v>112</v>
      </c>
      <c r="M259" s="188" t="s">
        <v>115</v>
      </c>
      <c r="N259" s="188" t="s">
        <v>112</v>
      </c>
      <c r="O259" s="188" t="s">
        <v>115</v>
      </c>
      <c r="P259" s="188" t="s">
        <v>115</v>
      </c>
      <c r="Q259" s="188" t="s">
        <v>115</v>
      </c>
      <c r="R259" s="189" t="s">
        <v>202</v>
      </c>
    </row>
    <row r="260" spans="1:18" ht="13.2" customHeight="1">
      <c r="A260" s="112" t="s">
        <v>82</v>
      </c>
      <c r="B260" s="73"/>
      <c r="C260" s="111" t="s">
        <v>160</v>
      </c>
      <c r="D260" s="187" t="s">
        <v>115</v>
      </c>
      <c r="E260" s="188" t="s">
        <v>115</v>
      </c>
      <c r="F260" s="188" t="s">
        <v>115</v>
      </c>
      <c r="G260" s="188" t="s">
        <v>112</v>
      </c>
      <c r="H260" s="188" t="s">
        <v>115</v>
      </c>
      <c r="I260" s="188" t="s">
        <v>115</v>
      </c>
      <c r="J260" s="189" t="s">
        <v>115</v>
      </c>
      <c r="K260" s="187" t="s">
        <v>202</v>
      </c>
      <c r="L260" s="188" t="s">
        <v>112</v>
      </c>
      <c r="M260" s="188" t="s">
        <v>115</v>
      </c>
      <c r="N260" s="188" t="s">
        <v>112</v>
      </c>
      <c r="O260" s="188" t="s">
        <v>115</v>
      </c>
      <c r="P260" s="188" t="s">
        <v>115</v>
      </c>
      <c r="Q260" s="188" t="s">
        <v>115</v>
      </c>
      <c r="R260" s="189" t="s">
        <v>202</v>
      </c>
    </row>
    <row r="261" spans="1:18" ht="13.2" customHeight="1">
      <c r="A261" s="101" t="s">
        <v>48</v>
      </c>
      <c r="B261" s="70"/>
      <c r="C261" s="103"/>
      <c r="D261" s="190" t="s">
        <v>0</v>
      </c>
      <c r="E261" s="125" t="s">
        <v>0</v>
      </c>
      <c r="F261" s="125" t="s">
        <v>0</v>
      </c>
      <c r="G261" s="125" t="s">
        <v>0</v>
      </c>
      <c r="H261" s="125" t="s">
        <v>0</v>
      </c>
      <c r="I261" s="125" t="s">
        <v>0</v>
      </c>
      <c r="J261" s="191" t="s">
        <v>0</v>
      </c>
      <c r="K261" s="190" t="s">
        <v>0</v>
      </c>
      <c r="L261" s="125" t="s">
        <v>0</v>
      </c>
      <c r="M261" s="125" t="s">
        <v>0</v>
      </c>
      <c r="N261" s="125" t="s">
        <v>0</v>
      </c>
      <c r="O261" s="125" t="s">
        <v>0</v>
      </c>
      <c r="P261" s="125" t="s">
        <v>0</v>
      </c>
      <c r="Q261" s="125" t="s">
        <v>0</v>
      </c>
      <c r="R261" s="191" t="s">
        <v>0</v>
      </c>
    </row>
    <row r="262" spans="1:18" ht="13.2" customHeight="1">
      <c r="A262" s="112" t="s">
        <v>49</v>
      </c>
      <c r="B262" s="73"/>
      <c r="C262" s="111"/>
      <c r="D262" s="187" t="s">
        <v>0</v>
      </c>
      <c r="E262" s="188" t="s">
        <v>0</v>
      </c>
      <c r="F262" s="188" t="s">
        <v>0</v>
      </c>
      <c r="G262" s="188" t="s">
        <v>0</v>
      </c>
      <c r="H262" s="188" t="s">
        <v>0</v>
      </c>
      <c r="I262" s="188" t="s">
        <v>0</v>
      </c>
      <c r="J262" s="189" t="s">
        <v>0</v>
      </c>
      <c r="K262" s="187" t="s">
        <v>0</v>
      </c>
      <c r="L262" s="188" t="s">
        <v>0</v>
      </c>
      <c r="M262" s="188" t="s">
        <v>0</v>
      </c>
      <c r="N262" s="188" t="s">
        <v>0</v>
      </c>
      <c r="O262" s="188" t="s">
        <v>0</v>
      </c>
      <c r="P262" s="188" t="s">
        <v>0</v>
      </c>
      <c r="Q262" s="188" t="s">
        <v>0</v>
      </c>
      <c r="R262" s="189" t="s">
        <v>0</v>
      </c>
    </row>
    <row r="263" spans="1:18" ht="13.2" customHeight="1">
      <c r="A263" s="101" t="s">
        <v>83</v>
      </c>
      <c r="B263" s="70"/>
      <c r="C263" s="102" t="s">
        <v>79</v>
      </c>
      <c r="D263" s="190" t="s">
        <v>115</v>
      </c>
      <c r="E263" s="125" t="s">
        <v>115</v>
      </c>
      <c r="F263" s="125" t="s">
        <v>115</v>
      </c>
      <c r="G263" s="125" t="s">
        <v>115</v>
      </c>
      <c r="H263" s="125" t="s">
        <v>115</v>
      </c>
      <c r="I263" s="125" t="s">
        <v>202</v>
      </c>
      <c r="J263" s="191" t="s">
        <v>202</v>
      </c>
      <c r="K263" s="190" t="s">
        <v>202</v>
      </c>
      <c r="L263" s="125" t="s">
        <v>202</v>
      </c>
      <c r="M263" s="125" t="s">
        <v>202</v>
      </c>
      <c r="N263" s="125" t="s">
        <v>112</v>
      </c>
      <c r="O263" s="125" t="s">
        <v>112</v>
      </c>
      <c r="P263" s="125" t="s">
        <v>202</v>
      </c>
      <c r="Q263" s="125" t="s">
        <v>112</v>
      </c>
      <c r="R263" s="191" t="s">
        <v>115</v>
      </c>
    </row>
    <row r="264" spans="1:18" ht="13.2" customHeight="1">
      <c r="A264" s="101" t="s">
        <v>83</v>
      </c>
      <c r="B264" s="70"/>
      <c r="C264" s="102" t="s">
        <v>56</v>
      </c>
      <c r="D264" s="190" t="s">
        <v>115</v>
      </c>
      <c r="E264" s="125" t="s">
        <v>115</v>
      </c>
      <c r="F264" s="125" t="s">
        <v>115</v>
      </c>
      <c r="G264" s="125" t="s">
        <v>115</v>
      </c>
      <c r="H264" s="125" t="s">
        <v>115</v>
      </c>
      <c r="I264" s="125" t="s">
        <v>202</v>
      </c>
      <c r="J264" s="191" t="s">
        <v>202</v>
      </c>
      <c r="K264" s="190" t="s">
        <v>202</v>
      </c>
      <c r="L264" s="125" t="s">
        <v>202</v>
      </c>
      <c r="M264" s="125" t="s">
        <v>202</v>
      </c>
      <c r="N264" s="125" t="s">
        <v>112</v>
      </c>
      <c r="O264" s="125" t="s">
        <v>112</v>
      </c>
      <c r="P264" s="125" t="s">
        <v>202</v>
      </c>
      <c r="Q264" s="125" t="s">
        <v>112</v>
      </c>
      <c r="R264" s="191" t="s">
        <v>115</v>
      </c>
    </row>
    <row r="265" spans="1:18">
      <c r="A265" s="101" t="s">
        <v>83</v>
      </c>
      <c r="B265" s="70"/>
      <c r="C265" s="103" t="s">
        <v>157</v>
      </c>
      <c r="D265" s="190" t="s">
        <v>115</v>
      </c>
      <c r="E265" s="125" t="s">
        <v>115</v>
      </c>
      <c r="F265" s="125" t="s">
        <v>115</v>
      </c>
      <c r="G265" s="125" t="s">
        <v>115</v>
      </c>
      <c r="H265" s="125" t="s">
        <v>115</v>
      </c>
      <c r="I265" s="125" t="s">
        <v>202</v>
      </c>
      <c r="J265" s="191" t="s">
        <v>202</v>
      </c>
      <c r="K265" s="190" t="s">
        <v>202</v>
      </c>
      <c r="L265" s="125" t="s">
        <v>202</v>
      </c>
      <c r="M265" s="125" t="s">
        <v>202</v>
      </c>
      <c r="N265" s="125" t="s">
        <v>112</v>
      </c>
      <c r="O265" s="125" t="s">
        <v>112</v>
      </c>
      <c r="P265" s="125" t="s">
        <v>202</v>
      </c>
      <c r="Q265" s="125" t="s">
        <v>112</v>
      </c>
      <c r="R265" s="191" t="s">
        <v>115</v>
      </c>
    </row>
    <row r="266" spans="1:18">
      <c r="A266" s="101" t="s">
        <v>83</v>
      </c>
      <c r="B266" s="70"/>
      <c r="C266" s="102" t="s">
        <v>158</v>
      </c>
      <c r="D266" s="190" t="s">
        <v>115</v>
      </c>
      <c r="E266" s="125" t="s">
        <v>115</v>
      </c>
      <c r="F266" s="125" t="s">
        <v>115</v>
      </c>
      <c r="G266" s="125" t="s">
        <v>115</v>
      </c>
      <c r="H266" s="125" t="s">
        <v>115</v>
      </c>
      <c r="I266" s="125" t="s">
        <v>202</v>
      </c>
      <c r="J266" s="191" t="s">
        <v>202</v>
      </c>
      <c r="K266" s="190" t="s">
        <v>202</v>
      </c>
      <c r="L266" s="125" t="s">
        <v>202</v>
      </c>
      <c r="M266" s="125" t="s">
        <v>202</v>
      </c>
      <c r="N266" s="125" t="s">
        <v>112</v>
      </c>
      <c r="O266" s="125" t="s">
        <v>112</v>
      </c>
      <c r="P266" s="125" t="s">
        <v>202</v>
      </c>
      <c r="Q266" s="125" t="s">
        <v>112</v>
      </c>
      <c r="R266" s="191" t="s">
        <v>115</v>
      </c>
    </row>
    <row r="267" spans="1:18" ht="13.2" customHeight="1">
      <c r="A267" s="101" t="s">
        <v>83</v>
      </c>
      <c r="B267" s="70"/>
      <c r="C267" s="102" t="s">
        <v>159</v>
      </c>
      <c r="D267" s="190" t="s">
        <v>115</v>
      </c>
      <c r="E267" s="125" t="s">
        <v>115</v>
      </c>
      <c r="F267" s="125" t="s">
        <v>115</v>
      </c>
      <c r="G267" s="125" t="s">
        <v>115</v>
      </c>
      <c r="H267" s="125" t="s">
        <v>115</v>
      </c>
      <c r="I267" s="125" t="s">
        <v>202</v>
      </c>
      <c r="J267" s="191" t="s">
        <v>202</v>
      </c>
      <c r="K267" s="190" t="s">
        <v>202</v>
      </c>
      <c r="L267" s="125" t="s">
        <v>202</v>
      </c>
      <c r="M267" s="125" t="s">
        <v>202</v>
      </c>
      <c r="N267" s="125" t="s">
        <v>112</v>
      </c>
      <c r="O267" s="125" t="s">
        <v>112</v>
      </c>
      <c r="P267" s="125" t="s">
        <v>202</v>
      </c>
      <c r="Q267" s="125" t="s">
        <v>112</v>
      </c>
      <c r="R267" s="191" t="s">
        <v>115</v>
      </c>
    </row>
    <row r="268" spans="1:18" ht="13.2" customHeight="1">
      <c r="A268" s="101" t="s">
        <v>83</v>
      </c>
      <c r="B268" s="70"/>
      <c r="C268" s="102" t="s">
        <v>160</v>
      </c>
      <c r="D268" s="190" t="s">
        <v>115</v>
      </c>
      <c r="E268" s="125" t="s">
        <v>115</v>
      </c>
      <c r="F268" s="125" t="s">
        <v>115</v>
      </c>
      <c r="G268" s="125" t="s">
        <v>115</v>
      </c>
      <c r="H268" s="125" t="s">
        <v>115</v>
      </c>
      <c r="I268" s="125" t="s">
        <v>202</v>
      </c>
      <c r="J268" s="191" t="s">
        <v>202</v>
      </c>
      <c r="K268" s="190" t="s">
        <v>202</v>
      </c>
      <c r="L268" s="125" t="s">
        <v>202</v>
      </c>
      <c r="M268" s="125" t="s">
        <v>202</v>
      </c>
      <c r="N268" s="125" t="s">
        <v>112</v>
      </c>
      <c r="O268" s="125" t="s">
        <v>112</v>
      </c>
      <c r="P268" s="125" t="s">
        <v>202</v>
      </c>
      <c r="Q268" s="125" t="s">
        <v>112</v>
      </c>
      <c r="R268" s="191" t="s">
        <v>115</v>
      </c>
    </row>
    <row r="269" spans="1:18" ht="13.2" customHeight="1">
      <c r="A269" s="112" t="s">
        <v>42</v>
      </c>
      <c r="B269" s="73"/>
      <c r="C269" s="111" t="s">
        <v>79</v>
      </c>
      <c r="D269" s="187" t="s">
        <v>0</v>
      </c>
      <c r="E269" s="188" t="s">
        <v>0</v>
      </c>
      <c r="F269" s="188" t="s">
        <v>0</v>
      </c>
      <c r="G269" s="188" t="s">
        <v>0</v>
      </c>
      <c r="H269" s="188" t="s">
        <v>0</v>
      </c>
      <c r="I269" s="188" t="s">
        <v>0</v>
      </c>
      <c r="J269" s="189" t="s">
        <v>0</v>
      </c>
      <c r="K269" s="187" t="s">
        <v>0</v>
      </c>
      <c r="L269" s="188" t="s">
        <v>0</v>
      </c>
      <c r="M269" s="188" t="s">
        <v>0</v>
      </c>
      <c r="N269" s="188" t="s">
        <v>0</v>
      </c>
      <c r="O269" s="188" t="s">
        <v>0</v>
      </c>
      <c r="P269" s="188" t="s">
        <v>0</v>
      </c>
      <c r="Q269" s="188" t="s">
        <v>0</v>
      </c>
      <c r="R269" s="189" t="s">
        <v>0</v>
      </c>
    </row>
    <row r="270" spans="1:18" ht="13.2" customHeight="1">
      <c r="A270" s="112" t="s">
        <v>42</v>
      </c>
      <c r="B270" s="73"/>
      <c r="C270" s="111" t="s">
        <v>56</v>
      </c>
      <c r="D270" s="187" t="s">
        <v>0</v>
      </c>
      <c r="E270" s="188" t="s">
        <v>0</v>
      </c>
      <c r="F270" s="188" t="s">
        <v>0</v>
      </c>
      <c r="G270" s="188" t="s">
        <v>0</v>
      </c>
      <c r="H270" s="188" t="s">
        <v>0</v>
      </c>
      <c r="I270" s="188" t="s">
        <v>0</v>
      </c>
      <c r="J270" s="189" t="s">
        <v>0</v>
      </c>
      <c r="K270" s="187" t="s">
        <v>0</v>
      </c>
      <c r="L270" s="188" t="s">
        <v>0</v>
      </c>
      <c r="M270" s="188" t="s">
        <v>0</v>
      </c>
      <c r="N270" s="188" t="s">
        <v>0</v>
      </c>
      <c r="O270" s="188" t="s">
        <v>0</v>
      </c>
      <c r="P270" s="188" t="s">
        <v>0</v>
      </c>
      <c r="Q270" s="188" t="s">
        <v>0</v>
      </c>
      <c r="R270" s="189" t="s">
        <v>0</v>
      </c>
    </row>
    <row r="271" spans="1:18">
      <c r="A271" s="112" t="s">
        <v>42</v>
      </c>
      <c r="B271" s="73"/>
      <c r="C271" s="111" t="s">
        <v>157</v>
      </c>
      <c r="D271" s="187" t="s">
        <v>0</v>
      </c>
      <c r="E271" s="188" t="s">
        <v>0</v>
      </c>
      <c r="F271" s="188" t="s">
        <v>0</v>
      </c>
      <c r="G271" s="188" t="s">
        <v>0</v>
      </c>
      <c r="H271" s="188" t="s">
        <v>0</v>
      </c>
      <c r="I271" s="188" t="s">
        <v>0</v>
      </c>
      <c r="J271" s="189" t="s">
        <v>0</v>
      </c>
      <c r="K271" s="187" t="s">
        <v>0</v>
      </c>
      <c r="L271" s="188" t="s">
        <v>0</v>
      </c>
      <c r="M271" s="188" t="s">
        <v>0</v>
      </c>
      <c r="N271" s="188" t="s">
        <v>0</v>
      </c>
      <c r="O271" s="188" t="s">
        <v>0</v>
      </c>
      <c r="P271" s="188" t="s">
        <v>0</v>
      </c>
      <c r="Q271" s="188" t="s">
        <v>0</v>
      </c>
      <c r="R271" s="189" t="s">
        <v>0</v>
      </c>
    </row>
    <row r="272" spans="1:18">
      <c r="A272" s="112" t="s">
        <v>42</v>
      </c>
      <c r="B272" s="73"/>
      <c r="C272" s="111" t="s">
        <v>158</v>
      </c>
      <c r="D272" s="187" t="s">
        <v>0</v>
      </c>
      <c r="E272" s="188" t="s">
        <v>0</v>
      </c>
      <c r="F272" s="188" t="s">
        <v>0</v>
      </c>
      <c r="G272" s="188" t="s">
        <v>0</v>
      </c>
      <c r="H272" s="188" t="s">
        <v>0</v>
      </c>
      <c r="I272" s="188" t="s">
        <v>0</v>
      </c>
      <c r="J272" s="189" t="s">
        <v>0</v>
      </c>
      <c r="K272" s="187" t="s">
        <v>0</v>
      </c>
      <c r="L272" s="188" t="s">
        <v>0</v>
      </c>
      <c r="M272" s="188" t="s">
        <v>0</v>
      </c>
      <c r="N272" s="188" t="s">
        <v>0</v>
      </c>
      <c r="O272" s="188" t="s">
        <v>0</v>
      </c>
      <c r="P272" s="188" t="s">
        <v>0</v>
      </c>
      <c r="Q272" s="188" t="s">
        <v>0</v>
      </c>
      <c r="R272" s="189" t="s">
        <v>0</v>
      </c>
    </row>
    <row r="273" spans="1:20" ht="13.2" customHeight="1">
      <c r="A273" s="112" t="s">
        <v>42</v>
      </c>
      <c r="B273" s="73"/>
      <c r="C273" s="111" t="s">
        <v>159</v>
      </c>
      <c r="D273" s="187" t="s">
        <v>0</v>
      </c>
      <c r="E273" s="188" t="s">
        <v>0</v>
      </c>
      <c r="F273" s="188" t="s">
        <v>0</v>
      </c>
      <c r="G273" s="188" t="s">
        <v>0</v>
      </c>
      <c r="H273" s="188" t="s">
        <v>0</v>
      </c>
      <c r="I273" s="188" t="s">
        <v>0</v>
      </c>
      <c r="J273" s="189" t="s">
        <v>0</v>
      </c>
      <c r="K273" s="187" t="s">
        <v>0</v>
      </c>
      <c r="L273" s="188" t="s">
        <v>0</v>
      </c>
      <c r="M273" s="188" t="s">
        <v>0</v>
      </c>
      <c r="N273" s="188" t="s">
        <v>0</v>
      </c>
      <c r="O273" s="188" t="s">
        <v>0</v>
      </c>
      <c r="P273" s="188" t="s">
        <v>0</v>
      </c>
      <c r="Q273" s="188" t="s">
        <v>0</v>
      </c>
      <c r="R273" s="189" t="s">
        <v>0</v>
      </c>
    </row>
    <row r="274" spans="1:20" ht="13.2" customHeight="1">
      <c r="A274" s="112" t="s">
        <v>42</v>
      </c>
      <c r="B274" s="73"/>
      <c r="C274" s="111" t="s">
        <v>160</v>
      </c>
      <c r="D274" s="187" t="s">
        <v>0</v>
      </c>
      <c r="E274" s="188" t="s">
        <v>0</v>
      </c>
      <c r="F274" s="188" t="s">
        <v>0</v>
      </c>
      <c r="G274" s="188" t="s">
        <v>0</v>
      </c>
      <c r="H274" s="188" t="s">
        <v>0</v>
      </c>
      <c r="I274" s="188" t="s">
        <v>0</v>
      </c>
      <c r="J274" s="189" t="s">
        <v>0</v>
      </c>
      <c r="K274" s="187" t="s">
        <v>0</v>
      </c>
      <c r="L274" s="188" t="s">
        <v>0</v>
      </c>
      <c r="M274" s="188" t="s">
        <v>0</v>
      </c>
      <c r="N274" s="188" t="s">
        <v>0</v>
      </c>
      <c r="O274" s="188" t="s">
        <v>0</v>
      </c>
      <c r="P274" s="188" t="s">
        <v>0</v>
      </c>
      <c r="Q274" s="188" t="s">
        <v>0</v>
      </c>
      <c r="R274" s="189" t="s">
        <v>0</v>
      </c>
    </row>
    <row r="275" spans="1:20" ht="13.2" customHeight="1">
      <c r="A275" s="101" t="s">
        <v>55</v>
      </c>
      <c r="B275" s="70"/>
      <c r="C275" s="103"/>
      <c r="D275" s="190" t="s">
        <v>0</v>
      </c>
      <c r="E275" s="125" t="s">
        <v>0</v>
      </c>
      <c r="F275" s="125" t="s">
        <v>0</v>
      </c>
      <c r="G275" s="125" t="s">
        <v>0</v>
      </c>
      <c r="H275" s="125" t="s">
        <v>0</v>
      </c>
      <c r="I275" s="125" t="s">
        <v>0</v>
      </c>
      <c r="J275" s="191" t="s">
        <v>0</v>
      </c>
      <c r="K275" s="190" t="s">
        <v>0</v>
      </c>
      <c r="L275" s="125" t="s">
        <v>0</v>
      </c>
      <c r="M275" s="125" t="s">
        <v>0</v>
      </c>
      <c r="N275" s="125" t="s">
        <v>0</v>
      </c>
      <c r="O275" s="125" t="s">
        <v>0</v>
      </c>
      <c r="P275" s="125" t="s">
        <v>0</v>
      </c>
      <c r="Q275" s="125" t="s">
        <v>0</v>
      </c>
      <c r="R275" s="191" t="s">
        <v>0</v>
      </c>
    </row>
    <row r="276" spans="1:20" ht="13.2" customHeight="1">
      <c r="A276" s="240" t="s">
        <v>51</v>
      </c>
      <c r="B276" s="241"/>
      <c r="C276" s="242"/>
      <c r="D276" s="243" t="s">
        <v>0</v>
      </c>
      <c r="E276" s="244" t="s">
        <v>0</v>
      </c>
      <c r="F276" s="244" t="s">
        <v>0</v>
      </c>
      <c r="G276" s="244" t="s">
        <v>0</v>
      </c>
      <c r="H276" s="244" t="s">
        <v>0</v>
      </c>
      <c r="I276" s="244" t="s">
        <v>0</v>
      </c>
      <c r="J276" s="245" t="s">
        <v>0</v>
      </c>
      <c r="K276" s="243" t="s">
        <v>0</v>
      </c>
      <c r="L276" s="244" t="s">
        <v>0</v>
      </c>
      <c r="M276" s="244" t="s">
        <v>0</v>
      </c>
      <c r="N276" s="244" t="s">
        <v>0</v>
      </c>
      <c r="O276" s="244" t="s">
        <v>0</v>
      </c>
      <c r="P276" s="244" t="s">
        <v>0</v>
      </c>
      <c r="Q276" s="244" t="s">
        <v>0</v>
      </c>
      <c r="R276" s="245" t="s">
        <v>0</v>
      </c>
    </row>
    <row r="277" spans="1:20" s="99" customFormat="1" ht="13.5" customHeight="1">
      <c r="A277" s="146" t="s">
        <v>140</v>
      </c>
      <c r="B277" s="89"/>
      <c r="C277" s="89"/>
      <c r="D277" s="89"/>
      <c r="E277" s="237"/>
      <c r="F277" s="439"/>
      <c r="G277" s="439"/>
      <c r="H277" s="439"/>
      <c r="I277" s="440"/>
      <c r="J277" s="440"/>
      <c r="K277" s="237"/>
      <c r="L277" s="237"/>
      <c r="M277" s="237"/>
      <c r="N277" s="237"/>
      <c r="O277" s="237"/>
      <c r="P277" s="237"/>
      <c r="Q277" s="237"/>
      <c r="R277" s="89"/>
      <c r="S277" s="90"/>
      <c r="T277" s="90"/>
    </row>
    <row r="278" spans="1:20" s="91" customFormat="1" ht="15" customHeight="1">
      <c r="A278" s="57" t="s">
        <v>141</v>
      </c>
      <c r="B278" s="98"/>
      <c r="C278" s="89"/>
      <c r="D278" s="89"/>
      <c r="E278" s="95"/>
      <c r="F278" s="95"/>
      <c r="G278" s="89"/>
      <c r="H278" s="89"/>
      <c r="I278" s="89"/>
      <c r="J278" s="97"/>
      <c r="K278" s="238"/>
      <c r="L278" s="89"/>
      <c r="M278" s="89"/>
      <c r="N278" s="89"/>
      <c r="O278" s="89"/>
      <c r="P278" s="89"/>
      <c r="Q278" s="89"/>
      <c r="R278" s="89"/>
      <c r="S278" s="90"/>
      <c r="T278" s="90"/>
    </row>
    <row r="279" spans="1:20" s="91" customFormat="1" ht="15" customHeight="1">
      <c r="A279" s="57" t="s">
        <v>107</v>
      </c>
      <c r="B279" s="98"/>
      <c r="C279" s="89"/>
      <c r="D279" s="89"/>
      <c r="E279" s="95"/>
      <c r="F279" s="95"/>
      <c r="G279" s="89"/>
      <c r="H279" s="89"/>
      <c r="I279" s="89"/>
      <c r="J279" s="97"/>
      <c r="K279" s="238"/>
      <c r="L279" s="89"/>
      <c r="M279" s="89"/>
      <c r="N279" s="89"/>
      <c r="O279" s="89"/>
      <c r="P279" s="89"/>
      <c r="Q279" s="89"/>
      <c r="R279" s="89"/>
      <c r="S279" s="90"/>
      <c r="T279" s="90"/>
    </row>
    <row r="280" spans="1:20" s="91" customFormat="1" ht="15" customHeight="1">
      <c r="A280" s="120" t="s">
        <v>142</v>
      </c>
      <c r="B280" s="96"/>
      <c r="C280" s="96"/>
      <c r="D280" s="89"/>
      <c r="E280" s="95"/>
      <c r="F280" s="95"/>
      <c r="G280" s="89"/>
      <c r="H280" s="89"/>
      <c r="I280" s="89"/>
      <c r="J280" s="97"/>
      <c r="K280" s="238"/>
      <c r="L280" s="89"/>
      <c r="M280" s="89"/>
      <c r="N280" s="89"/>
      <c r="O280" s="89"/>
      <c r="P280" s="89"/>
      <c r="Q280" s="89"/>
      <c r="R280" s="89"/>
      <c r="S280" s="90"/>
      <c r="T280" s="90"/>
    </row>
    <row r="281" spans="1:20" s="91" customFormat="1" ht="15" customHeight="1">
      <c r="A281" s="120" t="s">
        <v>143</v>
      </c>
      <c r="B281" s="96"/>
      <c r="C281" s="96"/>
      <c r="D281" s="89"/>
      <c r="E281" s="95"/>
      <c r="F281" s="95"/>
      <c r="G281" s="89"/>
      <c r="H281" s="89"/>
      <c r="I281" s="89"/>
      <c r="J281" s="97"/>
      <c r="K281" s="238"/>
      <c r="L281" s="89"/>
      <c r="M281" s="89"/>
      <c r="N281" s="89"/>
      <c r="O281" s="89"/>
      <c r="P281" s="89"/>
      <c r="Q281" s="89"/>
      <c r="R281" s="89"/>
      <c r="S281" s="90"/>
      <c r="T281" s="90"/>
    </row>
    <row r="282" spans="1:20" s="91" customFormat="1" ht="15" customHeight="1">
      <c r="A282" s="120" t="s">
        <v>87</v>
      </c>
      <c r="B282" s="96"/>
      <c r="C282" s="96"/>
      <c r="D282" s="89"/>
      <c r="E282" s="95"/>
      <c r="F282" s="95"/>
      <c r="G282" s="89"/>
      <c r="H282" s="89"/>
      <c r="I282" s="89"/>
      <c r="J282" s="89"/>
      <c r="K282" s="89"/>
      <c r="L282" s="89"/>
      <c r="M282" s="89"/>
      <c r="N282" s="89"/>
      <c r="O282" s="89"/>
      <c r="P282" s="89"/>
      <c r="Q282" s="89"/>
      <c r="R282" s="89"/>
      <c r="S282" s="90"/>
      <c r="T282" s="90"/>
    </row>
    <row r="283" spans="1:20" s="91" customFormat="1" ht="13.5" customHeight="1">
      <c r="A283" s="120" t="s">
        <v>86</v>
      </c>
      <c r="B283" s="89"/>
      <c r="C283" s="89"/>
      <c r="D283" s="89"/>
      <c r="E283" s="89"/>
      <c r="F283" s="89"/>
      <c r="G283" s="89"/>
      <c r="H283" s="89"/>
      <c r="I283" s="89"/>
      <c r="J283" s="89"/>
      <c r="K283" s="89"/>
      <c r="L283" s="89"/>
      <c r="M283" s="89"/>
      <c r="N283" s="89"/>
      <c r="O283" s="89"/>
      <c r="P283" s="89"/>
      <c r="Q283" s="89"/>
      <c r="R283" s="89"/>
      <c r="S283" s="90"/>
      <c r="T283" s="90"/>
    </row>
    <row r="284" spans="1:20" s="91" customFormat="1" ht="13.5" customHeight="1">
      <c r="A284" s="89"/>
      <c r="B284" s="89"/>
      <c r="C284" s="89"/>
      <c r="D284" s="89"/>
      <c r="E284" s="89"/>
      <c r="F284" s="89"/>
      <c r="G284" s="89"/>
      <c r="H284" s="89"/>
      <c r="I284" s="89"/>
      <c r="J284" s="89"/>
      <c r="K284" s="89"/>
      <c r="L284" s="89"/>
      <c r="M284" s="89"/>
      <c r="N284" s="89"/>
      <c r="O284" s="89"/>
      <c r="P284" s="89"/>
      <c r="Q284" s="89"/>
      <c r="R284" s="89"/>
      <c r="S284" s="90"/>
      <c r="T284" s="90"/>
    </row>
    <row r="285" spans="1:20" s="91" customFormat="1" ht="13.5" customHeight="1">
      <c r="A285" s="89"/>
      <c r="B285" s="89"/>
      <c r="C285" s="89"/>
      <c r="D285" s="89"/>
      <c r="E285" s="89"/>
      <c r="F285" s="89"/>
      <c r="G285" s="89"/>
      <c r="H285" s="89"/>
      <c r="I285" s="89"/>
      <c r="J285" s="89"/>
      <c r="K285" s="89"/>
      <c r="L285" s="89"/>
      <c r="M285" s="89"/>
      <c r="N285" s="239"/>
      <c r="O285" s="89"/>
      <c r="P285" s="89"/>
      <c r="Q285" s="89"/>
      <c r="R285" s="89"/>
      <c r="S285" s="90"/>
      <c r="T285" s="90"/>
    </row>
    <row r="286" spans="1:20" s="91" customFormat="1" ht="13.5" customHeight="1">
      <c r="A286" s="89"/>
      <c r="B286" s="89"/>
      <c r="C286" s="89"/>
      <c r="D286" s="89"/>
      <c r="E286" s="89"/>
      <c r="F286" s="89"/>
      <c r="G286" s="89"/>
      <c r="H286" s="89"/>
      <c r="I286" s="89"/>
      <c r="J286" s="89"/>
      <c r="K286" s="89"/>
      <c r="L286" s="89"/>
      <c r="M286" s="89"/>
      <c r="N286" s="89"/>
      <c r="O286" s="89"/>
      <c r="P286" s="89"/>
      <c r="Q286" s="89"/>
      <c r="R286" s="89"/>
      <c r="S286" s="90"/>
      <c r="T286" s="90"/>
    </row>
    <row r="287" spans="1:20" s="91" customFormat="1" ht="10.199999999999999">
      <c r="A287" s="119" t="s">
        <v>230</v>
      </c>
      <c r="B287" s="89"/>
      <c r="C287" s="89"/>
      <c r="D287" s="89"/>
      <c r="E287" s="89"/>
      <c r="F287" s="89"/>
      <c r="G287" s="89"/>
      <c r="H287" s="89"/>
      <c r="I287" s="89"/>
      <c r="J287" s="89"/>
      <c r="K287" s="89"/>
      <c r="L287" s="89"/>
      <c r="M287" s="89"/>
      <c r="N287" s="89"/>
      <c r="O287" s="89"/>
      <c r="P287" s="89"/>
      <c r="Q287" s="89"/>
      <c r="R287" s="89"/>
      <c r="S287" s="90"/>
      <c r="T287" s="90"/>
    </row>
    <row r="288" spans="1:20" s="91" customFormat="1" ht="10.199999999999999">
      <c r="A288" s="119" t="s">
        <v>150</v>
      </c>
      <c r="B288" s="119"/>
      <c r="C288" s="119"/>
      <c r="D288" s="119"/>
      <c r="E288" s="119"/>
      <c r="F288" s="119"/>
      <c r="G288" s="119"/>
      <c r="H288" s="119"/>
      <c r="I288" s="119"/>
      <c r="J288" s="119"/>
      <c r="K288" s="119"/>
      <c r="L288" s="119"/>
      <c r="M288" s="119"/>
      <c r="N288" s="119"/>
      <c r="O288" s="119"/>
      <c r="P288" s="119"/>
      <c r="Q288" s="119"/>
      <c r="R288" s="119"/>
      <c r="S288" s="119"/>
      <c r="T288" s="119"/>
    </row>
    <row r="289" spans="1:20" s="91" customFormat="1" ht="10.199999999999999">
      <c r="A289" s="147" t="s">
        <v>216</v>
      </c>
      <c r="B289" s="94"/>
      <c r="C289" s="94"/>
      <c r="D289" s="90"/>
      <c r="E289" s="90"/>
      <c r="F289" s="90"/>
      <c r="G289" s="90"/>
      <c r="H289" s="90"/>
      <c r="I289" s="90"/>
      <c r="J289" s="90"/>
      <c r="K289" s="90"/>
      <c r="L289" s="90"/>
      <c r="M289" s="90"/>
      <c r="N289" s="90"/>
      <c r="O289" s="90"/>
      <c r="P289" s="90"/>
      <c r="Q289" s="90"/>
      <c r="R289" s="90"/>
      <c r="S289" s="90"/>
      <c r="T289" s="90"/>
    </row>
    <row r="290" spans="1:20" s="91" customFormat="1" ht="10.199999999999999">
      <c r="A290" s="138" t="s">
        <v>85</v>
      </c>
      <c r="B290" s="94"/>
      <c r="C290" s="94"/>
      <c r="D290" s="90"/>
      <c r="E290" s="90"/>
      <c r="F290" s="90"/>
      <c r="G290" s="90"/>
      <c r="H290" s="90"/>
      <c r="I290" s="90"/>
      <c r="J290" s="90"/>
      <c r="K290" s="90"/>
      <c r="L290" s="90"/>
      <c r="M290" s="90"/>
      <c r="N290" s="90"/>
      <c r="O290" s="90"/>
      <c r="P290" s="90"/>
      <c r="Q290" s="90"/>
      <c r="R290" s="90"/>
      <c r="S290" s="90"/>
      <c r="T290" s="90"/>
    </row>
    <row r="291" spans="1:20" s="91" customFormat="1" ht="10.199999999999999">
      <c r="A291" s="139"/>
      <c r="B291" s="93"/>
      <c r="C291" s="93"/>
      <c r="D291" s="90"/>
      <c r="E291" s="90"/>
      <c r="F291" s="90"/>
      <c r="G291" s="90"/>
      <c r="H291" s="90"/>
      <c r="I291" s="90"/>
      <c r="J291" s="90"/>
      <c r="K291" s="90"/>
      <c r="L291" s="90"/>
      <c r="M291" s="90"/>
      <c r="N291" s="90"/>
      <c r="O291" s="90"/>
      <c r="P291" s="90"/>
      <c r="Q291" s="90"/>
      <c r="R291" s="90"/>
      <c r="S291" s="90"/>
      <c r="T291" s="90"/>
    </row>
    <row r="292" spans="1:20" s="91" customFormat="1" ht="9.6">
      <c r="A292" s="90"/>
      <c r="B292" s="93"/>
      <c r="C292" s="93"/>
      <c r="D292" s="90"/>
      <c r="E292" s="90"/>
      <c r="F292" s="90"/>
      <c r="G292" s="90"/>
      <c r="H292" s="90"/>
      <c r="I292" s="90"/>
      <c r="J292" s="90"/>
      <c r="K292" s="90"/>
      <c r="L292" s="90"/>
      <c r="M292" s="90"/>
      <c r="N292" s="90"/>
      <c r="O292" s="90"/>
      <c r="P292" s="90"/>
      <c r="Q292" s="90"/>
      <c r="R292" s="90"/>
      <c r="S292" s="90"/>
      <c r="T292" s="90"/>
    </row>
    <row r="293" spans="1:20" s="91" customFormat="1" ht="9.6">
      <c r="A293" s="90"/>
      <c r="B293" s="93"/>
      <c r="C293" s="93"/>
      <c r="D293" s="90"/>
      <c r="E293" s="90"/>
      <c r="F293" s="90"/>
      <c r="G293" s="90"/>
      <c r="H293" s="90"/>
      <c r="I293" s="90"/>
      <c r="J293" s="90"/>
      <c r="K293" s="90"/>
      <c r="L293" s="90"/>
      <c r="M293" s="90"/>
      <c r="N293" s="90"/>
      <c r="O293" s="90"/>
      <c r="P293" s="90"/>
      <c r="Q293" s="90"/>
      <c r="R293" s="90"/>
      <c r="S293" s="90"/>
      <c r="T293" s="90"/>
    </row>
    <row r="294" spans="1:20" s="91" customFormat="1" ht="9.6">
      <c r="A294" s="90"/>
      <c r="B294" s="93"/>
      <c r="C294" s="93"/>
      <c r="D294" s="90"/>
      <c r="E294" s="90"/>
      <c r="F294" s="90"/>
      <c r="G294" s="90"/>
      <c r="H294" s="90"/>
      <c r="I294" s="90"/>
      <c r="J294" s="90"/>
      <c r="K294" s="90"/>
      <c r="L294" s="90"/>
      <c r="M294" s="90"/>
      <c r="N294" s="90"/>
      <c r="O294" s="90"/>
      <c r="P294" s="90"/>
      <c r="Q294" s="90"/>
      <c r="R294" s="90"/>
      <c r="S294" s="90"/>
      <c r="T294" s="90"/>
    </row>
    <row r="295" spans="1:20" s="91" customFormat="1" ht="9.6">
      <c r="A295" s="90"/>
      <c r="B295" s="93"/>
      <c r="C295" s="93"/>
      <c r="D295" s="90"/>
      <c r="E295" s="90"/>
      <c r="F295" s="90"/>
      <c r="G295" s="90"/>
      <c r="H295" s="90"/>
      <c r="I295" s="90"/>
      <c r="J295" s="90"/>
      <c r="K295" s="90"/>
      <c r="L295" s="90"/>
      <c r="M295" s="90"/>
      <c r="N295" s="90"/>
      <c r="O295" s="90"/>
      <c r="P295" s="90"/>
      <c r="Q295" s="90"/>
      <c r="R295" s="90"/>
      <c r="S295" s="90"/>
      <c r="T295" s="90"/>
    </row>
    <row r="296" spans="1:20" s="91" customFormat="1" ht="9.6">
      <c r="A296" s="90"/>
      <c r="B296" s="93"/>
      <c r="C296" s="93"/>
      <c r="D296" s="90"/>
      <c r="E296" s="90"/>
      <c r="F296" s="90"/>
      <c r="G296" s="90"/>
      <c r="H296" s="90"/>
      <c r="I296" s="90"/>
      <c r="J296" s="90"/>
      <c r="K296" s="90"/>
      <c r="L296" s="90"/>
      <c r="M296" s="90"/>
      <c r="N296" s="90"/>
      <c r="O296" s="90"/>
      <c r="P296" s="90"/>
      <c r="Q296" s="90"/>
      <c r="R296" s="90"/>
      <c r="S296" s="90"/>
      <c r="T296" s="90"/>
    </row>
    <row r="297" spans="1:20" s="91" customFormat="1" ht="9.6">
      <c r="A297" s="90"/>
      <c r="B297" s="93"/>
      <c r="C297" s="93"/>
      <c r="D297" s="90"/>
      <c r="E297" s="90"/>
      <c r="F297" s="90"/>
      <c r="G297" s="90"/>
      <c r="H297" s="90"/>
      <c r="I297" s="90"/>
      <c r="J297" s="90"/>
      <c r="K297" s="90"/>
      <c r="L297" s="90"/>
      <c r="M297" s="90"/>
      <c r="N297" s="90"/>
      <c r="O297" s="90"/>
      <c r="P297" s="90"/>
      <c r="Q297" s="90"/>
      <c r="R297" s="90"/>
      <c r="S297" s="90"/>
      <c r="T297" s="90"/>
    </row>
    <row r="298" spans="1:20" s="91" customFormat="1" ht="9.6">
      <c r="A298" s="90"/>
      <c r="B298" s="93"/>
      <c r="C298" s="93"/>
      <c r="D298" s="90"/>
      <c r="E298" s="90"/>
      <c r="F298" s="90"/>
      <c r="G298" s="90"/>
      <c r="H298" s="90"/>
      <c r="I298" s="90"/>
      <c r="J298" s="90"/>
      <c r="K298" s="90"/>
      <c r="L298" s="90"/>
      <c r="M298" s="90"/>
      <c r="N298" s="90"/>
      <c r="O298" s="90"/>
      <c r="P298" s="90"/>
      <c r="Q298" s="90"/>
      <c r="R298" s="90"/>
      <c r="S298" s="90"/>
      <c r="T298" s="90"/>
    </row>
    <row r="299" spans="1:20" s="91" customFormat="1" ht="9.6">
      <c r="A299" s="90"/>
      <c r="B299" s="93"/>
      <c r="C299" s="93"/>
      <c r="D299" s="90"/>
      <c r="E299" s="90"/>
      <c r="F299" s="90"/>
      <c r="G299" s="90"/>
      <c r="H299" s="90"/>
      <c r="I299" s="90"/>
      <c r="J299" s="90"/>
      <c r="K299" s="90"/>
      <c r="L299" s="90"/>
      <c r="M299" s="90"/>
      <c r="N299" s="90"/>
      <c r="O299" s="90"/>
      <c r="P299" s="90"/>
      <c r="Q299" s="90"/>
      <c r="R299" s="90"/>
      <c r="S299" s="90"/>
      <c r="T299" s="90"/>
    </row>
    <row r="300" spans="1:20" s="91" customFormat="1" ht="9.6">
      <c r="A300" s="90"/>
      <c r="B300" s="93"/>
      <c r="C300" s="93"/>
      <c r="D300" s="90"/>
      <c r="E300" s="90"/>
      <c r="F300" s="90"/>
      <c r="G300" s="90"/>
      <c r="H300" s="90"/>
      <c r="I300" s="90"/>
      <c r="J300" s="90"/>
      <c r="K300" s="90"/>
      <c r="L300" s="90"/>
      <c r="M300" s="90"/>
      <c r="N300" s="90"/>
      <c r="O300" s="90"/>
      <c r="P300" s="90"/>
      <c r="Q300" s="90"/>
      <c r="R300" s="90"/>
      <c r="S300" s="90"/>
      <c r="T300" s="90"/>
    </row>
    <row r="301" spans="1:20" s="91" customFormat="1" ht="9.6">
      <c r="A301" s="90"/>
      <c r="B301" s="93"/>
      <c r="C301" s="93"/>
      <c r="D301" s="90"/>
      <c r="E301" s="90"/>
      <c r="F301" s="90"/>
      <c r="G301" s="90"/>
      <c r="H301" s="90"/>
      <c r="I301" s="90"/>
      <c r="J301" s="90"/>
      <c r="K301" s="90"/>
      <c r="L301" s="90"/>
      <c r="M301" s="90"/>
      <c r="N301" s="90"/>
      <c r="O301" s="90"/>
      <c r="P301" s="90"/>
      <c r="Q301" s="90"/>
      <c r="R301" s="90"/>
      <c r="S301" s="90"/>
      <c r="T301" s="90"/>
    </row>
    <row r="302" spans="1:20" s="91" customFormat="1" ht="9.6">
      <c r="A302" s="90"/>
      <c r="B302" s="93"/>
      <c r="C302" s="93"/>
      <c r="D302" s="90"/>
      <c r="E302" s="90"/>
      <c r="F302" s="90"/>
      <c r="G302" s="90"/>
      <c r="H302" s="90"/>
      <c r="I302" s="90"/>
      <c r="J302" s="90"/>
      <c r="K302" s="90"/>
      <c r="L302" s="90"/>
      <c r="M302" s="90"/>
      <c r="N302" s="90"/>
      <c r="O302" s="90"/>
      <c r="P302" s="90"/>
      <c r="Q302" s="90"/>
      <c r="R302" s="90"/>
      <c r="S302" s="90"/>
      <c r="T302" s="90"/>
    </row>
    <row r="303" spans="1:20" s="91" customFormat="1" ht="9.6">
      <c r="A303" s="90"/>
      <c r="B303" s="93"/>
      <c r="C303" s="93"/>
      <c r="D303" s="90"/>
      <c r="E303" s="90"/>
      <c r="F303" s="90"/>
      <c r="G303" s="90"/>
      <c r="H303" s="90"/>
      <c r="I303" s="90"/>
      <c r="J303" s="90"/>
      <c r="K303" s="90"/>
      <c r="L303" s="90"/>
      <c r="M303" s="90"/>
      <c r="N303" s="90"/>
      <c r="O303" s="90"/>
      <c r="P303" s="90"/>
      <c r="Q303" s="90"/>
      <c r="R303" s="90"/>
      <c r="S303" s="90"/>
      <c r="T303" s="90"/>
    </row>
    <row r="304" spans="1:20" s="91" customFormat="1" ht="9.6">
      <c r="A304" s="90"/>
      <c r="B304" s="93"/>
      <c r="C304" s="93"/>
      <c r="D304" s="90"/>
      <c r="E304" s="90"/>
      <c r="F304" s="90"/>
      <c r="G304" s="90"/>
      <c r="H304" s="90"/>
      <c r="I304" s="90"/>
      <c r="J304" s="90"/>
      <c r="K304" s="90"/>
      <c r="L304" s="90"/>
      <c r="M304" s="90"/>
      <c r="N304" s="90"/>
      <c r="O304" s="90"/>
      <c r="P304" s="90"/>
      <c r="Q304" s="90"/>
      <c r="R304" s="90"/>
      <c r="S304" s="90"/>
      <c r="T304" s="90"/>
    </row>
    <row r="305" spans="1:20" s="91" customFormat="1" ht="9.6">
      <c r="A305" s="90"/>
      <c r="B305" s="93"/>
      <c r="C305" s="93"/>
      <c r="D305" s="90"/>
      <c r="E305" s="90"/>
      <c r="F305" s="90"/>
      <c r="G305" s="90"/>
      <c r="H305" s="90"/>
      <c r="I305" s="90"/>
      <c r="J305" s="90"/>
      <c r="K305" s="90"/>
      <c r="L305" s="90"/>
      <c r="M305" s="90"/>
      <c r="N305" s="90"/>
      <c r="O305" s="90"/>
      <c r="P305" s="90"/>
      <c r="Q305" s="90"/>
      <c r="R305" s="90"/>
      <c r="S305" s="90"/>
      <c r="T305" s="90"/>
    </row>
    <row r="306" spans="1:20" s="91" customFormat="1" ht="9.6">
      <c r="A306" s="90"/>
      <c r="B306" s="93"/>
      <c r="C306" s="93"/>
      <c r="D306" s="90"/>
      <c r="E306" s="90"/>
      <c r="F306" s="90"/>
      <c r="G306" s="90"/>
      <c r="H306" s="90"/>
      <c r="I306" s="90"/>
      <c r="J306" s="90"/>
      <c r="K306" s="90"/>
      <c r="L306" s="90"/>
      <c r="M306" s="90"/>
      <c r="N306" s="90"/>
      <c r="O306" s="90"/>
      <c r="P306" s="90"/>
      <c r="Q306" s="90"/>
      <c r="R306" s="90"/>
      <c r="S306" s="90"/>
      <c r="T306" s="90"/>
    </row>
    <row r="307" spans="1:20" s="91" customFormat="1" ht="9.6">
      <c r="A307" s="90"/>
      <c r="B307" s="93"/>
      <c r="C307" s="93"/>
      <c r="D307" s="90"/>
      <c r="E307" s="90"/>
      <c r="F307" s="90"/>
      <c r="G307" s="90"/>
      <c r="H307" s="90"/>
      <c r="I307" s="90"/>
      <c r="J307" s="90"/>
      <c r="K307" s="90"/>
      <c r="L307" s="90"/>
      <c r="M307" s="90"/>
      <c r="N307" s="90"/>
      <c r="O307" s="90"/>
      <c r="P307" s="90"/>
      <c r="Q307" s="90"/>
      <c r="R307" s="90"/>
      <c r="S307" s="90"/>
      <c r="T307" s="90"/>
    </row>
    <row r="308" spans="1:20" s="91" customFormat="1" ht="9.6">
      <c r="A308" s="90"/>
      <c r="B308" s="93"/>
      <c r="C308" s="93"/>
      <c r="D308" s="90"/>
      <c r="E308" s="90"/>
      <c r="F308" s="90"/>
      <c r="G308" s="90"/>
      <c r="H308" s="90"/>
      <c r="I308" s="90"/>
      <c r="J308" s="90"/>
      <c r="K308" s="90"/>
      <c r="L308" s="90"/>
      <c r="M308" s="90"/>
      <c r="N308" s="90"/>
      <c r="O308" s="90"/>
      <c r="P308" s="90"/>
      <c r="Q308" s="90"/>
      <c r="R308" s="90"/>
      <c r="S308" s="90"/>
      <c r="T308" s="90"/>
    </row>
    <row r="309" spans="1:20" s="91" customFormat="1" ht="9.6">
      <c r="A309" s="90"/>
      <c r="B309" s="93"/>
      <c r="C309" s="93"/>
      <c r="D309" s="90"/>
      <c r="E309" s="90"/>
      <c r="F309" s="90"/>
      <c r="G309" s="90"/>
      <c r="H309" s="90"/>
      <c r="I309" s="90"/>
      <c r="J309" s="90"/>
      <c r="K309" s="90"/>
      <c r="L309" s="90"/>
      <c r="M309" s="90"/>
      <c r="N309" s="90"/>
      <c r="O309" s="90"/>
      <c r="P309" s="90"/>
      <c r="Q309" s="90"/>
      <c r="R309" s="90"/>
      <c r="S309" s="90"/>
      <c r="T309" s="90"/>
    </row>
    <row r="310" spans="1:20" s="91" customFormat="1" ht="9.6">
      <c r="A310" s="90"/>
      <c r="B310" s="93"/>
      <c r="C310" s="93"/>
      <c r="D310" s="90"/>
      <c r="E310" s="90"/>
      <c r="F310" s="90"/>
      <c r="G310" s="90"/>
      <c r="H310" s="90"/>
      <c r="I310" s="90"/>
      <c r="J310" s="90"/>
      <c r="K310" s="90"/>
      <c r="L310" s="90"/>
      <c r="M310" s="90"/>
      <c r="N310" s="90"/>
      <c r="O310" s="90"/>
      <c r="P310" s="90"/>
      <c r="Q310" s="90"/>
      <c r="R310" s="90"/>
      <c r="S310" s="90"/>
      <c r="T310" s="90"/>
    </row>
    <row r="311" spans="1:20" s="91" customFormat="1" ht="9.6">
      <c r="A311" s="90"/>
      <c r="B311" s="93"/>
      <c r="C311" s="93"/>
      <c r="D311" s="90"/>
      <c r="E311" s="90"/>
      <c r="F311" s="90"/>
      <c r="G311" s="90"/>
      <c r="H311" s="90"/>
      <c r="I311" s="90"/>
      <c r="J311" s="90"/>
      <c r="K311" s="90"/>
      <c r="L311" s="90"/>
      <c r="M311" s="90"/>
      <c r="N311" s="90"/>
      <c r="O311" s="90"/>
      <c r="P311" s="90"/>
      <c r="Q311" s="90"/>
      <c r="R311" s="90"/>
      <c r="S311" s="90"/>
      <c r="T311" s="90"/>
    </row>
    <row r="312" spans="1:20" s="91" customFormat="1" ht="9.6">
      <c r="A312" s="90"/>
      <c r="B312" s="93"/>
      <c r="C312" s="93"/>
      <c r="D312" s="90"/>
      <c r="E312" s="90"/>
      <c r="F312" s="90"/>
      <c r="G312" s="90"/>
      <c r="H312" s="90"/>
      <c r="I312" s="90"/>
      <c r="J312" s="90"/>
      <c r="K312" s="90"/>
      <c r="L312" s="90"/>
      <c r="M312" s="90"/>
      <c r="N312" s="90"/>
      <c r="O312" s="90"/>
      <c r="P312" s="90"/>
      <c r="Q312" s="90"/>
      <c r="R312" s="90"/>
      <c r="S312" s="90"/>
      <c r="T312" s="90"/>
    </row>
    <row r="313" spans="1:20" s="91" customFormat="1" ht="9.6">
      <c r="A313" s="90"/>
      <c r="B313" s="93"/>
      <c r="C313" s="93"/>
      <c r="D313" s="90"/>
      <c r="E313" s="90"/>
      <c r="F313" s="90"/>
      <c r="G313" s="90"/>
      <c r="H313" s="90"/>
      <c r="I313" s="90"/>
      <c r="J313" s="90"/>
      <c r="K313" s="90"/>
      <c r="L313" s="90"/>
      <c r="M313" s="90"/>
      <c r="N313" s="90"/>
      <c r="O313" s="90"/>
      <c r="P313" s="90"/>
      <c r="Q313" s="90"/>
      <c r="R313" s="90"/>
      <c r="S313" s="90"/>
      <c r="T313" s="90"/>
    </row>
    <row r="314" spans="1:20" s="91" customFormat="1" ht="9.6">
      <c r="A314" s="90"/>
      <c r="B314" s="93"/>
      <c r="C314" s="93"/>
      <c r="D314" s="90"/>
      <c r="E314" s="90"/>
      <c r="F314" s="90"/>
      <c r="G314" s="90"/>
      <c r="H314" s="90"/>
      <c r="I314" s="90"/>
      <c r="J314" s="90"/>
      <c r="K314" s="90"/>
      <c r="L314" s="90"/>
      <c r="M314" s="90"/>
      <c r="N314" s="90"/>
      <c r="O314" s="90"/>
      <c r="P314" s="90"/>
      <c r="Q314" s="90"/>
      <c r="R314" s="90"/>
      <c r="S314" s="90"/>
      <c r="T314" s="90"/>
    </row>
    <row r="315" spans="1:20" s="91" customFormat="1" ht="9.6">
      <c r="A315" s="90"/>
      <c r="B315" s="93"/>
      <c r="C315" s="93"/>
      <c r="D315" s="90"/>
      <c r="E315" s="90"/>
      <c r="F315" s="90"/>
      <c r="G315" s="90"/>
      <c r="H315" s="90"/>
      <c r="I315" s="90"/>
      <c r="J315" s="90"/>
      <c r="K315" s="90"/>
      <c r="L315" s="90"/>
      <c r="M315" s="90"/>
      <c r="N315" s="90"/>
      <c r="O315" s="90"/>
      <c r="P315" s="90"/>
      <c r="Q315" s="90"/>
      <c r="R315" s="90"/>
      <c r="S315" s="90"/>
      <c r="T315" s="90"/>
    </row>
    <row r="316" spans="1:20" s="91" customFormat="1" ht="9.6">
      <c r="A316" s="90"/>
      <c r="B316" s="93"/>
      <c r="C316" s="93"/>
      <c r="D316" s="90"/>
      <c r="E316" s="90"/>
      <c r="F316" s="90"/>
      <c r="G316" s="90"/>
      <c r="H316" s="90"/>
      <c r="I316" s="90"/>
      <c r="J316" s="90"/>
      <c r="K316" s="90"/>
      <c r="L316" s="90"/>
      <c r="M316" s="90"/>
      <c r="N316" s="90"/>
      <c r="O316" s="90"/>
      <c r="P316" s="90"/>
      <c r="Q316" s="90"/>
      <c r="R316" s="90"/>
      <c r="S316" s="90"/>
      <c r="T316" s="90"/>
    </row>
    <row r="317" spans="1:20" s="91" customFormat="1" ht="9.6">
      <c r="A317" s="90"/>
      <c r="B317" s="93"/>
      <c r="C317" s="93"/>
      <c r="D317" s="90"/>
      <c r="E317" s="90"/>
      <c r="F317" s="90"/>
      <c r="G317" s="90"/>
      <c r="H317" s="90"/>
      <c r="I317" s="90"/>
      <c r="J317" s="90"/>
      <c r="K317" s="90"/>
      <c r="L317" s="90"/>
      <c r="M317" s="90"/>
      <c r="N317" s="90"/>
      <c r="O317" s="90"/>
      <c r="P317" s="90"/>
      <c r="Q317" s="90"/>
      <c r="R317" s="90"/>
      <c r="S317" s="90"/>
      <c r="T317" s="90"/>
    </row>
    <row r="318" spans="1:20" s="91" customFormat="1" ht="9.6">
      <c r="A318" s="90"/>
      <c r="B318" s="93"/>
      <c r="C318" s="93"/>
      <c r="D318" s="90"/>
      <c r="E318" s="90"/>
      <c r="F318" s="90"/>
      <c r="G318" s="90"/>
      <c r="H318" s="90"/>
      <c r="I318" s="90"/>
      <c r="J318" s="90"/>
      <c r="K318" s="90"/>
      <c r="L318" s="90"/>
      <c r="M318" s="90"/>
      <c r="N318" s="90"/>
      <c r="O318" s="90"/>
      <c r="P318" s="90"/>
      <c r="Q318" s="90"/>
      <c r="R318" s="90"/>
      <c r="S318" s="90"/>
      <c r="T318" s="90"/>
    </row>
    <row r="319" spans="1:20" s="91" customFormat="1" ht="9.6">
      <c r="A319" s="90"/>
      <c r="B319" s="93"/>
      <c r="C319" s="93"/>
      <c r="D319" s="90"/>
      <c r="E319" s="90"/>
      <c r="F319" s="90"/>
      <c r="G319" s="90"/>
      <c r="H319" s="90"/>
      <c r="I319" s="90"/>
      <c r="J319" s="90"/>
      <c r="K319" s="90"/>
      <c r="L319" s="90"/>
      <c r="M319" s="90"/>
      <c r="N319" s="90"/>
      <c r="O319" s="90"/>
      <c r="P319" s="90"/>
      <c r="Q319" s="90"/>
      <c r="R319" s="90"/>
      <c r="S319" s="90"/>
      <c r="T319" s="90"/>
    </row>
    <row r="320" spans="1:20" s="91" customFormat="1" ht="9.6">
      <c r="A320" s="90"/>
      <c r="B320" s="93"/>
      <c r="C320" s="93"/>
      <c r="D320" s="90"/>
      <c r="E320" s="90"/>
      <c r="F320" s="90"/>
      <c r="G320" s="90"/>
      <c r="H320" s="90"/>
      <c r="I320" s="90"/>
      <c r="J320" s="90"/>
      <c r="K320" s="90"/>
      <c r="L320" s="90"/>
      <c r="M320" s="90"/>
      <c r="N320" s="90"/>
      <c r="O320" s="90"/>
      <c r="P320" s="90"/>
      <c r="Q320" s="90"/>
      <c r="R320" s="90"/>
      <c r="S320" s="90"/>
      <c r="T320" s="90"/>
    </row>
    <row r="321" spans="1:20" s="91" customFormat="1" ht="9.6">
      <c r="A321" s="90"/>
      <c r="B321" s="93"/>
      <c r="C321" s="93"/>
      <c r="D321" s="90"/>
      <c r="E321" s="90"/>
      <c r="F321" s="90"/>
      <c r="G321" s="90"/>
      <c r="H321" s="90"/>
      <c r="I321" s="90"/>
      <c r="J321" s="90"/>
      <c r="K321" s="90"/>
      <c r="L321" s="90"/>
      <c r="M321" s="90"/>
      <c r="N321" s="90"/>
      <c r="O321" s="90"/>
      <c r="P321" s="90"/>
      <c r="Q321" s="90"/>
      <c r="R321" s="90"/>
      <c r="S321" s="90"/>
      <c r="T321" s="90"/>
    </row>
    <row r="322" spans="1:20" s="91" customFormat="1" ht="9.6">
      <c r="A322" s="90"/>
      <c r="B322" s="93"/>
      <c r="C322" s="93"/>
      <c r="D322" s="90"/>
      <c r="E322" s="90"/>
      <c r="F322" s="90"/>
      <c r="G322" s="90"/>
      <c r="H322" s="90"/>
      <c r="I322" s="90"/>
      <c r="J322" s="90"/>
      <c r="K322" s="90"/>
      <c r="L322" s="90"/>
      <c r="M322" s="90"/>
      <c r="N322" s="90"/>
      <c r="O322" s="90"/>
      <c r="P322" s="90"/>
      <c r="Q322" s="90"/>
      <c r="R322" s="90"/>
      <c r="S322" s="90"/>
      <c r="T322" s="90"/>
    </row>
    <row r="323" spans="1:20" s="91" customFormat="1" ht="9.6">
      <c r="A323" s="90"/>
      <c r="B323" s="93"/>
      <c r="C323" s="93"/>
      <c r="D323" s="90"/>
      <c r="E323" s="90"/>
      <c r="F323" s="90"/>
      <c r="G323" s="90"/>
      <c r="H323" s="90"/>
      <c r="I323" s="90"/>
      <c r="J323" s="90"/>
      <c r="K323" s="90"/>
      <c r="L323" s="90"/>
      <c r="M323" s="90"/>
      <c r="N323" s="90"/>
      <c r="O323" s="90"/>
      <c r="P323" s="90"/>
      <c r="Q323" s="90"/>
      <c r="R323" s="90"/>
      <c r="S323" s="90"/>
      <c r="T323" s="90"/>
    </row>
    <row r="324" spans="1:20" s="91" customFormat="1" ht="9.6">
      <c r="A324" s="90"/>
      <c r="B324" s="93"/>
      <c r="C324" s="93"/>
      <c r="D324" s="90"/>
      <c r="E324" s="90"/>
      <c r="F324" s="90"/>
      <c r="G324" s="90"/>
      <c r="H324" s="90"/>
      <c r="I324" s="90"/>
      <c r="J324" s="90"/>
      <c r="K324" s="90"/>
      <c r="L324" s="90"/>
      <c r="M324" s="90"/>
      <c r="N324" s="90"/>
      <c r="O324" s="90"/>
      <c r="P324" s="90"/>
      <c r="Q324" s="90"/>
      <c r="R324" s="90"/>
      <c r="S324" s="90"/>
      <c r="T324" s="90"/>
    </row>
    <row r="325" spans="1:20" s="91" customFormat="1" ht="9.6">
      <c r="A325" s="90"/>
      <c r="B325" s="93"/>
      <c r="C325" s="93"/>
      <c r="D325" s="90"/>
      <c r="E325" s="90"/>
      <c r="F325" s="90"/>
      <c r="G325" s="90"/>
      <c r="H325" s="90"/>
      <c r="I325" s="90"/>
      <c r="J325" s="90"/>
      <c r="K325" s="90"/>
      <c r="L325" s="90"/>
      <c r="M325" s="90"/>
      <c r="N325" s="90"/>
      <c r="O325" s="90"/>
      <c r="P325" s="90"/>
      <c r="Q325" s="90"/>
      <c r="R325" s="90"/>
      <c r="S325" s="90"/>
      <c r="T325" s="90"/>
    </row>
    <row r="326" spans="1:20" s="91" customFormat="1" ht="9.6">
      <c r="A326" s="90"/>
      <c r="B326" s="93"/>
      <c r="C326" s="93"/>
      <c r="D326" s="90"/>
      <c r="E326" s="90"/>
      <c r="F326" s="90"/>
      <c r="G326" s="90"/>
      <c r="H326" s="90"/>
      <c r="I326" s="90"/>
      <c r="J326" s="90"/>
      <c r="K326" s="90"/>
      <c r="L326" s="90"/>
      <c r="M326" s="90"/>
      <c r="N326" s="90"/>
      <c r="O326" s="90"/>
      <c r="P326" s="90"/>
      <c r="Q326" s="90"/>
      <c r="R326" s="90"/>
      <c r="S326" s="90"/>
      <c r="T326" s="90"/>
    </row>
    <row r="327" spans="1:20" s="91" customFormat="1" ht="9.6">
      <c r="A327" s="90"/>
      <c r="B327" s="93"/>
      <c r="C327" s="93"/>
      <c r="D327" s="90"/>
      <c r="E327" s="90"/>
      <c r="F327" s="90"/>
      <c r="G327" s="90"/>
      <c r="H327" s="90"/>
      <c r="I327" s="90"/>
      <c r="J327" s="90"/>
      <c r="K327" s="90"/>
      <c r="L327" s="90"/>
      <c r="M327" s="90"/>
      <c r="N327" s="90"/>
      <c r="O327" s="90"/>
      <c r="P327" s="90"/>
      <c r="Q327" s="90"/>
      <c r="R327" s="90"/>
      <c r="S327" s="90"/>
      <c r="T327" s="90"/>
    </row>
    <row r="328" spans="1:20" s="91" customFormat="1" ht="9.6">
      <c r="A328" s="90"/>
      <c r="B328" s="93"/>
      <c r="C328" s="93"/>
      <c r="D328" s="90"/>
      <c r="E328" s="90"/>
      <c r="F328" s="90"/>
      <c r="G328" s="90"/>
      <c r="H328" s="90"/>
      <c r="I328" s="90"/>
      <c r="J328" s="90"/>
      <c r="K328" s="90"/>
      <c r="L328" s="90"/>
      <c r="M328" s="90"/>
      <c r="N328" s="90"/>
      <c r="O328" s="90"/>
      <c r="P328" s="90"/>
      <c r="Q328" s="90"/>
      <c r="R328" s="90"/>
      <c r="S328" s="90"/>
      <c r="T328" s="90"/>
    </row>
    <row r="329" spans="1:20" s="91" customFormat="1" ht="9.6">
      <c r="A329" s="90"/>
      <c r="B329" s="93"/>
      <c r="C329" s="93"/>
      <c r="D329" s="90"/>
      <c r="E329" s="90"/>
      <c r="F329" s="90"/>
      <c r="G329" s="90"/>
      <c r="H329" s="90"/>
      <c r="I329" s="90"/>
      <c r="J329" s="90"/>
      <c r="K329" s="90"/>
      <c r="L329" s="90"/>
      <c r="M329" s="90"/>
      <c r="N329" s="90"/>
      <c r="O329" s="90"/>
      <c r="P329" s="90"/>
      <c r="Q329" s="90"/>
      <c r="R329" s="90"/>
      <c r="S329" s="90"/>
      <c r="T329" s="90"/>
    </row>
    <row r="330" spans="1:20" s="91" customFormat="1" ht="9.6">
      <c r="A330" s="90"/>
      <c r="B330" s="93"/>
      <c r="C330" s="93"/>
      <c r="D330" s="90"/>
      <c r="E330" s="90"/>
      <c r="F330" s="90"/>
      <c r="G330" s="90"/>
      <c r="H330" s="90"/>
      <c r="I330" s="90"/>
      <c r="J330" s="90"/>
      <c r="K330" s="90"/>
      <c r="L330" s="90"/>
      <c r="M330" s="90"/>
      <c r="N330" s="90"/>
      <c r="O330" s="90"/>
      <c r="P330" s="90"/>
      <c r="Q330" s="90"/>
      <c r="R330" s="90"/>
      <c r="S330" s="90"/>
      <c r="T330" s="90"/>
    </row>
    <row r="331" spans="1:20" s="91" customFormat="1" ht="9.6">
      <c r="A331" s="90"/>
      <c r="B331" s="93"/>
      <c r="C331" s="93"/>
      <c r="D331" s="90"/>
      <c r="E331" s="90"/>
      <c r="F331" s="90"/>
      <c r="G331" s="90"/>
      <c r="H331" s="90"/>
      <c r="I331" s="90"/>
      <c r="J331" s="90"/>
      <c r="K331" s="90"/>
      <c r="L331" s="90"/>
      <c r="M331" s="90"/>
      <c r="N331" s="90"/>
      <c r="O331" s="90"/>
      <c r="P331" s="90"/>
      <c r="Q331" s="90"/>
      <c r="R331" s="90"/>
      <c r="S331" s="90"/>
      <c r="T331" s="90"/>
    </row>
  </sheetData>
  <autoFilter ref="A15:C15"/>
  <mergeCells count="8">
    <mergeCell ref="F277:H277"/>
    <mergeCell ref="I277:J277"/>
    <mergeCell ref="C10:C12"/>
    <mergeCell ref="K10:R10"/>
    <mergeCell ref="A7:J7"/>
    <mergeCell ref="B10:B12"/>
    <mergeCell ref="D10:J10"/>
    <mergeCell ref="A10:A12"/>
  </mergeCells>
  <conditionalFormatting sqref="A13:R293">
    <cfRule type="expression" dxfId="2" priority="75">
      <formula>A13&lt;&gt;#REF!</formula>
    </cfRule>
  </conditionalFormatting>
  <conditionalFormatting sqref="A6:R12">
    <cfRule type="expression" dxfId="1" priority="76">
      <formula>A6&lt;&gt;#REF!</formula>
    </cfRule>
  </conditionalFormatting>
  <hyperlinks>
    <hyperlink ref="A1" r:id="rId1" display="https://doi.org/10.1787/eag-2018-en"/>
    <hyperlink ref="A4" r:id="rId2"/>
  </hyperlinks>
  <pageMargins left="0.7" right="0.7" top="0.75" bottom="0.75" header="0.3" footer="0.3"/>
  <pageSetup paperSize="9" orientation="portrait"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Q88"/>
  <sheetViews>
    <sheetView showGridLines="0" workbookViewId="0"/>
  </sheetViews>
  <sheetFormatPr defaultColWidth="9" defaultRowHeight="13.2"/>
  <cols>
    <col min="1" max="1" width="20.125" style="246" customWidth="1"/>
    <col min="2" max="4" width="8.25" style="246" customWidth="1"/>
    <col min="5" max="5" width="5.5" style="246" customWidth="1"/>
    <col min="6" max="6" width="6.25" style="246" customWidth="1"/>
    <col min="7" max="7" width="7.5" style="246" customWidth="1"/>
    <col min="8" max="8" width="13" style="246" customWidth="1"/>
    <col min="9" max="9" width="5.5" style="246" customWidth="1"/>
    <col min="10" max="10" width="4.625" style="246" customWidth="1"/>
    <col min="11" max="16384" width="9" style="246"/>
  </cols>
  <sheetData>
    <row r="1" spans="1:12" s="491" customFormat="1">
      <c r="A1" s="484" t="s">
        <v>235</v>
      </c>
    </row>
    <row r="2" spans="1:12" s="491" customFormat="1">
      <c r="A2" s="491" t="s">
        <v>236</v>
      </c>
      <c r="B2" s="491" t="s">
        <v>237</v>
      </c>
    </row>
    <row r="3" spans="1:12" s="491" customFormat="1">
      <c r="A3" s="491" t="s">
        <v>238</v>
      </c>
    </row>
    <row r="4" spans="1:12" s="491" customFormat="1">
      <c r="A4" s="484" t="s">
        <v>239</v>
      </c>
    </row>
    <row r="5" spans="1:12" s="491" customFormat="1"/>
    <row r="6" spans="1:12" ht="11.25" customHeight="1">
      <c r="A6" s="277" t="s">
        <v>132</v>
      </c>
      <c r="B6" s="277"/>
      <c r="C6" s="277"/>
      <c r="D6" s="277"/>
      <c r="E6" s="277"/>
      <c r="F6" s="277"/>
      <c r="G6" s="277"/>
      <c r="H6" s="277"/>
      <c r="I6" s="277"/>
      <c r="J6" s="272"/>
      <c r="K6" s="272"/>
      <c r="L6" s="272"/>
    </row>
    <row r="7" spans="1:12" ht="11.25" customHeight="1">
      <c r="A7" s="277" t="s">
        <v>164</v>
      </c>
      <c r="B7" s="277"/>
      <c r="C7" s="277"/>
      <c r="D7" s="277"/>
      <c r="E7" s="277"/>
      <c r="F7" s="277"/>
      <c r="G7" s="277"/>
      <c r="H7" s="277"/>
      <c r="I7" s="277"/>
      <c r="J7" s="276"/>
      <c r="K7" s="276"/>
      <c r="L7" s="276"/>
    </row>
    <row r="8" spans="1:12" ht="11.25" customHeight="1">
      <c r="A8" s="275" t="s">
        <v>67</v>
      </c>
      <c r="B8" s="272"/>
      <c r="C8" s="272"/>
      <c r="D8" s="272"/>
      <c r="E8" s="272"/>
      <c r="F8" s="272"/>
      <c r="G8" s="272"/>
      <c r="H8" s="272"/>
      <c r="I8" s="272"/>
      <c r="J8" s="272"/>
      <c r="K8" s="272"/>
      <c r="L8" s="272"/>
    </row>
    <row r="9" spans="1:12" ht="11.25" customHeight="1">
      <c r="A9" s="274"/>
      <c r="B9" s="274"/>
      <c r="C9" s="274"/>
      <c r="D9" s="274"/>
      <c r="E9" s="274"/>
      <c r="F9" s="274"/>
      <c r="G9" s="274"/>
      <c r="H9" s="274"/>
      <c r="I9" s="273"/>
      <c r="J9" s="273"/>
      <c r="K9" s="273"/>
      <c r="L9" s="273"/>
    </row>
    <row r="10" spans="1:12" ht="11.25" customHeight="1">
      <c r="A10" s="274"/>
      <c r="B10" s="274"/>
      <c r="C10" s="274"/>
      <c r="D10" s="274"/>
      <c r="E10" s="274"/>
      <c r="F10" s="274"/>
      <c r="G10" s="274"/>
      <c r="H10" s="274"/>
      <c r="I10" s="273"/>
      <c r="J10" s="273"/>
      <c r="K10" s="273"/>
      <c r="L10" s="273"/>
    </row>
    <row r="11" spans="1:12" ht="11.25" customHeight="1">
      <c r="A11" s="274"/>
      <c r="B11" s="274"/>
      <c r="C11" s="274"/>
      <c r="D11" s="274"/>
      <c r="E11" s="274"/>
      <c r="F11" s="274"/>
      <c r="G11" s="274"/>
      <c r="H11" s="274"/>
      <c r="I11" s="273"/>
      <c r="J11" s="273"/>
      <c r="K11" s="273"/>
      <c r="L11" s="273"/>
    </row>
    <row r="12" spans="1:12" ht="11.25" customHeight="1">
      <c r="A12" s="274"/>
      <c r="B12" s="274"/>
      <c r="C12" s="274"/>
      <c r="D12" s="274"/>
      <c r="E12" s="274"/>
      <c r="F12" s="274"/>
      <c r="G12" s="274"/>
      <c r="H12" s="274"/>
      <c r="I12" s="273"/>
      <c r="J12" s="273"/>
      <c r="K12" s="273"/>
      <c r="L12" s="273"/>
    </row>
    <row r="13" spans="1:12" ht="11.25" customHeight="1">
      <c r="A13" s="274"/>
      <c r="B13" s="274"/>
      <c r="C13" s="274"/>
      <c r="D13" s="274"/>
      <c r="E13" s="274"/>
      <c r="F13" s="274"/>
      <c r="G13" s="274"/>
      <c r="H13" s="274"/>
      <c r="I13" s="273"/>
      <c r="J13" s="273"/>
      <c r="K13" s="273"/>
      <c r="L13" s="273"/>
    </row>
    <row r="14" spans="1:12" ht="11.25" customHeight="1">
      <c r="A14" s="274"/>
      <c r="B14" s="274"/>
      <c r="C14" s="274"/>
      <c r="D14" s="274"/>
      <c r="E14" s="274"/>
      <c r="F14" s="274"/>
      <c r="G14" s="274"/>
      <c r="H14" s="274"/>
      <c r="I14" s="273"/>
      <c r="J14" s="273"/>
      <c r="K14" s="273"/>
      <c r="L14" s="273"/>
    </row>
    <row r="15" spans="1:12" ht="11.25" customHeight="1">
      <c r="A15" s="274"/>
      <c r="B15" s="274"/>
      <c r="C15" s="274"/>
      <c r="D15" s="274"/>
      <c r="E15" s="274"/>
      <c r="F15" s="274"/>
      <c r="G15" s="274"/>
      <c r="H15" s="274"/>
      <c r="I15" s="273"/>
      <c r="J15" s="273"/>
      <c r="K15" s="273"/>
      <c r="L15" s="273"/>
    </row>
    <row r="16" spans="1:12" ht="11.25" customHeight="1">
      <c r="A16" s="274"/>
      <c r="B16" s="274"/>
      <c r="C16" s="274"/>
      <c r="D16" s="274"/>
      <c r="E16" s="274"/>
      <c r="F16" s="274"/>
      <c r="G16" s="274"/>
      <c r="H16" s="274"/>
      <c r="I16" s="273"/>
      <c r="J16" s="273"/>
      <c r="K16" s="273"/>
      <c r="L16" s="273"/>
    </row>
    <row r="17" spans="1:12" ht="11.25" customHeight="1">
      <c r="A17" s="274"/>
      <c r="B17" s="274"/>
      <c r="C17" s="274"/>
      <c r="D17" s="274"/>
      <c r="E17" s="274"/>
      <c r="F17" s="274"/>
      <c r="G17" s="274"/>
      <c r="H17" s="274"/>
      <c r="I17" s="273"/>
      <c r="J17" s="273"/>
      <c r="K17" s="273"/>
      <c r="L17" s="273"/>
    </row>
    <row r="18" spans="1:12" ht="11.25" customHeight="1">
      <c r="A18" s="274"/>
      <c r="B18" s="274"/>
      <c r="C18" s="274"/>
      <c r="D18" s="274"/>
      <c r="E18" s="274"/>
      <c r="F18" s="274"/>
      <c r="G18" s="274"/>
      <c r="H18" s="274"/>
      <c r="I18" s="273"/>
      <c r="J18" s="273"/>
      <c r="K18" s="273"/>
      <c r="L18" s="273"/>
    </row>
    <row r="19" spans="1:12" ht="11.25" customHeight="1">
      <c r="A19" s="274"/>
      <c r="B19" s="274"/>
      <c r="C19" s="274"/>
      <c r="D19" s="274"/>
      <c r="E19" s="274"/>
      <c r="F19" s="274"/>
      <c r="G19" s="274"/>
      <c r="H19" s="274"/>
      <c r="I19" s="273"/>
      <c r="J19" s="273"/>
      <c r="K19" s="273"/>
      <c r="L19" s="273"/>
    </row>
    <row r="20" spans="1:12" ht="11.25" customHeight="1">
      <c r="A20" s="274"/>
      <c r="B20" s="274"/>
      <c r="C20" s="274"/>
      <c r="D20" s="274"/>
      <c r="E20" s="274"/>
      <c r="F20" s="274"/>
      <c r="G20" s="274"/>
      <c r="H20" s="274"/>
      <c r="I20" s="273"/>
      <c r="J20" s="273"/>
      <c r="K20" s="273"/>
      <c r="L20" s="273"/>
    </row>
    <row r="21" spans="1:12" ht="11.25" customHeight="1">
      <c r="A21" s="274"/>
      <c r="B21" s="274"/>
      <c r="C21" s="274"/>
      <c r="D21" s="274"/>
      <c r="E21" s="274"/>
      <c r="F21" s="274"/>
      <c r="G21" s="274"/>
      <c r="H21" s="274"/>
      <c r="I21" s="273"/>
      <c r="J21" s="273"/>
      <c r="K21" s="273"/>
      <c r="L21" s="273"/>
    </row>
    <row r="22" spans="1:12" ht="11.25" customHeight="1">
      <c r="A22" s="274"/>
      <c r="B22" s="274"/>
      <c r="C22" s="274"/>
      <c r="D22" s="274"/>
      <c r="E22" s="274"/>
      <c r="F22" s="274"/>
      <c r="G22" s="274"/>
      <c r="H22" s="274"/>
      <c r="I22" s="273"/>
      <c r="J22" s="273"/>
      <c r="K22" s="273"/>
      <c r="L22" s="273"/>
    </row>
    <row r="23" spans="1:12" ht="11.25" customHeight="1">
      <c r="A23" s="274"/>
      <c r="B23" s="274"/>
      <c r="C23" s="274"/>
      <c r="D23" s="274"/>
      <c r="E23" s="274"/>
      <c r="F23" s="274"/>
      <c r="G23" s="274"/>
      <c r="H23" s="274"/>
      <c r="I23" s="273"/>
      <c r="J23" s="273"/>
      <c r="K23" s="273"/>
      <c r="L23" s="273"/>
    </row>
    <row r="24" spans="1:12" ht="11.25" customHeight="1">
      <c r="A24" s="274"/>
      <c r="B24" s="274"/>
      <c r="C24" s="274"/>
      <c r="D24" s="274"/>
      <c r="E24" s="274"/>
      <c r="F24" s="274"/>
      <c r="G24" s="274"/>
      <c r="H24" s="274"/>
      <c r="I24" s="273"/>
      <c r="J24" s="273"/>
      <c r="K24" s="273"/>
      <c r="L24" s="273"/>
    </row>
    <row r="25" spans="1:12" ht="11.25" customHeight="1">
      <c r="A25" s="274"/>
      <c r="B25" s="274"/>
      <c r="C25" s="274"/>
      <c r="D25" s="274"/>
      <c r="E25" s="274"/>
      <c r="F25" s="274"/>
      <c r="G25" s="274"/>
      <c r="H25" s="274"/>
      <c r="I25" s="273"/>
      <c r="J25" s="273"/>
      <c r="K25" s="273"/>
      <c r="L25" s="273"/>
    </row>
    <row r="26" spans="1:12" ht="11.25" customHeight="1">
      <c r="A26" s="274"/>
      <c r="B26" s="274"/>
      <c r="C26" s="274"/>
      <c r="D26" s="274"/>
      <c r="E26" s="274"/>
      <c r="F26" s="274"/>
      <c r="G26" s="274"/>
      <c r="H26" s="274"/>
      <c r="I26" s="273"/>
      <c r="J26" s="273"/>
      <c r="K26" s="273"/>
      <c r="L26" s="273"/>
    </row>
    <row r="27" spans="1:12" ht="11.25" customHeight="1">
      <c r="A27" s="274"/>
      <c r="B27" s="274"/>
      <c r="C27" s="274"/>
      <c r="D27" s="274"/>
      <c r="E27" s="274"/>
      <c r="F27" s="274"/>
      <c r="G27" s="274"/>
      <c r="H27" s="274"/>
      <c r="I27" s="273"/>
      <c r="J27" s="273"/>
      <c r="K27" s="273"/>
      <c r="L27" s="273"/>
    </row>
    <row r="28" spans="1:12" ht="11.25" customHeight="1">
      <c r="A28" s="274"/>
      <c r="B28" s="274"/>
      <c r="C28" s="274"/>
      <c r="D28" s="274"/>
      <c r="E28" s="274"/>
      <c r="F28" s="274"/>
      <c r="G28" s="274"/>
      <c r="H28" s="274"/>
      <c r="I28" s="273"/>
      <c r="J28" s="273"/>
      <c r="K28" s="273"/>
      <c r="L28" s="273"/>
    </row>
    <row r="29" spans="1:12" ht="11.25" customHeight="1">
      <c r="A29" s="274"/>
      <c r="B29" s="274"/>
      <c r="C29" s="274"/>
      <c r="D29" s="274"/>
      <c r="E29" s="274"/>
      <c r="F29" s="274"/>
      <c r="G29" s="274"/>
      <c r="H29" s="274"/>
      <c r="I29" s="273"/>
      <c r="J29" s="273"/>
      <c r="K29" s="273"/>
      <c r="L29" s="273"/>
    </row>
    <row r="30" spans="1:12" ht="11.25" customHeight="1">
      <c r="A30" s="274"/>
      <c r="B30" s="274"/>
      <c r="C30" s="274"/>
      <c r="D30" s="274"/>
      <c r="E30" s="274"/>
      <c r="F30" s="274"/>
      <c r="G30" s="274"/>
      <c r="H30" s="274"/>
      <c r="I30" s="273"/>
      <c r="J30" s="273"/>
      <c r="K30" s="273"/>
      <c r="L30" s="273"/>
    </row>
    <row r="31" spans="1:12" ht="12.75" customHeight="1">
      <c r="A31" s="273"/>
      <c r="B31" s="273"/>
      <c r="C31" s="273"/>
      <c r="D31" s="273"/>
      <c r="E31" s="273"/>
      <c r="F31" s="273"/>
      <c r="G31" s="273"/>
      <c r="H31" s="273"/>
      <c r="I31" s="273"/>
      <c r="J31" s="273"/>
      <c r="K31" s="273"/>
      <c r="L31" s="273"/>
    </row>
    <row r="32" spans="1:12" ht="12.75" customHeight="1">
      <c r="A32" s="273"/>
      <c r="B32" s="273"/>
      <c r="C32" s="273"/>
      <c r="D32" s="273"/>
      <c r="E32" s="273"/>
      <c r="F32" s="273"/>
      <c r="G32" s="273"/>
      <c r="H32" s="273"/>
      <c r="I32" s="273"/>
      <c r="J32" s="273"/>
      <c r="K32" s="273"/>
      <c r="L32" s="273"/>
    </row>
    <row r="33" spans="1:12" ht="12.75" customHeight="1">
      <c r="A33" s="273"/>
      <c r="B33" s="273"/>
      <c r="C33" s="273"/>
      <c r="D33" s="273"/>
      <c r="E33" s="273"/>
      <c r="F33" s="273"/>
      <c r="G33" s="273"/>
      <c r="H33" s="273"/>
      <c r="I33" s="273"/>
      <c r="J33" s="273"/>
      <c r="K33" s="273"/>
      <c r="L33" s="273"/>
    </row>
    <row r="34" spans="1:12" ht="12.75" customHeight="1">
      <c r="A34" s="273"/>
      <c r="B34" s="273"/>
      <c r="C34" s="273"/>
      <c r="D34" s="273"/>
      <c r="E34" s="273"/>
      <c r="F34" s="273"/>
      <c r="G34" s="273"/>
      <c r="H34" s="273"/>
      <c r="I34" s="273"/>
      <c r="J34" s="273"/>
      <c r="K34" s="273"/>
      <c r="L34" s="273"/>
    </row>
    <row r="35" spans="1:12" ht="12.75" customHeight="1">
      <c r="A35" s="454" t="s">
        <v>229</v>
      </c>
      <c r="B35" s="455"/>
      <c r="C35" s="455"/>
      <c r="D35" s="455"/>
      <c r="E35" s="455"/>
      <c r="F35" s="455"/>
      <c r="G35" s="455"/>
      <c r="H35" s="455"/>
      <c r="I35" s="455"/>
      <c r="J35" s="455"/>
      <c r="K35" s="455"/>
      <c r="L35" s="455"/>
    </row>
    <row r="36" spans="1:12" ht="11.25" customHeight="1">
      <c r="A36" s="272" t="s">
        <v>77</v>
      </c>
      <c r="B36" s="272"/>
      <c r="C36" s="272"/>
      <c r="D36" s="272"/>
      <c r="E36" s="272"/>
      <c r="F36" s="272"/>
      <c r="G36" s="272"/>
      <c r="H36" s="272"/>
      <c r="I36" s="272"/>
      <c r="J36" s="272"/>
      <c r="K36" s="272"/>
      <c r="L36" s="272"/>
    </row>
    <row r="37" spans="1:12" ht="11.25" customHeight="1">
      <c r="A37" s="272" t="s">
        <v>172</v>
      </c>
      <c r="B37" s="272"/>
      <c r="C37" s="272"/>
      <c r="D37" s="272"/>
      <c r="E37" s="272"/>
      <c r="F37" s="272"/>
      <c r="G37" s="272"/>
      <c r="H37" s="272"/>
      <c r="I37" s="272"/>
      <c r="J37" s="272"/>
      <c r="K37" s="272"/>
      <c r="L37" s="272"/>
    </row>
    <row r="38" spans="1:12" ht="11.25" customHeight="1">
      <c r="A38" s="272" t="s">
        <v>208</v>
      </c>
      <c r="B38" s="272"/>
      <c r="C38" s="272"/>
      <c r="D38" s="272"/>
      <c r="E38" s="272"/>
      <c r="F38" s="272"/>
      <c r="G38" s="272"/>
      <c r="H38" s="272"/>
      <c r="I38" s="272"/>
      <c r="J38" s="272"/>
      <c r="K38" s="272"/>
      <c r="L38" s="272"/>
    </row>
    <row r="39" spans="1:12" ht="11.25" customHeight="1">
      <c r="A39" s="456" t="s">
        <v>199</v>
      </c>
      <c r="B39" s="457"/>
      <c r="C39" s="457"/>
      <c r="D39" s="457"/>
      <c r="E39" s="457"/>
      <c r="F39" s="457"/>
      <c r="G39" s="457"/>
      <c r="H39" s="457"/>
      <c r="I39" s="457"/>
      <c r="J39" s="457"/>
      <c r="K39" s="458"/>
      <c r="L39" s="272"/>
    </row>
    <row r="40" spans="1:12" ht="11.25" customHeight="1">
      <c r="A40" s="459" t="s">
        <v>217</v>
      </c>
      <c r="B40" s="460"/>
      <c r="C40" s="460"/>
      <c r="D40" s="460"/>
      <c r="E40" s="460"/>
      <c r="F40" s="460"/>
      <c r="G40" s="460"/>
      <c r="H40" s="460"/>
      <c r="I40" s="460"/>
      <c r="J40" s="460"/>
      <c r="K40" s="461"/>
      <c r="L40" s="272"/>
    </row>
    <row r="41" spans="1:12" ht="11.25" customHeight="1">
      <c r="A41" s="272" t="s">
        <v>212</v>
      </c>
      <c r="B41" s="272"/>
      <c r="C41" s="272"/>
      <c r="D41" s="272"/>
      <c r="E41" s="272"/>
      <c r="F41" s="272"/>
      <c r="G41" s="272"/>
      <c r="H41" s="272"/>
      <c r="I41" s="272"/>
      <c r="J41" s="272"/>
      <c r="K41" s="272"/>
      <c r="L41" s="272"/>
    </row>
    <row r="45" spans="1:12">
      <c r="A45" s="271"/>
      <c r="B45" s="271"/>
      <c r="C45" s="271"/>
      <c r="D45" s="271"/>
    </row>
    <row r="46" spans="1:12">
      <c r="A46" s="270"/>
      <c r="B46" s="269">
        <v>2005</v>
      </c>
      <c r="C46" s="269">
        <v>2000</v>
      </c>
      <c r="D46" s="268">
        <v>2017</v>
      </c>
    </row>
    <row r="47" spans="1:12" ht="11.25" customHeight="1">
      <c r="A47" s="267" t="s">
        <v>82</v>
      </c>
      <c r="B47" s="266"/>
      <c r="C47" s="266"/>
      <c r="D47" s="265">
        <v>1267.2</v>
      </c>
    </row>
    <row r="48" spans="1:12" ht="11.25" customHeight="1">
      <c r="A48" s="253" t="s">
        <v>72</v>
      </c>
      <c r="B48" s="252">
        <v>1200</v>
      </c>
      <c r="C48" s="252"/>
      <c r="D48" s="251">
        <v>1200</v>
      </c>
    </row>
    <row r="49" spans="1:17" ht="11.25" customHeight="1">
      <c r="A49" s="256" t="s">
        <v>37</v>
      </c>
      <c r="B49" s="255">
        <v>1127.6856074766356</v>
      </c>
      <c r="C49" s="255"/>
      <c r="D49" s="254">
        <v>1063.5552077238151</v>
      </c>
    </row>
    <row r="50" spans="1:17" ht="11.25" customHeight="1">
      <c r="A50" s="253" t="s">
        <v>19</v>
      </c>
      <c r="B50" s="252">
        <v>1046.6666666666661</v>
      </c>
      <c r="C50" s="252">
        <v>1182</v>
      </c>
      <c r="D50" s="251">
        <v>1046.6666666666661</v>
      </c>
    </row>
    <row r="51" spans="1:17" ht="11.25" customHeight="1">
      <c r="A51" s="256" t="s">
        <v>73</v>
      </c>
      <c r="B51" s="255">
        <v>882</v>
      </c>
      <c r="C51" s="255">
        <v>882</v>
      </c>
      <c r="D51" s="254">
        <v>1020</v>
      </c>
    </row>
    <row r="52" spans="1:17" ht="11.25" customHeight="1">
      <c r="A52" s="253" t="s">
        <v>196</v>
      </c>
      <c r="B52" s="252"/>
      <c r="C52" s="252"/>
      <c r="D52" s="251">
        <v>966.36311999999998</v>
      </c>
      <c r="H52" s="257"/>
      <c r="I52" s="257"/>
      <c r="J52" s="257"/>
      <c r="K52" s="257"/>
      <c r="L52" s="257"/>
      <c r="M52" s="257"/>
      <c r="N52" s="257"/>
      <c r="O52" s="257"/>
      <c r="P52" s="257"/>
      <c r="Q52" s="257"/>
    </row>
    <row r="53" spans="1:17" ht="11.25" customHeight="1">
      <c r="A53" s="256" t="s">
        <v>128</v>
      </c>
      <c r="B53" s="255">
        <v>893</v>
      </c>
      <c r="C53" s="255">
        <v>893</v>
      </c>
      <c r="D53" s="254">
        <v>855</v>
      </c>
      <c r="H53" s="257"/>
      <c r="I53" s="257"/>
      <c r="J53" s="257"/>
      <c r="K53" s="257"/>
      <c r="L53" s="257"/>
      <c r="M53" s="257"/>
      <c r="N53" s="257"/>
      <c r="O53" s="257"/>
      <c r="P53" s="257"/>
      <c r="Q53" s="257"/>
    </row>
    <row r="54" spans="1:17" ht="11.25" customHeight="1">
      <c r="A54" s="253" t="s">
        <v>10</v>
      </c>
      <c r="B54" s="252"/>
      <c r="C54" s="252"/>
      <c r="D54" s="251">
        <v>840.40000000000009</v>
      </c>
      <c r="H54" s="257"/>
      <c r="I54" s="257"/>
      <c r="J54" s="257"/>
      <c r="K54" s="257"/>
      <c r="L54" s="257"/>
      <c r="M54" s="257"/>
      <c r="N54" s="257"/>
      <c r="O54" s="257"/>
      <c r="P54" s="257"/>
      <c r="Q54" s="257"/>
    </row>
    <row r="55" spans="1:17" ht="11.25" customHeight="1">
      <c r="A55" s="256" t="s">
        <v>18</v>
      </c>
      <c r="B55" s="255">
        <v>810.16</v>
      </c>
      <c r="C55" s="255">
        <v>810.5462590238925</v>
      </c>
      <c r="D55" s="254">
        <v>797.28161882472796</v>
      </c>
      <c r="H55" s="257"/>
      <c r="I55" s="257"/>
      <c r="J55" s="257"/>
      <c r="K55" s="257"/>
      <c r="L55" s="257"/>
      <c r="M55" s="257"/>
      <c r="N55" s="257"/>
      <c r="O55" s="257"/>
      <c r="P55" s="257"/>
      <c r="Q55" s="257"/>
    </row>
    <row r="56" spans="1:17" ht="11.25" customHeight="1">
      <c r="A56" s="253" t="s">
        <v>15</v>
      </c>
      <c r="B56" s="252"/>
      <c r="C56" s="252"/>
      <c r="D56" s="251">
        <v>760</v>
      </c>
      <c r="H56" s="257"/>
      <c r="I56" s="257"/>
      <c r="J56" s="257"/>
      <c r="K56" s="257"/>
      <c r="L56" s="257"/>
      <c r="M56" s="257"/>
      <c r="N56" s="257"/>
      <c r="O56" s="257"/>
      <c r="P56" s="257"/>
      <c r="Q56" s="257"/>
    </row>
    <row r="57" spans="1:17" ht="11.25" customHeight="1">
      <c r="A57" s="256" t="s">
        <v>9</v>
      </c>
      <c r="B57" s="255">
        <v>750</v>
      </c>
      <c r="C57" s="255">
        <v>867</v>
      </c>
      <c r="D57" s="254">
        <v>750</v>
      </c>
      <c r="H57" s="263"/>
      <c r="I57" s="264"/>
      <c r="J57" s="263"/>
      <c r="K57" s="264"/>
      <c r="L57" s="264"/>
      <c r="M57" s="264"/>
      <c r="N57" s="264"/>
      <c r="O57" s="263"/>
      <c r="P57" s="257"/>
      <c r="Q57" s="257"/>
    </row>
    <row r="58" spans="1:17" ht="11.25" customHeight="1">
      <c r="A58" s="253" t="s">
        <v>5</v>
      </c>
      <c r="B58" s="252">
        <v>758.46457271593624</v>
      </c>
      <c r="C58" s="252">
        <v>732.28478493854118</v>
      </c>
      <c r="D58" s="251">
        <v>747.40942004589363</v>
      </c>
      <c r="H58" s="257"/>
      <c r="I58" s="257"/>
      <c r="J58" s="257"/>
      <c r="K58" s="257"/>
      <c r="L58" s="257"/>
      <c r="M58" s="257"/>
      <c r="N58" s="257"/>
      <c r="O58" s="257"/>
      <c r="P58" s="257"/>
      <c r="Q58" s="257"/>
    </row>
    <row r="59" spans="1:17" ht="11.25" customHeight="1">
      <c r="A59" s="256" t="s">
        <v>46</v>
      </c>
      <c r="B59" s="255"/>
      <c r="C59" s="255"/>
      <c r="D59" s="254">
        <v>744.53291935095456</v>
      </c>
      <c r="H59" s="262"/>
      <c r="I59" s="261"/>
      <c r="J59" s="260"/>
      <c r="K59" s="259"/>
      <c r="L59" s="259"/>
      <c r="M59" s="259"/>
      <c r="N59" s="259"/>
      <c r="O59" s="258"/>
      <c r="P59" s="257"/>
      <c r="Q59" s="257"/>
    </row>
    <row r="60" spans="1:17" ht="11.25" customHeight="1">
      <c r="A60" s="253" t="s">
        <v>7</v>
      </c>
      <c r="B60" s="252">
        <v>734.8</v>
      </c>
      <c r="C60" s="252">
        <v>734.8</v>
      </c>
      <c r="D60" s="251">
        <v>721.6</v>
      </c>
      <c r="H60" s="262"/>
      <c r="I60" s="261"/>
      <c r="J60" s="260"/>
      <c r="K60" s="259"/>
      <c r="L60" s="259"/>
      <c r="M60" s="259"/>
      <c r="N60" s="259"/>
      <c r="O60" s="258"/>
      <c r="P60" s="257"/>
      <c r="Q60" s="257"/>
    </row>
    <row r="61" spans="1:17" ht="11.25" customHeight="1">
      <c r="A61" s="256" t="s">
        <v>13</v>
      </c>
      <c r="B61" s="255">
        <v>712.8</v>
      </c>
      <c r="C61" s="255">
        <v>713</v>
      </c>
      <c r="D61" s="254">
        <v>712.8</v>
      </c>
      <c r="H61" s="257"/>
      <c r="I61" s="257"/>
      <c r="J61" s="257"/>
      <c r="K61" s="257"/>
      <c r="L61" s="257"/>
      <c r="M61" s="257"/>
      <c r="N61" s="257"/>
      <c r="O61" s="257"/>
      <c r="P61" s="257"/>
      <c r="Q61" s="257"/>
    </row>
    <row r="62" spans="1:17" ht="11.25" customHeight="1">
      <c r="A62" s="253" t="s">
        <v>32</v>
      </c>
      <c r="B62" s="252">
        <v>579</v>
      </c>
      <c r="C62" s="252">
        <v>579</v>
      </c>
      <c r="D62" s="251">
        <v>698.87170663429129</v>
      </c>
      <c r="H62" s="257"/>
      <c r="I62" s="257"/>
      <c r="J62" s="257"/>
      <c r="K62" s="257"/>
      <c r="L62" s="257"/>
      <c r="M62" s="257"/>
      <c r="N62" s="257"/>
      <c r="O62" s="257"/>
      <c r="P62" s="257"/>
      <c r="Q62" s="257"/>
    </row>
    <row r="63" spans="1:17" ht="11.25" customHeight="1">
      <c r="A63" s="256" t="s">
        <v>38</v>
      </c>
      <c r="B63" s="255">
        <v>673.432434838581</v>
      </c>
      <c r="C63" s="255">
        <v>681.79012820540606</v>
      </c>
      <c r="D63" s="254">
        <v>696.15802015212648</v>
      </c>
      <c r="H63" s="257"/>
      <c r="I63" s="257"/>
      <c r="J63" s="257"/>
      <c r="K63" s="257"/>
      <c r="L63" s="257"/>
      <c r="M63" s="257"/>
      <c r="N63" s="257"/>
      <c r="O63" s="257"/>
      <c r="P63" s="257"/>
      <c r="Q63" s="257"/>
    </row>
    <row r="64" spans="1:17" ht="11.25" customHeight="1">
      <c r="A64" s="253" t="s">
        <v>4</v>
      </c>
      <c r="B64" s="252">
        <v>648</v>
      </c>
      <c r="C64" s="252">
        <v>648</v>
      </c>
      <c r="D64" s="251">
        <v>684</v>
      </c>
      <c r="H64" s="257"/>
      <c r="I64" s="257"/>
      <c r="J64" s="257"/>
      <c r="K64" s="257"/>
      <c r="L64" s="257"/>
      <c r="M64" s="257"/>
      <c r="N64" s="257"/>
      <c r="O64" s="257"/>
      <c r="P64" s="257"/>
      <c r="Q64" s="257"/>
    </row>
    <row r="65" spans="1:17" ht="11.25" customHeight="1">
      <c r="A65" s="256" t="s">
        <v>11</v>
      </c>
      <c r="B65" s="255">
        <v>655.5</v>
      </c>
      <c r="C65" s="255">
        <v>633.08000000000004</v>
      </c>
      <c r="D65" s="254">
        <v>663.1</v>
      </c>
      <c r="H65" s="257"/>
      <c r="I65" s="257"/>
      <c r="J65" s="257"/>
      <c r="K65" s="257"/>
      <c r="L65" s="257"/>
      <c r="M65" s="257"/>
      <c r="N65" s="257"/>
      <c r="O65" s="257"/>
      <c r="P65" s="257"/>
      <c r="Q65" s="257"/>
    </row>
    <row r="66" spans="1:17" ht="11.25" customHeight="1">
      <c r="A66" s="253" t="s">
        <v>156</v>
      </c>
      <c r="B66" s="252">
        <v>662</v>
      </c>
      <c r="C66" s="252">
        <v>662</v>
      </c>
      <c r="D66" s="251">
        <v>656.93</v>
      </c>
    </row>
    <row r="67" spans="1:17" ht="11.25" customHeight="1">
      <c r="A67" s="256" t="s">
        <v>17</v>
      </c>
      <c r="B67" s="255">
        <v>555</v>
      </c>
      <c r="C67" s="255">
        <v>555</v>
      </c>
      <c r="D67" s="254">
        <v>655.20000000000005</v>
      </c>
    </row>
    <row r="68" spans="1:17" ht="11.25" customHeight="1">
      <c r="A68" s="253" t="s">
        <v>29</v>
      </c>
      <c r="B68" s="252"/>
      <c r="C68" s="252"/>
      <c r="D68" s="251">
        <v>652.05000000000007</v>
      </c>
    </row>
    <row r="69" spans="1:17" ht="11.25" customHeight="1">
      <c r="A69" s="256" t="s">
        <v>39</v>
      </c>
      <c r="B69" s="255">
        <v>627</v>
      </c>
      <c r="C69" s="255"/>
      <c r="D69" s="254">
        <v>627</v>
      </c>
    </row>
    <row r="70" spans="1:17" ht="11.25" customHeight="1">
      <c r="A70" s="253" t="s">
        <v>8</v>
      </c>
      <c r="B70" s="252">
        <v>605</v>
      </c>
      <c r="C70" s="252">
        <v>608</v>
      </c>
      <c r="D70" s="251">
        <v>626.4</v>
      </c>
    </row>
    <row r="71" spans="1:17" ht="11.25" customHeight="1">
      <c r="A71" s="256" t="s">
        <v>20</v>
      </c>
      <c r="B71" s="255">
        <v>671.4</v>
      </c>
      <c r="C71" s="255">
        <v>629</v>
      </c>
      <c r="D71" s="254">
        <v>623.88</v>
      </c>
    </row>
    <row r="72" spans="1:17" ht="11.25" customHeight="1">
      <c r="A72" s="253" t="s">
        <v>28</v>
      </c>
      <c r="B72" s="252">
        <v>646.79999999999995</v>
      </c>
      <c r="C72" s="252">
        <v>650.1</v>
      </c>
      <c r="D72" s="251">
        <v>617.1</v>
      </c>
    </row>
    <row r="73" spans="1:17" ht="11.25" customHeight="1">
      <c r="A73" s="256" t="s">
        <v>12</v>
      </c>
      <c r="B73" s="255">
        <v>623.33333333333337</v>
      </c>
      <c r="C73" s="255">
        <v>634.33333333333337</v>
      </c>
      <c r="D73" s="254">
        <v>616</v>
      </c>
    </row>
    <row r="74" spans="1:17" ht="11.25" customHeight="1">
      <c r="A74" s="253" t="s">
        <v>83</v>
      </c>
      <c r="B74" s="252"/>
      <c r="C74" s="252"/>
      <c r="D74" s="251">
        <v>612</v>
      </c>
    </row>
    <row r="75" spans="1:17" ht="11.25" customHeight="1">
      <c r="A75" s="256" t="s">
        <v>223</v>
      </c>
      <c r="B75" s="255">
        <v>505</v>
      </c>
      <c r="C75" s="255">
        <v>557</v>
      </c>
      <c r="D75" s="254">
        <v>609.910571</v>
      </c>
    </row>
    <row r="76" spans="1:17" ht="11.25" customHeight="1">
      <c r="A76" s="253" t="s">
        <v>6</v>
      </c>
      <c r="B76" s="252">
        <v>434.22142857142859</v>
      </c>
      <c r="C76" s="252">
        <v>426.02857142857147</v>
      </c>
      <c r="D76" s="251">
        <v>608.92500000000007</v>
      </c>
    </row>
    <row r="77" spans="1:17" ht="11.25" customHeight="1">
      <c r="A77" s="256" t="s">
        <v>1</v>
      </c>
      <c r="B77" s="255">
        <v>606.6</v>
      </c>
      <c r="C77" s="255"/>
      <c r="D77" s="254">
        <v>606.6</v>
      </c>
    </row>
    <row r="78" spans="1:17" ht="11.25" customHeight="1">
      <c r="A78" s="253" t="s">
        <v>41</v>
      </c>
      <c r="B78" s="252">
        <v>630</v>
      </c>
      <c r="C78" s="252">
        <v>630</v>
      </c>
      <c r="D78" s="251">
        <v>602</v>
      </c>
    </row>
    <row r="79" spans="1:17" ht="11.25" customHeight="1">
      <c r="A79" s="256" t="s">
        <v>3</v>
      </c>
      <c r="B79" s="255">
        <v>592.20000000000005</v>
      </c>
      <c r="C79" s="255">
        <v>570</v>
      </c>
      <c r="D79" s="254">
        <v>589.04999999999995</v>
      </c>
    </row>
    <row r="80" spans="1:17" ht="11.25" customHeight="1">
      <c r="A80" s="253" t="s">
        <v>155</v>
      </c>
      <c r="B80" s="252">
        <v>553.79999999999995</v>
      </c>
      <c r="C80" s="252"/>
      <c r="D80" s="251">
        <v>533.33333333333337</v>
      </c>
    </row>
    <row r="81" spans="1:4" ht="11.25" customHeight="1">
      <c r="A81" s="256" t="s">
        <v>30</v>
      </c>
      <c r="B81" s="255">
        <v>621</v>
      </c>
      <c r="C81" s="255">
        <v>570</v>
      </c>
      <c r="D81" s="254">
        <v>533.2314601752048</v>
      </c>
    </row>
    <row r="82" spans="1:4" ht="11.25" customHeight="1">
      <c r="A82" s="253" t="s">
        <v>16</v>
      </c>
      <c r="B82" s="252">
        <v>504</v>
      </c>
      <c r="C82" s="252">
        <v>504</v>
      </c>
      <c r="D82" s="251">
        <v>503.99999999999994</v>
      </c>
    </row>
    <row r="83" spans="1:4" ht="11.25" customHeight="1">
      <c r="A83" s="250" t="s">
        <v>31</v>
      </c>
      <c r="B83" s="249"/>
      <c r="C83" s="249"/>
      <c r="D83" s="248">
        <v>477.90000000000003</v>
      </c>
    </row>
    <row r="84" spans="1:4">
      <c r="A84" s="253" t="s">
        <v>210</v>
      </c>
      <c r="B84" s="252">
        <v>679.9252278884137</v>
      </c>
      <c r="C84" s="252">
        <v>679.59053953018076</v>
      </c>
      <c r="D84" s="251">
        <v>692.62811829560258</v>
      </c>
    </row>
    <row r="85" spans="1:4">
      <c r="A85" s="250" t="s">
        <v>211</v>
      </c>
      <c r="B85" s="249">
        <v>659.87096673103486</v>
      </c>
      <c r="C85" s="249">
        <v>677.84666810627789</v>
      </c>
      <c r="D85" s="248">
        <v>665.29989301805836</v>
      </c>
    </row>
    <row r="86" spans="1:4">
      <c r="A86" s="247"/>
    </row>
    <row r="87" spans="1:4">
      <c r="A87" s="247"/>
    </row>
    <row r="88" spans="1:4">
      <c r="A88" s="247"/>
    </row>
  </sheetData>
  <mergeCells count="3">
    <mergeCell ref="A35:L35"/>
    <mergeCell ref="A39:K39"/>
    <mergeCell ref="A40:K40"/>
  </mergeCells>
  <conditionalFormatting sqref="H59:O60">
    <cfRule type="expression" dxfId="0" priority="1">
      <formula>H59&lt;&gt;H192</formula>
    </cfRule>
  </conditionalFormatting>
  <hyperlinks>
    <hyperlink ref="A1" r:id="rId1" display="https://doi.org/10.1787/eag-2018-en"/>
    <hyperlink ref="A4" r:id="rId2"/>
  </hyperlinks>
  <pageMargins left="0.7" right="0.7" top="0.75" bottom="0.75" header="0.3" footer="0.3"/>
  <pageSetup paperSize="9" scale="58" orientation="portrait" r:id="rId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J88"/>
  <sheetViews>
    <sheetView showGridLines="0" workbookViewId="0"/>
  </sheetViews>
  <sheetFormatPr defaultRowHeight="13.2"/>
  <cols>
    <col min="1" max="1" width="20.125" style="280" customWidth="1"/>
    <col min="2" max="5" width="8.25" style="280" customWidth="1"/>
    <col min="6" max="6" width="8.125" style="280" customWidth="1"/>
    <col min="7" max="7" width="9" style="280" customWidth="1"/>
    <col min="8" max="8" width="13.75" style="280" customWidth="1"/>
    <col min="9" max="9" width="9" style="280"/>
    <col min="10" max="10" width="9" style="280" customWidth="1"/>
    <col min="11" max="256" width="9" style="280"/>
    <col min="257" max="257" width="20.125" style="280" customWidth="1"/>
    <col min="258" max="261" width="8.25" style="280" customWidth="1"/>
    <col min="262" max="262" width="8.125" style="280" customWidth="1"/>
    <col min="263" max="263" width="9" style="280" customWidth="1"/>
    <col min="264" max="264" width="13.75" style="280" customWidth="1"/>
    <col min="265" max="265" width="9" style="280"/>
    <col min="266" max="266" width="9" style="280" customWidth="1"/>
    <col min="267" max="512" width="9" style="280"/>
    <col min="513" max="513" width="20.125" style="280" customWidth="1"/>
    <col min="514" max="517" width="8.25" style="280" customWidth="1"/>
    <col min="518" max="518" width="8.125" style="280" customWidth="1"/>
    <col min="519" max="519" width="9" style="280" customWidth="1"/>
    <col min="520" max="520" width="13.75" style="280" customWidth="1"/>
    <col min="521" max="521" width="9" style="280"/>
    <col min="522" max="522" width="9" style="280" customWidth="1"/>
    <col min="523" max="768" width="9" style="280"/>
    <col min="769" max="769" width="20.125" style="280" customWidth="1"/>
    <col min="770" max="773" width="8.25" style="280" customWidth="1"/>
    <col min="774" max="774" width="8.125" style="280" customWidth="1"/>
    <col min="775" max="775" width="9" style="280" customWidth="1"/>
    <col min="776" max="776" width="13.75" style="280" customWidth="1"/>
    <col min="777" max="777" width="9" style="280"/>
    <col min="778" max="778" width="9" style="280" customWidth="1"/>
    <col min="779" max="1024" width="9" style="280"/>
    <col min="1025" max="1025" width="20.125" style="280" customWidth="1"/>
    <col min="1026" max="1029" width="8.25" style="280" customWidth="1"/>
    <col min="1030" max="1030" width="8.125" style="280" customWidth="1"/>
    <col min="1031" max="1031" width="9" style="280" customWidth="1"/>
    <col min="1032" max="1032" width="13.75" style="280" customWidth="1"/>
    <col min="1033" max="1033" width="9" style="280"/>
    <col min="1034" max="1034" width="9" style="280" customWidth="1"/>
    <col min="1035" max="1280" width="9" style="280"/>
    <col min="1281" max="1281" width="20.125" style="280" customWidth="1"/>
    <col min="1282" max="1285" width="8.25" style="280" customWidth="1"/>
    <col min="1286" max="1286" width="8.125" style="280" customWidth="1"/>
    <col min="1287" max="1287" width="9" style="280" customWidth="1"/>
    <col min="1288" max="1288" width="13.75" style="280" customWidth="1"/>
    <col min="1289" max="1289" width="9" style="280"/>
    <col min="1290" max="1290" width="9" style="280" customWidth="1"/>
    <col min="1291" max="1536" width="9" style="280"/>
    <col min="1537" max="1537" width="20.125" style="280" customWidth="1"/>
    <col min="1538" max="1541" width="8.25" style="280" customWidth="1"/>
    <col min="1542" max="1542" width="8.125" style="280" customWidth="1"/>
    <col min="1543" max="1543" width="9" style="280" customWidth="1"/>
    <col min="1544" max="1544" width="13.75" style="280" customWidth="1"/>
    <col min="1545" max="1545" width="9" style="280"/>
    <col min="1546" max="1546" width="9" style="280" customWidth="1"/>
    <col min="1547" max="1792" width="9" style="280"/>
    <col min="1793" max="1793" width="20.125" style="280" customWidth="1"/>
    <col min="1794" max="1797" width="8.25" style="280" customWidth="1"/>
    <col min="1798" max="1798" width="8.125" style="280" customWidth="1"/>
    <col min="1799" max="1799" width="9" style="280" customWidth="1"/>
    <col min="1800" max="1800" width="13.75" style="280" customWidth="1"/>
    <col min="1801" max="1801" width="9" style="280"/>
    <col min="1802" max="1802" width="9" style="280" customWidth="1"/>
    <col min="1803" max="2048" width="9" style="280"/>
    <col min="2049" max="2049" width="20.125" style="280" customWidth="1"/>
    <col min="2050" max="2053" width="8.25" style="280" customWidth="1"/>
    <col min="2054" max="2054" width="8.125" style="280" customWidth="1"/>
    <col min="2055" max="2055" width="9" style="280" customWidth="1"/>
    <col min="2056" max="2056" width="13.75" style="280" customWidth="1"/>
    <col min="2057" max="2057" width="9" style="280"/>
    <col min="2058" max="2058" width="9" style="280" customWidth="1"/>
    <col min="2059" max="2304" width="9" style="280"/>
    <col min="2305" max="2305" width="20.125" style="280" customWidth="1"/>
    <col min="2306" max="2309" width="8.25" style="280" customWidth="1"/>
    <col min="2310" max="2310" width="8.125" style="280" customWidth="1"/>
    <col min="2311" max="2311" width="9" style="280" customWidth="1"/>
    <col min="2312" max="2312" width="13.75" style="280" customWidth="1"/>
    <col min="2313" max="2313" width="9" style="280"/>
    <col min="2314" max="2314" width="9" style="280" customWidth="1"/>
    <col min="2315" max="2560" width="9" style="280"/>
    <col min="2561" max="2561" width="20.125" style="280" customWidth="1"/>
    <col min="2562" max="2565" width="8.25" style="280" customWidth="1"/>
    <col min="2566" max="2566" width="8.125" style="280" customWidth="1"/>
    <col min="2567" max="2567" width="9" style="280" customWidth="1"/>
    <col min="2568" max="2568" width="13.75" style="280" customWidth="1"/>
    <col min="2569" max="2569" width="9" style="280"/>
    <col min="2570" max="2570" width="9" style="280" customWidth="1"/>
    <col min="2571" max="2816" width="9" style="280"/>
    <col min="2817" max="2817" width="20.125" style="280" customWidth="1"/>
    <col min="2818" max="2821" width="8.25" style="280" customWidth="1"/>
    <col min="2822" max="2822" width="8.125" style="280" customWidth="1"/>
    <col min="2823" max="2823" width="9" style="280" customWidth="1"/>
    <col min="2824" max="2824" width="13.75" style="280" customWidth="1"/>
    <col min="2825" max="2825" width="9" style="280"/>
    <col min="2826" max="2826" width="9" style="280" customWidth="1"/>
    <col min="2827" max="3072" width="9" style="280"/>
    <col min="3073" max="3073" width="20.125" style="280" customWidth="1"/>
    <col min="3074" max="3077" width="8.25" style="280" customWidth="1"/>
    <col min="3078" max="3078" width="8.125" style="280" customWidth="1"/>
    <col min="3079" max="3079" width="9" style="280" customWidth="1"/>
    <col min="3080" max="3080" width="13.75" style="280" customWidth="1"/>
    <col min="3081" max="3081" width="9" style="280"/>
    <col min="3082" max="3082" width="9" style="280" customWidth="1"/>
    <col min="3083" max="3328" width="9" style="280"/>
    <col min="3329" max="3329" width="20.125" style="280" customWidth="1"/>
    <col min="3330" max="3333" width="8.25" style="280" customWidth="1"/>
    <col min="3334" max="3334" width="8.125" style="280" customWidth="1"/>
    <col min="3335" max="3335" width="9" style="280" customWidth="1"/>
    <col min="3336" max="3336" width="13.75" style="280" customWidth="1"/>
    <col min="3337" max="3337" width="9" style="280"/>
    <col min="3338" max="3338" width="9" style="280" customWidth="1"/>
    <col min="3339" max="3584" width="9" style="280"/>
    <col min="3585" max="3585" width="20.125" style="280" customWidth="1"/>
    <col min="3586" max="3589" width="8.25" style="280" customWidth="1"/>
    <col min="3590" max="3590" width="8.125" style="280" customWidth="1"/>
    <col min="3591" max="3591" width="9" style="280" customWidth="1"/>
    <col min="3592" max="3592" width="13.75" style="280" customWidth="1"/>
    <col min="3593" max="3593" width="9" style="280"/>
    <col min="3594" max="3594" width="9" style="280" customWidth="1"/>
    <col min="3595" max="3840" width="9" style="280"/>
    <col min="3841" max="3841" width="20.125" style="280" customWidth="1"/>
    <col min="3842" max="3845" width="8.25" style="280" customWidth="1"/>
    <col min="3846" max="3846" width="8.125" style="280" customWidth="1"/>
    <col min="3847" max="3847" width="9" style="280" customWidth="1"/>
    <col min="3848" max="3848" width="13.75" style="280" customWidth="1"/>
    <col min="3849" max="3849" width="9" style="280"/>
    <col min="3850" max="3850" width="9" style="280" customWidth="1"/>
    <col min="3851" max="4096" width="9" style="280"/>
    <col min="4097" max="4097" width="20.125" style="280" customWidth="1"/>
    <col min="4098" max="4101" width="8.25" style="280" customWidth="1"/>
    <col min="4102" max="4102" width="8.125" style="280" customWidth="1"/>
    <col min="4103" max="4103" width="9" style="280" customWidth="1"/>
    <col min="4104" max="4104" width="13.75" style="280" customWidth="1"/>
    <col min="4105" max="4105" width="9" style="280"/>
    <col min="4106" max="4106" width="9" style="280" customWidth="1"/>
    <col min="4107" max="4352" width="9" style="280"/>
    <col min="4353" max="4353" width="20.125" style="280" customWidth="1"/>
    <col min="4354" max="4357" width="8.25" style="280" customWidth="1"/>
    <col min="4358" max="4358" width="8.125" style="280" customWidth="1"/>
    <col min="4359" max="4359" width="9" style="280" customWidth="1"/>
    <col min="4360" max="4360" width="13.75" style="280" customWidth="1"/>
    <col min="4361" max="4361" width="9" style="280"/>
    <col min="4362" max="4362" width="9" style="280" customWidth="1"/>
    <col min="4363" max="4608" width="9" style="280"/>
    <col min="4609" max="4609" width="20.125" style="280" customWidth="1"/>
    <col min="4610" max="4613" width="8.25" style="280" customWidth="1"/>
    <col min="4614" max="4614" width="8.125" style="280" customWidth="1"/>
    <col min="4615" max="4615" width="9" style="280" customWidth="1"/>
    <col min="4616" max="4616" width="13.75" style="280" customWidth="1"/>
    <col min="4617" max="4617" width="9" style="280"/>
    <col min="4618" max="4618" width="9" style="280" customWidth="1"/>
    <col min="4619" max="4864" width="9" style="280"/>
    <col min="4865" max="4865" width="20.125" style="280" customWidth="1"/>
    <col min="4866" max="4869" width="8.25" style="280" customWidth="1"/>
    <col min="4870" max="4870" width="8.125" style="280" customWidth="1"/>
    <col min="4871" max="4871" width="9" style="280" customWidth="1"/>
    <col min="4872" max="4872" width="13.75" style="280" customWidth="1"/>
    <col min="4873" max="4873" width="9" style="280"/>
    <col min="4874" max="4874" width="9" style="280" customWidth="1"/>
    <col min="4875" max="5120" width="9" style="280"/>
    <col min="5121" max="5121" width="20.125" style="280" customWidth="1"/>
    <col min="5122" max="5125" width="8.25" style="280" customWidth="1"/>
    <col min="5126" max="5126" width="8.125" style="280" customWidth="1"/>
    <col min="5127" max="5127" width="9" style="280" customWidth="1"/>
    <col min="5128" max="5128" width="13.75" style="280" customWidth="1"/>
    <col min="5129" max="5129" width="9" style="280"/>
    <col min="5130" max="5130" width="9" style="280" customWidth="1"/>
    <col min="5131" max="5376" width="9" style="280"/>
    <col min="5377" max="5377" width="20.125" style="280" customWidth="1"/>
    <col min="5378" max="5381" width="8.25" style="280" customWidth="1"/>
    <col min="5382" max="5382" width="8.125" style="280" customWidth="1"/>
    <col min="5383" max="5383" width="9" style="280" customWidth="1"/>
    <col min="5384" max="5384" width="13.75" style="280" customWidth="1"/>
    <col min="5385" max="5385" width="9" style="280"/>
    <col min="5386" max="5386" width="9" style="280" customWidth="1"/>
    <col min="5387" max="5632" width="9" style="280"/>
    <col min="5633" max="5633" width="20.125" style="280" customWidth="1"/>
    <col min="5634" max="5637" width="8.25" style="280" customWidth="1"/>
    <col min="5638" max="5638" width="8.125" style="280" customWidth="1"/>
    <col min="5639" max="5639" width="9" style="280" customWidth="1"/>
    <col min="5640" max="5640" width="13.75" style="280" customWidth="1"/>
    <col min="5641" max="5641" width="9" style="280"/>
    <col min="5642" max="5642" width="9" style="280" customWidth="1"/>
    <col min="5643" max="5888" width="9" style="280"/>
    <col min="5889" max="5889" width="20.125" style="280" customWidth="1"/>
    <col min="5890" max="5893" width="8.25" style="280" customWidth="1"/>
    <col min="5894" max="5894" width="8.125" style="280" customWidth="1"/>
    <col min="5895" max="5895" width="9" style="280" customWidth="1"/>
    <col min="5896" max="5896" width="13.75" style="280" customWidth="1"/>
    <col min="5897" max="5897" width="9" style="280"/>
    <col min="5898" max="5898" width="9" style="280" customWidth="1"/>
    <col min="5899" max="6144" width="9" style="280"/>
    <col min="6145" max="6145" width="20.125" style="280" customWidth="1"/>
    <col min="6146" max="6149" width="8.25" style="280" customWidth="1"/>
    <col min="6150" max="6150" width="8.125" style="280" customWidth="1"/>
    <col min="6151" max="6151" width="9" style="280" customWidth="1"/>
    <col min="6152" max="6152" width="13.75" style="280" customWidth="1"/>
    <col min="6153" max="6153" width="9" style="280"/>
    <col min="6154" max="6154" width="9" style="280" customWidth="1"/>
    <col min="6155" max="6400" width="9" style="280"/>
    <col min="6401" max="6401" width="20.125" style="280" customWidth="1"/>
    <col min="6402" max="6405" width="8.25" style="280" customWidth="1"/>
    <col min="6406" max="6406" width="8.125" style="280" customWidth="1"/>
    <col min="6407" max="6407" width="9" style="280" customWidth="1"/>
    <col min="6408" max="6408" width="13.75" style="280" customWidth="1"/>
    <col min="6409" max="6409" width="9" style="280"/>
    <col min="6410" max="6410" width="9" style="280" customWidth="1"/>
    <col min="6411" max="6656" width="9" style="280"/>
    <col min="6657" max="6657" width="20.125" style="280" customWidth="1"/>
    <col min="6658" max="6661" width="8.25" style="280" customWidth="1"/>
    <col min="6662" max="6662" width="8.125" style="280" customWidth="1"/>
    <col min="6663" max="6663" width="9" style="280" customWidth="1"/>
    <col min="6664" max="6664" width="13.75" style="280" customWidth="1"/>
    <col min="6665" max="6665" width="9" style="280"/>
    <col min="6666" max="6666" width="9" style="280" customWidth="1"/>
    <col min="6667" max="6912" width="9" style="280"/>
    <col min="6913" max="6913" width="20.125" style="280" customWidth="1"/>
    <col min="6914" max="6917" width="8.25" style="280" customWidth="1"/>
    <col min="6918" max="6918" width="8.125" style="280" customWidth="1"/>
    <col min="6919" max="6919" width="9" style="280" customWidth="1"/>
    <col min="6920" max="6920" width="13.75" style="280" customWidth="1"/>
    <col min="6921" max="6921" width="9" style="280"/>
    <col min="6922" max="6922" width="9" style="280" customWidth="1"/>
    <col min="6923" max="7168" width="9" style="280"/>
    <col min="7169" max="7169" width="20.125" style="280" customWidth="1"/>
    <col min="7170" max="7173" width="8.25" style="280" customWidth="1"/>
    <col min="7174" max="7174" width="8.125" style="280" customWidth="1"/>
    <col min="7175" max="7175" width="9" style="280" customWidth="1"/>
    <col min="7176" max="7176" width="13.75" style="280" customWidth="1"/>
    <col min="7177" max="7177" width="9" style="280"/>
    <col min="7178" max="7178" width="9" style="280" customWidth="1"/>
    <col min="7179" max="7424" width="9" style="280"/>
    <col min="7425" max="7425" width="20.125" style="280" customWidth="1"/>
    <col min="7426" max="7429" width="8.25" style="280" customWidth="1"/>
    <col min="7430" max="7430" width="8.125" style="280" customWidth="1"/>
    <col min="7431" max="7431" width="9" style="280" customWidth="1"/>
    <col min="7432" max="7432" width="13.75" style="280" customWidth="1"/>
    <col min="7433" max="7433" width="9" style="280"/>
    <col min="7434" max="7434" width="9" style="280" customWidth="1"/>
    <col min="7435" max="7680" width="9" style="280"/>
    <col min="7681" max="7681" width="20.125" style="280" customWidth="1"/>
    <col min="7682" max="7685" width="8.25" style="280" customWidth="1"/>
    <col min="7686" max="7686" width="8.125" style="280" customWidth="1"/>
    <col min="7687" max="7687" width="9" style="280" customWidth="1"/>
    <col min="7688" max="7688" width="13.75" style="280" customWidth="1"/>
    <col min="7689" max="7689" width="9" style="280"/>
    <col min="7690" max="7690" width="9" style="280" customWidth="1"/>
    <col min="7691" max="7936" width="9" style="280"/>
    <col min="7937" max="7937" width="20.125" style="280" customWidth="1"/>
    <col min="7938" max="7941" width="8.25" style="280" customWidth="1"/>
    <col min="7942" max="7942" width="8.125" style="280" customWidth="1"/>
    <col min="7943" max="7943" width="9" style="280" customWidth="1"/>
    <col min="7944" max="7944" width="13.75" style="280" customWidth="1"/>
    <col min="7945" max="7945" width="9" style="280"/>
    <col min="7946" max="7946" width="9" style="280" customWidth="1"/>
    <col min="7947" max="8192" width="9" style="280"/>
    <col min="8193" max="8193" width="20.125" style="280" customWidth="1"/>
    <col min="8194" max="8197" width="8.25" style="280" customWidth="1"/>
    <col min="8198" max="8198" width="8.125" style="280" customWidth="1"/>
    <col min="8199" max="8199" width="9" style="280" customWidth="1"/>
    <col min="8200" max="8200" width="13.75" style="280" customWidth="1"/>
    <col min="8201" max="8201" width="9" style="280"/>
    <col min="8202" max="8202" width="9" style="280" customWidth="1"/>
    <col min="8203" max="8448" width="9" style="280"/>
    <col min="8449" max="8449" width="20.125" style="280" customWidth="1"/>
    <col min="8450" max="8453" width="8.25" style="280" customWidth="1"/>
    <col min="8454" max="8454" width="8.125" style="280" customWidth="1"/>
    <col min="8455" max="8455" width="9" style="280" customWidth="1"/>
    <col min="8456" max="8456" width="13.75" style="280" customWidth="1"/>
    <col min="8457" max="8457" width="9" style="280"/>
    <col min="8458" max="8458" width="9" style="280" customWidth="1"/>
    <col min="8459" max="8704" width="9" style="280"/>
    <col min="8705" max="8705" width="20.125" style="280" customWidth="1"/>
    <col min="8706" max="8709" width="8.25" style="280" customWidth="1"/>
    <col min="8710" max="8710" width="8.125" style="280" customWidth="1"/>
    <col min="8711" max="8711" width="9" style="280" customWidth="1"/>
    <col min="8712" max="8712" width="13.75" style="280" customWidth="1"/>
    <col min="8713" max="8713" width="9" style="280"/>
    <col min="8714" max="8714" width="9" style="280" customWidth="1"/>
    <col min="8715" max="8960" width="9" style="280"/>
    <col min="8961" max="8961" width="20.125" style="280" customWidth="1"/>
    <col min="8962" max="8965" width="8.25" style="280" customWidth="1"/>
    <col min="8966" max="8966" width="8.125" style="280" customWidth="1"/>
    <col min="8967" max="8967" width="9" style="280" customWidth="1"/>
    <col min="8968" max="8968" width="13.75" style="280" customWidth="1"/>
    <col min="8969" max="8969" width="9" style="280"/>
    <col min="8970" max="8970" width="9" style="280" customWidth="1"/>
    <col min="8971" max="9216" width="9" style="280"/>
    <col min="9217" max="9217" width="20.125" style="280" customWidth="1"/>
    <col min="9218" max="9221" width="8.25" style="280" customWidth="1"/>
    <col min="9222" max="9222" width="8.125" style="280" customWidth="1"/>
    <col min="9223" max="9223" width="9" style="280" customWidth="1"/>
    <col min="9224" max="9224" width="13.75" style="280" customWidth="1"/>
    <col min="9225" max="9225" width="9" style="280"/>
    <col min="9226" max="9226" width="9" style="280" customWidth="1"/>
    <col min="9227" max="9472" width="9" style="280"/>
    <col min="9473" max="9473" width="20.125" style="280" customWidth="1"/>
    <col min="9474" max="9477" width="8.25" style="280" customWidth="1"/>
    <col min="9478" max="9478" width="8.125" style="280" customWidth="1"/>
    <col min="9479" max="9479" width="9" style="280" customWidth="1"/>
    <col min="9480" max="9480" width="13.75" style="280" customWidth="1"/>
    <col min="9481" max="9481" width="9" style="280"/>
    <col min="9482" max="9482" width="9" style="280" customWidth="1"/>
    <col min="9483" max="9728" width="9" style="280"/>
    <col min="9729" max="9729" width="20.125" style="280" customWidth="1"/>
    <col min="9730" max="9733" width="8.25" style="280" customWidth="1"/>
    <col min="9734" max="9734" width="8.125" style="280" customWidth="1"/>
    <col min="9735" max="9735" width="9" style="280" customWidth="1"/>
    <col min="9736" max="9736" width="13.75" style="280" customWidth="1"/>
    <col min="9737" max="9737" width="9" style="280"/>
    <col min="9738" max="9738" width="9" style="280" customWidth="1"/>
    <col min="9739" max="9984" width="9" style="280"/>
    <col min="9985" max="9985" width="20.125" style="280" customWidth="1"/>
    <col min="9986" max="9989" width="8.25" style="280" customWidth="1"/>
    <col min="9990" max="9990" width="8.125" style="280" customWidth="1"/>
    <col min="9991" max="9991" width="9" style="280" customWidth="1"/>
    <col min="9992" max="9992" width="13.75" style="280" customWidth="1"/>
    <col min="9993" max="9993" width="9" style="280"/>
    <col min="9994" max="9994" width="9" style="280" customWidth="1"/>
    <col min="9995" max="10240" width="9" style="280"/>
    <col min="10241" max="10241" width="20.125" style="280" customWidth="1"/>
    <col min="10242" max="10245" width="8.25" style="280" customWidth="1"/>
    <col min="10246" max="10246" width="8.125" style="280" customWidth="1"/>
    <col min="10247" max="10247" width="9" style="280" customWidth="1"/>
    <col min="10248" max="10248" width="13.75" style="280" customWidth="1"/>
    <col min="10249" max="10249" width="9" style="280"/>
    <col min="10250" max="10250" width="9" style="280" customWidth="1"/>
    <col min="10251" max="10496" width="9" style="280"/>
    <col min="10497" max="10497" width="20.125" style="280" customWidth="1"/>
    <col min="10498" max="10501" width="8.25" style="280" customWidth="1"/>
    <col min="10502" max="10502" width="8.125" style="280" customWidth="1"/>
    <col min="10503" max="10503" width="9" style="280" customWidth="1"/>
    <col min="10504" max="10504" width="13.75" style="280" customWidth="1"/>
    <col min="10505" max="10505" width="9" style="280"/>
    <col min="10506" max="10506" width="9" style="280" customWidth="1"/>
    <col min="10507" max="10752" width="9" style="280"/>
    <col min="10753" max="10753" width="20.125" style="280" customWidth="1"/>
    <col min="10754" max="10757" width="8.25" style="280" customWidth="1"/>
    <col min="10758" max="10758" width="8.125" style="280" customWidth="1"/>
    <col min="10759" max="10759" width="9" style="280" customWidth="1"/>
    <col min="10760" max="10760" width="13.75" style="280" customWidth="1"/>
    <col min="10761" max="10761" width="9" style="280"/>
    <col min="10762" max="10762" width="9" style="280" customWidth="1"/>
    <col min="10763" max="11008" width="9" style="280"/>
    <col min="11009" max="11009" width="20.125" style="280" customWidth="1"/>
    <col min="11010" max="11013" width="8.25" style="280" customWidth="1"/>
    <col min="11014" max="11014" width="8.125" style="280" customWidth="1"/>
    <col min="11015" max="11015" width="9" style="280" customWidth="1"/>
    <col min="11016" max="11016" width="13.75" style="280" customWidth="1"/>
    <col min="11017" max="11017" width="9" style="280"/>
    <col min="11018" max="11018" width="9" style="280" customWidth="1"/>
    <col min="11019" max="11264" width="9" style="280"/>
    <col min="11265" max="11265" width="20.125" style="280" customWidth="1"/>
    <col min="11266" max="11269" width="8.25" style="280" customWidth="1"/>
    <col min="11270" max="11270" width="8.125" style="280" customWidth="1"/>
    <col min="11271" max="11271" width="9" style="280" customWidth="1"/>
    <col min="11272" max="11272" width="13.75" style="280" customWidth="1"/>
    <col min="11273" max="11273" width="9" style="280"/>
    <col min="11274" max="11274" width="9" style="280" customWidth="1"/>
    <col min="11275" max="11520" width="9" style="280"/>
    <col min="11521" max="11521" width="20.125" style="280" customWidth="1"/>
    <col min="11522" max="11525" width="8.25" style="280" customWidth="1"/>
    <col min="11526" max="11526" width="8.125" style="280" customWidth="1"/>
    <col min="11527" max="11527" width="9" style="280" customWidth="1"/>
    <col min="11528" max="11528" width="13.75" style="280" customWidth="1"/>
    <col min="11529" max="11529" width="9" style="280"/>
    <col min="11530" max="11530" width="9" style="280" customWidth="1"/>
    <col min="11531" max="11776" width="9" style="280"/>
    <col min="11777" max="11777" width="20.125" style="280" customWidth="1"/>
    <col min="11778" max="11781" width="8.25" style="280" customWidth="1"/>
    <col min="11782" max="11782" width="8.125" style="280" customWidth="1"/>
    <col min="11783" max="11783" width="9" style="280" customWidth="1"/>
    <col min="11784" max="11784" width="13.75" style="280" customWidth="1"/>
    <col min="11785" max="11785" width="9" style="280"/>
    <col min="11786" max="11786" width="9" style="280" customWidth="1"/>
    <col min="11787" max="12032" width="9" style="280"/>
    <col min="12033" max="12033" width="20.125" style="280" customWidth="1"/>
    <col min="12034" max="12037" width="8.25" style="280" customWidth="1"/>
    <col min="12038" max="12038" width="8.125" style="280" customWidth="1"/>
    <col min="12039" max="12039" width="9" style="280" customWidth="1"/>
    <col min="12040" max="12040" width="13.75" style="280" customWidth="1"/>
    <col min="12041" max="12041" width="9" style="280"/>
    <col min="12042" max="12042" width="9" style="280" customWidth="1"/>
    <col min="12043" max="12288" width="9" style="280"/>
    <col min="12289" max="12289" width="20.125" style="280" customWidth="1"/>
    <col min="12290" max="12293" width="8.25" style="280" customWidth="1"/>
    <col min="12294" max="12294" width="8.125" style="280" customWidth="1"/>
    <col min="12295" max="12295" width="9" style="280" customWidth="1"/>
    <col min="12296" max="12296" width="13.75" style="280" customWidth="1"/>
    <col min="12297" max="12297" width="9" style="280"/>
    <col min="12298" max="12298" width="9" style="280" customWidth="1"/>
    <col min="12299" max="12544" width="9" style="280"/>
    <col min="12545" max="12545" width="20.125" style="280" customWidth="1"/>
    <col min="12546" max="12549" width="8.25" style="280" customWidth="1"/>
    <col min="12550" max="12550" width="8.125" style="280" customWidth="1"/>
    <col min="12551" max="12551" width="9" style="280" customWidth="1"/>
    <col min="12552" max="12552" width="13.75" style="280" customWidth="1"/>
    <col min="12553" max="12553" width="9" style="280"/>
    <col min="12554" max="12554" width="9" style="280" customWidth="1"/>
    <col min="12555" max="12800" width="9" style="280"/>
    <col min="12801" max="12801" width="20.125" style="280" customWidth="1"/>
    <col min="12802" max="12805" width="8.25" style="280" customWidth="1"/>
    <col min="12806" max="12806" width="8.125" style="280" customWidth="1"/>
    <col min="12807" max="12807" width="9" style="280" customWidth="1"/>
    <col min="12808" max="12808" width="13.75" style="280" customWidth="1"/>
    <col min="12809" max="12809" width="9" style="280"/>
    <col min="12810" max="12810" width="9" style="280" customWidth="1"/>
    <col min="12811" max="13056" width="9" style="280"/>
    <col min="13057" max="13057" width="20.125" style="280" customWidth="1"/>
    <col min="13058" max="13061" width="8.25" style="280" customWidth="1"/>
    <col min="13062" max="13062" width="8.125" style="280" customWidth="1"/>
    <col min="13063" max="13063" width="9" style="280" customWidth="1"/>
    <col min="13064" max="13064" width="13.75" style="280" customWidth="1"/>
    <col min="13065" max="13065" width="9" style="280"/>
    <col min="13066" max="13066" width="9" style="280" customWidth="1"/>
    <col min="13067" max="13312" width="9" style="280"/>
    <col min="13313" max="13313" width="20.125" style="280" customWidth="1"/>
    <col min="13314" max="13317" width="8.25" style="280" customWidth="1"/>
    <col min="13318" max="13318" width="8.125" style="280" customWidth="1"/>
    <col min="13319" max="13319" width="9" style="280" customWidth="1"/>
    <col min="13320" max="13320" width="13.75" style="280" customWidth="1"/>
    <col min="13321" max="13321" width="9" style="280"/>
    <col min="13322" max="13322" width="9" style="280" customWidth="1"/>
    <col min="13323" max="13568" width="9" style="280"/>
    <col min="13569" max="13569" width="20.125" style="280" customWidth="1"/>
    <col min="13570" max="13573" width="8.25" style="280" customWidth="1"/>
    <col min="13574" max="13574" width="8.125" style="280" customWidth="1"/>
    <col min="13575" max="13575" width="9" style="280" customWidth="1"/>
    <col min="13576" max="13576" width="13.75" style="280" customWidth="1"/>
    <col min="13577" max="13577" width="9" style="280"/>
    <col min="13578" max="13578" width="9" style="280" customWidth="1"/>
    <col min="13579" max="13824" width="9" style="280"/>
    <col min="13825" max="13825" width="20.125" style="280" customWidth="1"/>
    <col min="13826" max="13829" width="8.25" style="280" customWidth="1"/>
    <col min="13830" max="13830" width="8.125" style="280" customWidth="1"/>
    <col min="13831" max="13831" width="9" style="280" customWidth="1"/>
    <col min="13832" max="13832" width="13.75" style="280" customWidth="1"/>
    <col min="13833" max="13833" width="9" style="280"/>
    <col min="13834" max="13834" width="9" style="280" customWidth="1"/>
    <col min="13835" max="14080" width="9" style="280"/>
    <col min="14081" max="14081" width="20.125" style="280" customWidth="1"/>
    <col min="14082" max="14085" width="8.25" style="280" customWidth="1"/>
    <col min="14086" max="14086" width="8.125" style="280" customWidth="1"/>
    <col min="14087" max="14087" width="9" style="280" customWidth="1"/>
    <col min="14088" max="14088" width="13.75" style="280" customWidth="1"/>
    <col min="14089" max="14089" width="9" style="280"/>
    <col min="14090" max="14090" width="9" style="280" customWidth="1"/>
    <col min="14091" max="14336" width="9" style="280"/>
    <col min="14337" max="14337" width="20.125" style="280" customWidth="1"/>
    <col min="14338" max="14341" width="8.25" style="280" customWidth="1"/>
    <col min="14342" max="14342" width="8.125" style="280" customWidth="1"/>
    <col min="14343" max="14343" width="9" style="280" customWidth="1"/>
    <col min="14344" max="14344" width="13.75" style="280" customWidth="1"/>
    <col min="14345" max="14345" width="9" style="280"/>
    <col min="14346" max="14346" width="9" style="280" customWidth="1"/>
    <col min="14347" max="14592" width="9" style="280"/>
    <col min="14593" max="14593" width="20.125" style="280" customWidth="1"/>
    <col min="14594" max="14597" width="8.25" style="280" customWidth="1"/>
    <col min="14598" max="14598" width="8.125" style="280" customWidth="1"/>
    <col min="14599" max="14599" width="9" style="280" customWidth="1"/>
    <col min="14600" max="14600" width="13.75" style="280" customWidth="1"/>
    <col min="14601" max="14601" width="9" style="280"/>
    <col min="14602" max="14602" width="9" style="280" customWidth="1"/>
    <col min="14603" max="14848" width="9" style="280"/>
    <col min="14849" max="14849" width="20.125" style="280" customWidth="1"/>
    <col min="14850" max="14853" width="8.25" style="280" customWidth="1"/>
    <col min="14854" max="14854" width="8.125" style="280" customWidth="1"/>
    <col min="14855" max="14855" width="9" style="280" customWidth="1"/>
    <col min="14856" max="14856" width="13.75" style="280" customWidth="1"/>
    <col min="14857" max="14857" width="9" style="280"/>
    <col min="14858" max="14858" width="9" style="280" customWidth="1"/>
    <col min="14859" max="15104" width="9" style="280"/>
    <col min="15105" max="15105" width="20.125" style="280" customWidth="1"/>
    <col min="15106" max="15109" width="8.25" style="280" customWidth="1"/>
    <col min="15110" max="15110" width="8.125" style="280" customWidth="1"/>
    <col min="15111" max="15111" width="9" style="280" customWidth="1"/>
    <col min="15112" max="15112" width="13.75" style="280" customWidth="1"/>
    <col min="15113" max="15113" width="9" style="280"/>
    <col min="15114" max="15114" width="9" style="280" customWidth="1"/>
    <col min="15115" max="15360" width="9" style="280"/>
    <col min="15361" max="15361" width="20.125" style="280" customWidth="1"/>
    <col min="15362" max="15365" width="8.25" style="280" customWidth="1"/>
    <col min="15366" max="15366" width="8.125" style="280" customWidth="1"/>
    <col min="15367" max="15367" width="9" style="280" customWidth="1"/>
    <col min="15368" max="15368" width="13.75" style="280" customWidth="1"/>
    <col min="15369" max="15369" width="9" style="280"/>
    <col min="15370" max="15370" width="9" style="280" customWidth="1"/>
    <col min="15371" max="15616" width="9" style="280"/>
    <col min="15617" max="15617" width="20.125" style="280" customWidth="1"/>
    <col min="15618" max="15621" width="8.25" style="280" customWidth="1"/>
    <col min="15622" max="15622" width="8.125" style="280" customWidth="1"/>
    <col min="15623" max="15623" width="9" style="280" customWidth="1"/>
    <col min="15624" max="15624" width="13.75" style="280" customWidth="1"/>
    <col min="15625" max="15625" width="9" style="280"/>
    <col min="15626" max="15626" width="9" style="280" customWidth="1"/>
    <col min="15627" max="15872" width="9" style="280"/>
    <col min="15873" max="15873" width="20.125" style="280" customWidth="1"/>
    <col min="15874" max="15877" width="8.25" style="280" customWidth="1"/>
    <col min="15878" max="15878" width="8.125" style="280" customWidth="1"/>
    <col min="15879" max="15879" width="9" style="280" customWidth="1"/>
    <col min="15880" max="15880" width="13.75" style="280" customWidth="1"/>
    <col min="15881" max="15881" width="9" style="280"/>
    <col min="15882" max="15882" width="9" style="280" customWidth="1"/>
    <col min="15883" max="16128" width="9" style="280"/>
    <col min="16129" max="16129" width="20.125" style="280" customWidth="1"/>
    <col min="16130" max="16133" width="8.25" style="280" customWidth="1"/>
    <col min="16134" max="16134" width="8.125" style="280" customWidth="1"/>
    <col min="16135" max="16135" width="9" style="280" customWidth="1"/>
    <col min="16136" max="16136" width="13.75" style="280" customWidth="1"/>
    <col min="16137" max="16137" width="9" style="280"/>
    <col min="16138" max="16138" width="9" style="280" customWidth="1"/>
    <col min="16139" max="16384" width="9" style="280"/>
  </cols>
  <sheetData>
    <row r="1" spans="1:10" s="492" customFormat="1">
      <c r="A1" s="484" t="s">
        <v>235</v>
      </c>
    </row>
    <row r="2" spans="1:10" s="492" customFormat="1">
      <c r="A2" s="492" t="s">
        <v>236</v>
      </c>
      <c r="B2" s="492" t="s">
        <v>237</v>
      </c>
    </row>
    <row r="3" spans="1:10" s="492" customFormat="1">
      <c r="A3" s="492" t="s">
        <v>238</v>
      </c>
    </row>
    <row r="4" spans="1:10" s="492" customFormat="1">
      <c r="A4" s="484" t="s">
        <v>239</v>
      </c>
    </row>
    <row r="5" spans="1:10" s="492" customFormat="1"/>
    <row r="6" spans="1:10" ht="11.25" customHeight="1">
      <c r="A6" s="462" t="s">
        <v>133</v>
      </c>
      <c r="B6" s="462"/>
      <c r="C6" s="462"/>
      <c r="D6" s="462"/>
      <c r="E6" s="462"/>
      <c r="F6" s="462"/>
      <c r="G6" s="462"/>
      <c r="H6" s="278"/>
      <c r="I6" s="279"/>
      <c r="J6" s="279"/>
    </row>
    <row r="7" spans="1:10" ht="11.25" customHeight="1">
      <c r="A7" s="462" t="s">
        <v>165</v>
      </c>
      <c r="B7" s="462"/>
      <c r="C7" s="462"/>
      <c r="D7" s="462"/>
      <c r="E7" s="462"/>
      <c r="F7" s="462"/>
      <c r="G7" s="462"/>
      <c r="H7" s="278"/>
      <c r="I7" s="279"/>
      <c r="J7" s="279"/>
    </row>
    <row r="8" spans="1:10" ht="11.25" customHeight="1">
      <c r="A8" s="463" t="s">
        <v>68</v>
      </c>
      <c r="B8" s="463"/>
      <c r="C8" s="463"/>
      <c r="D8" s="463"/>
      <c r="E8" s="463"/>
      <c r="F8" s="279"/>
      <c r="G8" s="279"/>
      <c r="H8" s="279"/>
      <c r="I8" s="279"/>
      <c r="J8" s="279"/>
    </row>
    <row r="9" spans="1:10" ht="12.75" customHeight="1">
      <c r="A9" s="281"/>
      <c r="B9" s="281"/>
      <c r="C9" s="281"/>
      <c r="D9" s="281"/>
      <c r="E9" s="281"/>
      <c r="F9" s="282"/>
      <c r="G9" s="282"/>
      <c r="H9" s="282"/>
      <c r="I9" s="282"/>
      <c r="J9" s="282"/>
    </row>
    <row r="10" spans="1:10" ht="12.75" customHeight="1">
      <c r="A10" s="281"/>
      <c r="B10" s="281"/>
      <c r="C10" s="281"/>
      <c r="D10" s="281"/>
      <c r="E10" s="281"/>
      <c r="F10" s="282"/>
      <c r="G10" s="282"/>
      <c r="H10" s="282"/>
      <c r="I10" s="282"/>
      <c r="J10" s="282"/>
    </row>
    <row r="11" spans="1:10" ht="12.75" customHeight="1">
      <c r="A11" s="281"/>
      <c r="B11" s="281"/>
      <c r="C11" s="281"/>
      <c r="D11" s="281"/>
      <c r="E11" s="281"/>
      <c r="F11" s="282"/>
      <c r="G11" s="282"/>
      <c r="H11" s="282"/>
      <c r="I11" s="282"/>
      <c r="J11" s="282"/>
    </row>
    <row r="12" spans="1:10" ht="12.75" customHeight="1">
      <c r="A12" s="281"/>
      <c r="B12" s="281"/>
      <c r="C12" s="281"/>
      <c r="D12" s="281"/>
      <c r="E12" s="281"/>
      <c r="F12" s="282"/>
      <c r="G12" s="282"/>
      <c r="H12" s="282"/>
      <c r="I12" s="282"/>
      <c r="J12" s="282"/>
    </row>
    <row r="13" spans="1:10" ht="12.75" customHeight="1">
      <c r="A13" s="281"/>
      <c r="B13" s="281"/>
      <c r="C13" s="281"/>
      <c r="D13" s="281"/>
      <c r="E13" s="281"/>
      <c r="F13" s="282"/>
      <c r="G13" s="282"/>
      <c r="H13" s="282"/>
      <c r="I13" s="282"/>
      <c r="J13" s="282"/>
    </row>
    <row r="14" spans="1:10" ht="12.75" customHeight="1">
      <c r="A14" s="281"/>
      <c r="B14" s="281"/>
      <c r="C14" s="281"/>
      <c r="D14" s="281"/>
      <c r="E14" s="281"/>
      <c r="F14" s="282"/>
      <c r="G14" s="282"/>
      <c r="H14" s="282"/>
      <c r="I14" s="282"/>
      <c r="J14" s="282"/>
    </row>
    <row r="15" spans="1:10" ht="12.75" customHeight="1">
      <c r="A15" s="281"/>
      <c r="B15" s="281"/>
      <c r="C15" s="281"/>
      <c r="D15" s="281"/>
      <c r="E15" s="281"/>
      <c r="F15" s="282"/>
      <c r="G15" s="282"/>
      <c r="H15" s="282"/>
      <c r="I15" s="282"/>
      <c r="J15" s="282"/>
    </row>
    <row r="16" spans="1:10" ht="12.75" customHeight="1">
      <c r="A16" s="281"/>
      <c r="B16" s="281"/>
      <c r="C16" s="281"/>
      <c r="D16" s="281"/>
      <c r="E16" s="281"/>
      <c r="F16" s="282"/>
      <c r="G16" s="282"/>
      <c r="H16" s="282"/>
      <c r="I16" s="282"/>
      <c r="J16" s="282"/>
    </row>
    <row r="17" spans="1:10" ht="12.75" customHeight="1">
      <c r="A17" s="281"/>
      <c r="B17" s="281"/>
      <c r="C17" s="281"/>
      <c r="D17" s="281"/>
      <c r="E17" s="281"/>
      <c r="F17" s="282"/>
      <c r="G17" s="282"/>
      <c r="H17" s="282"/>
      <c r="I17" s="282"/>
      <c r="J17" s="282"/>
    </row>
    <row r="18" spans="1:10" ht="12.75" customHeight="1">
      <c r="A18" s="281"/>
      <c r="B18" s="281"/>
      <c r="C18" s="281"/>
      <c r="D18" s="281"/>
      <c r="E18" s="281"/>
      <c r="F18" s="282"/>
      <c r="G18" s="282"/>
      <c r="H18" s="282"/>
      <c r="I18" s="282"/>
      <c r="J18" s="282"/>
    </row>
    <row r="19" spans="1:10" ht="12.75" customHeight="1">
      <c r="A19" s="281"/>
      <c r="B19" s="281"/>
      <c r="C19" s="281"/>
      <c r="D19" s="281"/>
      <c r="E19" s="281"/>
      <c r="F19" s="282"/>
      <c r="G19" s="282"/>
      <c r="H19" s="282"/>
      <c r="I19" s="282"/>
      <c r="J19" s="282"/>
    </row>
    <row r="20" spans="1:10" ht="12.75" customHeight="1">
      <c r="A20" s="281"/>
      <c r="B20" s="281"/>
      <c r="C20" s="281"/>
      <c r="D20" s="281"/>
      <c r="E20" s="281"/>
      <c r="F20" s="282"/>
      <c r="G20" s="282"/>
      <c r="H20" s="282"/>
      <c r="I20" s="282"/>
      <c r="J20" s="282"/>
    </row>
    <row r="21" spans="1:10" ht="12.75" customHeight="1">
      <c r="A21" s="281"/>
      <c r="B21" s="281"/>
      <c r="C21" s="281"/>
      <c r="D21" s="281"/>
      <c r="E21" s="281"/>
      <c r="F21" s="282"/>
      <c r="G21" s="282"/>
      <c r="H21" s="282"/>
      <c r="I21" s="282"/>
      <c r="J21" s="282"/>
    </row>
    <row r="22" spans="1:10" ht="12.75" customHeight="1">
      <c r="A22" s="281"/>
      <c r="B22" s="281"/>
      <c r="C22" s="281"/>
      <c r="D22" s="281"/>
      <c r="E22" s="281"/>
      <c r="F22" s="282"/>
      <c r="G22" s="282"/>
      <c r="H22" s="282"/>
      <c r="I22" s="282"/>
      <c r="J22" s="282"/>
    </row>
    <row r="23" spans="1:10" ht="12.75" customHeight="1">
      <c r="A23" s="281"/>
      <c r="B23" s="281"/>
      <c r="C23" s="281"/>
      <c r="D23" s="281"/>
      <c r="E23" s="281"/>
      <c r="F23" s="282"/>
      <c r="G23" s="282"/>
      <c r="H23" s="282"/>
      <c r="I23" s="282"/>
      <c r="J23" s="282"/>
    </row>
    <row r="24" spans="1:10" ht="12.75" customHeight="1">
      <c r="A24" s="281"/>
      <c r="B24" s="281"/>
      <c r="C24" s="281"/>
      <c r="D24" s="281"/>
      <c r="E24" s="281"/>
      <c r="F24" s="282"/>
      <c r="G24" s="282"/>
      <c r="H24" s="282"/>
      <c r="I24" s="282"/>
      <c r="J24" s="282"/>
    </row>
    <row r="25" spans="1:10" ht="12.75" customHeight="1">
      <c r="A25" s="281"/>
      <c r="B25" s="281"/>
      <c r="C25" s="281"/>
      <c r="D25" s="281"/>
      <c r="E25" s="281"/>
      <c r="F25" s="282"/>
      <c r="G25" s="282"/>
      <c r="H25" s="282"/>
      <c r="I25" s="282"/>
      <c r="J25" s="282"/>
    </row>
    <row r="26" spans="1:10" ht="12.75" customHeight="1">
      <c r="A26" s="281"/>
      <c r="B26" s="281"/>
      <c r="C26" s="281"/>
      <c r="D26" s="281"/>
      <c r="E26" s="281"/>
      <c r="F26" s="282"/>
      <c r="G26" s="282"/>
      <c r="H26" s="282"/>
      <c r="I26" s="282"/>
      <c r="J26" s="282"/>
    </row>
    <row r="27" spans="1:10" ht="12.75" customHeight="1">
      <c r="A27" s="281"/>
      <c r="B27" s="281"/>
      <c r="C27" s="281"/>
      <c r="D27" s="281"/>
      <c r="E27" s="281"/>
      <c r="F27" s="282"/>
      <c r="G27" s="282"/>
      <c r="H27" s="282"/>
      <c r="I27" s="282"/>
      <c r="J27" s="282"/>
    </row>
    <row r="28" spans="1:10" ht="12.75" customHeight="1">
      <c r="A28" s="281"/>
      <c r="B28" s="281"/>
      <c r="C28" s="281"/>
      <c r="D28" s="281"/>
      <c r="E28" s="281"/>
      <c r="F28" s="282"/>
      <c r="G28" s="282"/>
      <c r="H28" s="282"/>
      <c r="I28" s="282"/>
      <c r="J28" s="282"/>
    </row>
    <row r="29" spans="1:10" ht="12.75" customHeight="1">
      <c r="A29" s="281"/>
      <c r="B29" s="281"/>
      <c r="C29" s="281"/>
      <c r="D29" s="281"/>
      <c r="E29" s="281"/>
      <c r="F29" s="282"/>
      <c r="G29" s="282"/>
      <c r="H29" s="282"/>
      <c r="I29" s="282"/>
      <c r="J29" s="282"/>
    </row>
    <row r="30" spans="1:10" ht="12.75" customHeight="1">
      <c r="A30" s="281"/>
      <c r="B30" s="281"/>
      <c r="C30" s="281"/>
      <c r="D30" s="281"/>
      <c r="E30" s="281"/>
      <c r="F30" s="282"/>
      <c r="G30" s="282"/>
      <c r="H30" s="282"/>
      <c r="I30" s="282"/>
      <c r="J30" s="282"/>
    </row>
    <row r="31" spans="1:10" ht="12.75" customHeight="1">
      <c r="A31" s="281"/>
      <c r="B31" s="281"/>
      <c r="C31" s="281"/>
      <c r="D31" s="281"/>
      <c r="E31" s="281"/>
      <c r="F31" s="282"/>
      <c r="G31" s="282"/>
      <c r="H31" s="282"/>
      <c r="I31" s="282"/>
      <c r="J31" s="282"/>
    </row>
    <row r="32" spans="1:10" ht="12.75" customHeight="1">
      <c r="A32" s="281"/>
      <c r="B32" s="281"/>
      <c r="C32" s="281"/>
      <c r="D32" s="281"/>
      <c r="E32" s="281"/>
      <c r="F32" s="282"/>
      <c r="G32" s="282"/>
      <c r="H32" s="282"/>
      <c r="I32" s="282"/>
      <c r="J32" s="282"/>
    </row>
    <row r="33" spans="1:10" ht="12.75" customHeight="1">
      <c r="A33" s="281"/>
      <c r="B33" s="281"/>
      <c r="C33" s="281"/>
      <c r="D33" s="281"/>
      <c r="E33" s="281"/>
      <c r="F33" s="282"/>
      <c r="G33" s="282"/>
      <c r="H33" s="282"/>
      <c r="I33" s="282"/>
      <c r="J33" s="282"/>
    </row>
    <row r="34" spans="1:10" ht="12.75" customHeight="1">
      <c r="A34" s="281"/>
      <c r="B34" s="281"/>
      <c r="C34" s="281"/>
      <c r="D34" s="281"/>
      <c r="E34" s="281"/>
      <c r="F34" s="282"/>
      <c r="G34" s="282"/>
      <c r="H34" s="282"/>
      <c r="I34" s="282"/>
      <c r="J34" s="282"/>
    </row>
    <row r="35" spans="1:10" ht="12.75" customHeight="1">
      <c r="A35" s="281"/>
      <c r="B35" s="281"/>
      <c r="C35" s="281"/>
      <c r="D35" s="281"/>
      <c r="E35" s="281"/>
      <c r="F35" s="282"/>
      <c r="G35" s="282"/>
      <c r="H35" s="282"/>
      <c r="I35" s="282"/>
      <c r="J35" s="282"/>
    </row>
    <row r="36" spans="1:10" ht="12.75" customHeight="1">
      <c r="A36" s="281"/>
      <c r="B36" s="281"/>
      <c r="C36" s="281"/>
      <c r="D36" s="281"/>
      <c r="E36" s="281"/>
      <c r="F36" s="282"/>
      <c r="G36" s="282"/>
      <c r="H36" s="282"/>
      <c r="I36" s="282"/>
      <c r="J36" s="282"/>
    </row>
    <row r="37" spans="1:10" ht="11.25" customHeight="1">
      <c r="A37" s="279" t="s">
        <v>77</v>
      </c>
      <c r="B37" s="283"/>
      <c r="C37" s="283"/>
      <c r="D37" s="283"/>
      <c r="E37" s="283"/>
      <c r="F37" s="279"/>
      <c r="G37" s="279"/>
      <c r="H37" s="279"/>
      <c r="I37" s="279"/>
      <c r="J37" s="279"/>
    </row>
    <row r="38" spans="1:10" ht="11.25" customHeight="1">
      <c r="A38" s="140" t="s">
        <v>198</v>
      </c>
      <c r="B38" s="283"/>
      <c r="C38" s="283"/>
      <c r="D38" s="283"/>
      <c r="E38" s="283"/>
      <c r="F38" s="279"/>
      <c r="G38" s="279"/>
      <c r="H38" s="279"/>
      <c r="I38" s="279"/>
      <c r="J38" s="279"/>
    </row>
    <row r="39" spans="1:10" ht="11.25" customHeight="1">
      <c r="A39" s="140" t="s">
        <v>208</v>
      </c>
      <c r="B39" s="283"/>
      <c r="C39" s="283"/>
      <c r="D39" s="283"/>
      <c r="E39" s="283"/>
      <c r="F39" s="279"/>
      <c r="G39" s="279"/>
      <c r="H39" s="279"/>
      <c r="I39" s="279"/>
      <c r="J39" s="279"/>
    </row>
    <row r="40" spans="1:10" ht="11.25" customHeight="1">
      <c r="A40" s="464" t="s">
        <v>129</v>
      </c>
      <c r="B40" s="465"/>
      <c r="C40" s="465"/>
      <c r="D40" s="465"/>
      <c r="E40" s="465"/>
      <c r="F40" s="465"/>
      <c r="G40" s="465"/>
      <c r="H40" s="465"/>
      <c r="I40" s="465"/>
      <c r="J40" s="466"/>
    </row>
    <row r="41" spans="1:10" ht="11.25" customHeight="1">
      <c r="A41" s="467" t="s">
        <v>218</v>
      </c>
      <c r="B41" s="468"/>
      <c r="C41" s="468"/>
      <c r="D41" s="468"/>
      <c r="E41" s="468"/>
      <c r="F41" s="468"/>
      <c r="G41" s="468"/>
      <c r="H41" s="468"/>
      <c r="I41" s="468"/>
      <c r="J41" s="469"/>
    </row>
    <row r="42" spans="1:10" ht="15" customHeight="1">
      <c r="A42" s="279" t="s">
        <v>212</v>
      </c>
      <c r="B42" s="284"/>
      <c r="C42" s="284"/>
      <c r="D42" s="284"/>
      <c r="E42" s="284"/>
      <c r="F42" s="284"/>
      <c r="G42" s="284"/>
      <c r="H42" s="278"/>
      <c r="I42" s="279"/>
      <c r="J42" s="279"/>
    </row>
    <row r="46" spans="1:10">
      <c r="A46" s="285"/>
      <c r="B46" s="285"/>
      <c r="C46" s="285"/>
      <c r="D46" s="285"/>
      <c r="E46" s="285"/>
    </row>
    <row r="47" spans="1:10" ht="51">
      <c r="A47" s="286"/>
      <c r="B47" s="287" t="s">
        <v>81</v>
      </c>
      <c r="C47" s="287" t="s">
        <v>80</v>
      </c>
      <c r="D47" s="287" t="s">
        <v>56</v>
      </c>
      <c r="E47" s="288" t="s">
        <v>79</v>
      </c>
    </row>
    <row r="48" spans="1:10" ht="11.25" customHeight="1">
      <c r="A48" s="289" t="s">
        <v>82</v>
      </c>
      <c r="B48" s="290">
        <v>1267.2</v>
      </c>
      <c r="C48" s="290">
        <v>1267.2</v>
      </c>
      <c r="D48" s="290">
        <v>1188</v>
      </c>
      <c r="E48" s="291">
        <v>811.8</v>
      </c>
    </row>
    <row r="49" spans="1:5" ht="11.25" customHeight="1">
      <c r="A49" s="292" t="s">
        <v>72</v>
      </c>
      <c r="B49" s="293">
        <v>1200</v>
      </c>
      <c r="C49" s="293">
        <v>1200</v>
      </c>
      <c r="D49" s="293">
        <v>1000</v>
      </c>
      <c r="E49" s="294">
        <v>800</v>
      </c>
    </row>
    <row r="50" spans="1:5" ht="11.25" customHeight="1">
      <c r="A50" s="295" t="s">
        <v>37</v>
      </c>
      <c r="B50" s="296">
        <v>1063.5552077238151</v>
      </c>
      <c r="C50" s="296">
        <v>1063.5552077238151</v>
      </c>
      <c r="D50" s="296">
        <v>1063.5552077238151</v>
      </c>
      <c r="E50" s="297">
        <v>1063.5552077238151</v>
      </c>
    </row>
    <row r="51" spans="1:5" ht="11.25" customHeight="1">
      <c r="A51" s="292" t="s">
        <v>73</v>
      </c>
      <c r="B51" s="293">
        <v>1020</v>
      </c>
      <c r="C51" s="293">
        <v>1020</v>
      </c>
      <c r="D51" s="293">
        <v>1020</v>
      </c>
      <c r="E51" s="294">
        <v>1520</v>
      </c>
    </row>
    <row r="52" spans="1:5" ht="11.25" customHeight="1">
      <c r="A52" s="295" t="s">
        <v>196</v>
      </c>
      <c r="B52" s="296">
        <v>965.67012</v>
      </c>
      <c r="C52" s="296">
        <v>966.36311999999998</v>
      </c>
      <c r="D52" s="296">
        <v>1004.3748000000001</v>
      </c>
      <c r="E52" s="297">
        <v>1010.7090000000001</v>
      </c>
    </row>
    <row r="53" spans="1:5" ht="11.25" customHeight="1">
      <c r="A53" s="292" t="s">
        <v>128</v>
      </c>
      <c r="B53" s="293">
        <v>855</v>
      </c>
      <c r="C53" s="293">
        <v>855</v>
      </c>
      <c r="D53" s="293">
        <v>855</v>
      </c>
      <c r="E53" s="294">
        <v>855</v>
      </c>
    </row>
    <row r="54" spans="1:5" ht="11.25" customHeight="1">
      <c r="A54" s="295" t="s">
        <v>19</v>
      </c>
      <c r="B54" s="296">
        <v>837.90000000000009</v>
      </c>
      <c r="C54" s="296">
        <v>1046.6666666666661</v>
      </c>
      <c r="D54" s="296">
        <v>800</v>
      </c>
      <c r="E54" s="297">
        <v>532</v>
      </c>
    </row>
    <row r="55" spans="1:5" ht="11.25" customHeight="1">
      <c r="A55" s="292" t="s">
        <v>18</v>
      </c>
      <c r="B55" s="293">
        <v>797.28161882472796</v>
      </c>
      <c r="C55" s="293">
        <v>797.28161882472796</v>
      </c>
      <c r="D55" s="293">
        <v>865.26860492495666</v>
      </c>
      <c r="E55" s="294">
        <v>903.24666835803009</v>
      </c>
    </row>
    <row r="56" spans="1:5" ht="11.25" customHeight="1">
      <c r="A56" s="295" t="s">
        <v>10</v>
      </c>
      <c r="B56" s="296">
        <v>760</v>
      </c>
      <c r="C56" s="296">
        <v>840.40000000000009</v>
      </c>
      <c r="D56" s="296">
        <v>921.59999999999991</v>
      </c>
      <c r="E56" s="297"/>
    </row>
    <row r="57" spans="1:5" ht="11.25" customHeight="1">
      <c r="A57" s="292" t="s">
        <v>9</v>
      </c>
      <c r="B57" s="293">
        <v>750</v>
      </c>
      <c r="C57" s="293">
        <v>750</v>
      </c>
      <c r="D57" s="293">
        <v>930</v>
      </c>
      <c r="E57" s="294">
        <v>930</v>
      </c>
    </row>
    <row r="58" spans="1:5" ht="11.25" customHeight="1">
      <c r="A58" s="295" t="s">
        <v>46</v>
      </c>
      <c r="B58" s="296">
        <v>745.7403076282186</v>
      </c>
      <c r="C58" s="296">
        <v>744.53291935095456</v>
      </c>
      <c r="D58" s="296">
        <v>797.7713045847172</v>
      </c>
      <c r="E58" s="297"/>
    </row>
    <row r="59" spans="1:5" ht="11.25" customHeight="1">
      <c r="A59" s="292" t="s">
        <v>7</v>
      </c>
      <c r="B59" s="293">
        <v>721.6</v>
      </c>
      <c r="C59" s="293">
        <v>721.6</v>
      </c>
      <c r="D59" s="293">
        <v>910</v>
      </c>
      <c r="E59" s="294"/>
    </row>
    <row r="60" spans="1:5" ht="11.25" customHeight="1">
      <c r="A60" s="295" t="s">
        <v>5</v>
      </c>
      <c r="B60" s="296">
        <v>719.32343858851857</v>
      </c>
      <c r="C60" s="296">
        <v>747.40942004589363</v>
      </c>
      <c r="D60" s="296">
        <v>800.53658579721048</v>
      </c>
      <c r="E60" s="297">
        <v>1755</v>
      </c>
    </row>
    <row r="61" spans="1:5" ht="11.25" customHeight="1">
      <c r="A61" s="292" t="s">
        <v>13</v>
      </c>
      <c r="B61" s="293">
        <v>692.55</v>
      </c>
      <c r="C61" s="293">
        <v>712.8</v>
      </c>
      <c r="D61" s="293">
        <v>880</v>
      </c>
      <c r="E61" s="294">
        <v>880</v>
      </c>
    </row>
    <row r="62" spans="1:5" ht="11.25" customHeight="1">
      <c r="A62" s="295" t="s">
        <v>4</v>
      </c>
      <c r="B62" s="296">
        <v>684</v>
      </c>
      <c r="C62" s="296">
        <v>684</v>
      </c>
      <c r="D62" s="296">
        <v>900</v>
      </c>
      <c r="E62" s="297">
        <v>900</v>
      </c>
    </row>
    <row r="63" spans="1:5" ht="11.25" customHeight="1">
      <c r="A63" s="292" t="s">
        <v>38</v>
      </c>
      <c r="B63" s="293">
        <v>656.77700615619938</v>
      </c>
      <c r="C63" s="293">
        <v>703.36639465923895</v>
      </c>
      <c r="D63" s="293">
        <v>783.63763660052666</v>
      </c>
      <c r="E63" s="294">
        <v>1044.2226436784008</v>
      </c>
    </row>
    <row r="64" spans="1:5" ht="11.25" customHeight="1">
      <c r="A64" s="295" t="s">
        <v>17</v>
      </c>
      <c r="B64" s="296">
        <v>651.6</v>
      </c>
      <c r="C64" s="296">
        <v>655.20000000000005</v>
      </c>
      <c r="D64" s="296">
        <v>655.20000000000005</v>
      </c>
      <c r="E64" s="297">
        <v>1344</v>
      </c>
    </row>
    <row r="65" spans="1:5" ht="11.25" customHeight="1">
      <c r="A65" s="292" t="s">
        <v>15</v>
      </c>
      <c r="B65" s="293">
        <v>646</v>
      </c>
      <c r="C65" s="293">
        <v>760</v>
      </c>
      <c r="D65" s="293">
        <v>817</v>
      </c>
      <c r="E65" s="294">
        <v>778.99999999999989</v>
      </c>
    </row>
    <row r="66" spans="1:5" ht="11.25" customHeight="1">
      <c r="A66" s="295" t="s">
        <v>126</v>
      </c>
      <c r="B66" s="296">
        <v>634.81670077934746</v>
      </c>
      <c r="C66" s="296">
        <v>667.9648876689613</v>
      </c>
      <c r="D66" s="296">
        <v>762.4507181787493</v>
      </c>
      <c r="E66" s="297">
        <v>1093.3545315904139</v>
      </c>
    </row>
    <row r="67" spans="1:5" ht="11.25" customHeight="1">
      <c r="A67" s="292" t="s">
        <v>8</v>
      </c>
      <c r="B67" s="293">
        <v>626.4</v>
      </c>
      <c r="C67" s="293">
        <v>626.4</v>
      </c>
      <c r="D67" s="293">
        <v>765.6</v>
      </c>
      <c r="E67" s="294">
        <v>945</v>
      </c>
    </row>
    <row r="68" spans="1:5" ht="11.25" customHeight="1">
      <c r="A68" s="295" t="s">
        <v>12</v>
      </c>
      <c r="B68" s="296">
        <v>616</v>
      </c>
      <c r="C68" s="296">
        <v>616</v>
      </c>
      <c r="D68" s="296">
        <v>778.5</v>
      </c>
      <c r="E68" s="297">
        <v>935</v>
      </c>
    </row>
    <row r="69" spans="1:5" ht="11.25" customHeight="1">
      <c r="A69" s="292" t="s">
        <v>32</v>
      </c>
      <c r="B69" s="293">
        <v>609.74471713184903</v>
      </c>
      <c r="C69" s="293">
        <v>698.87170663429129</v>
      </c>
      <c r="D69" s="293">
        <v>843.34742197468893</v>
      </c>
      <c r="E69" s="294">
        <v>1030.7532603345974</v>
      </c>
    </row>
    <row r="70" spans="1:5" ht="11.25" customHeight="1">
      <c r="A70" s="295" t="s">
        <v>83</v>
      </c>
      <c r="B70" s="296">
        <v>603</v>
      </c>
      <c r="C70" s="296">
        <v>612</v>
      </c>
      <c r="D70" s="296">
        <v>576</v>
      </c>
      <c r="E70" s="297">
        <v>640</v>
      </c>
    </row>
    <row r="71" spans="1:5" ht="11.25" customHeight="1">
      <c r="A71" s="292" t="s">
        <v>156</v>
      </c>
      <c r="B71" s="293">
        <v>596.07000000000005</v>
      </c>
      <c r="C71" s="293">
        <v>656.93</v>
      </c>
      <c r="D71" s="293">
        <v>716</v>
      </c>
      <c r="E71" s="294">
        <v>775.07</v>
      </c>
    </row>
    <row r="72" spans="1:5" ht="11.25" customHeight="1">
      <c r="A72" s="295" t="s">
        <v>6</v>
      </c>
      <c r="B72" s="296">
        <v>593.91750000000002</v>
      </c>
      <c r="C72" s="296">
        <v>608.92500000000007</v>
      </c>
      <c r="D72" s="296">
        <v>660</v>
      </c>
      <c r="E72" s="297">
        <v>821.92</v>
      </c>
    </row>
    <row r="73" spans="1:5" ht="11.25" customHeight="1">
      <c r="A73" s="292" t="s">
        <v>28</v>
      </c>
      <c r="B73" s="293">
        <v>589.04999999999995</v>
      </c>
      <c r="C73" s="293">
        <v>617.1</v>
      </c>
      <c r="D73" s="293">
        <v>617.1</v>
      </c>
      <c r="E73" s="294">
        <v>1333</v>
      </c>
    </row>
    <row r="74" spans="1:5" ht="11.25" customHeight="1">
      <c r="A74" s="295" t="s">
        <v>1</v>
      </c>
      <c r="B74" s="296">
        <v>588.6</v>
      </c>
      <c r="C74" s="296">
        <v>606.6</v>
      </c>
      <c r="D74" s="296">
        <v>779.4</v>
      </c>
      <c r="E74" s="297"/>
    </row>
    <row r="75" spans="1:5" ht="11.25" customHeight="1">
      <c r="A75" s="292" t="s">
        <v>39</v>
      </c>
      <c r="B75" s="293">
        <v>570</v>
      </c>
      <c r="C75" s="293">
        <v>627</v>
      </c>
      <c r="D75" s="293">
        <v>627</v>
      </c>
      <c r="E75" s="294">
        <v>1314</v>
      </c>
    </row>
    <row r="76" spans="1:5" ht="11.25" customHeight="1">
      <c r="A76" s="295" t="s">
        <v>41</v>
      </c>
      <c r="B76" s="296">
        <v>567.6</v>
      </c>
      <c r="C76" s="296">
        <v>602</v>
      </c>
      <c r="D76" s="296">
        <v>584.79999999999995</v>
      </c>
      <c r="E76" s="297">
        <v>1320</v>
      </c>
    </row>
    <row r="77" spans="1:5" ht="11.25" customHeight="1">
      <c r="A77" s="292" t="s">
        <v>29</v>
      </c>
      <c r="B77" s="293">
        <v>567</v>
      </c>
      <c r="C77" s="293">
        <v>652.05000000000007</v>
      </c>
      <c r="D77" s="293">
        <v>793.80000000000007</v>
      </c>
      <c r="E77" s="294">
        <v>1149.5</v>
      </c>
    </row>
    <row r="78" spans="1:5" ht="11.25" customHeight="1">
      <c r="A78" s="295" t="s">
        <v>30</v>
      </c>
      <c r="B78" s="296">
        <v>550.72526320890734</v>
      </c>
      <c r="C78" s="296">
        <v>533.2314601752048</v>
      </c>
      <c r="D78" s="296">
        <v>671.13440503421725</v>
      </c>
      <c r="E78" s="297">
        <v>543.49756218494338</v>
      </c>
    </row>
    <row r="79" spans="1:5" ht="11.25" customHeight="1">
      <c r="A79" s="292" t="s">
        <v>3</v>
      </c>
      <c r="B79" s="293">
        <v>547.16200000000003</v>
      </c>
      <c r="C79" s="293">
        <v>589.04999999999995</v>
      </c>
      <c r="D79" s="293">
        <v>673.2</v>
      </c>
      <c r="E79" s="294"/>
    </row>
    <row r="80" spans="1:5" ht="11.25" customHeight="1">
      <c r="A80" s="295" t="s">
        <v>11</v>
      </c>
      <c r="B80" s="296">
        <v>522.5</v>
      </c>
      <c r="C80" s="296">
        <v>663.1</v>
      </c>
      <c r="D80" s="296">
        <v>741</v>
      </c>
      <c r="E80" s="297"/>
    </row>
    <row r="81" spans="1:5" ht="11.25" customHeight="1">
      <c r="A81" s="292" t="s">
        <v>223</v>
      </c>
      <c r="B81" s="293">
        <v>510.75700000000001</v>
      </c>
      <c r="C81" s="293">
        <v>609.910571</v>
      </c>
      <c r="D81" s="293">
        <v>742.09590000000003</v>
      </c>
      <c r="E81" s="294"/>
    </row>
    <row r="82" spans="1:5" ht="11.25" customHeight="1">
      <c r="A82" s="295" t="s">
        <v>16</v>
      </c>
      <c r="B82" s="296">
        <v>503.99999999999994</v>
      </c>
      <c r="C82" s="296">
        <v>503.99999999999994</v>
      </c>
      <c r="D82" s="296">
        <v>720</v>
      </c>
      <c r="E82" s="297">
        <v>1080</v>
      </c>
    </row>
    <row r="83" spans="1:5" ht="11.25" customHeight="1">
      <c r="A83" s="292" t="s">
        <v>155</v>
      </c>
      <c r="B83" s="293">
        <v>497.77777777777777</v>
      </c>
      <c r="C83" s="293">
        <v>533.33333333333337</v>
      </c>
      <c r="D83" s="293">
        <v>739.02777777777783</v>
      </c>
      <c r="E83" s="294">
        <v>724.53703703703707</v>
      </c>
    </row>
    <row r="84" spans="1:5" ht="11.25" customHeight="1">
      <c r="A84" s="295" t="s">
        <v>20</v>
      </c>
      <c r="B84" s="296">
        <v>485.39325842696627</v>
      </c>
      <c r="C84" s="296">
        <v>623.88</v>
      </c>
      <c r="D84" s="296">
        <v>623.88</v>
      </c>
      <c r="E84" s="297">
        <v>1620</v>
      </c>
    </row>
    <row r="85" spans="1:5" ht="11.25" customHeight="1">
      <c r="A85" s="292" t="s">
        <v>31</v>
      </c>
      <c r="B85" s="293">
        <v>472.50000000000006</v>
      </c>
      <c r="C85" s="293">
        <v>477.90000000000003</v>
      </c>
      <c r="D85" s="293">
        <v>563.85</v>
      </c>
      <c r="E85" s="294">
        <v>1085</v>
      </c>
    </row>
    <row r="86" spans="1:5" ht="11.25" customHeight="1">
      <c r="A86" s="298" t="s">
        <v>2</v>
      </c>
      <c r="B86" s="299">
        <v>405</v>
      </c>
      <c r="C86" s="299"/>
      <c r="D86" s="299"/>
      <c r="E86" s="300"/>
    </row>
    <row r="87" spans="1:5">
      <c r="A87" s="292" t="s">
        <v>210</v>
      </c>
      <c r="B87" s="293">
        <v>655.24052026602226</v>
      </c>
      <c r="C87" s="293">
        <v>700.67914775749659</v>
      </c>
      <c r="D87" s="293">
        <v>777.53064728874654</v>
      </c>
      <c r="E87" s="294">
        <v>1029.2514346532748</v>
      </c>
    </row>
    <row r="88" spans="1:5">
      <c r="A88" s="298" t="s">
        <v>211</v>
      </c>
      <c r="B88" s="299">
        <v>633.37048710755892</v>
      </c>
      <c r="C88" s="299">
        <v>665.29989301805836</v>
      </c>
      <c r="D88" s="299">
        <v>753.57211255118978</v>
      </c>
      <c r="E88" s="300">
        <v>1068.1681687242799</v>
      </c>
    </row>
  </sheetData>
  <mergeCells count="5">
    <mergeCell ref="A6:G6"/>
    <mergeCell ref="A7:G7"/>
    <mergeCell ref="A8:E8"/>
    <mergeCell ref="A40:J40"/>
    <mergeCell ref="A41:J41"/>
  </mergeCells>
  <hyperlinks>
    <hyperlink ref="A1" r:id="rId1" display="https://doi.org/10.1787/eag-2018-en"/>
    <hyperlink ref="A4" r:id="rId2"/>
  </hyperlinks>
  <pageMargins left="0.7" right="0.7" top="0.75" bottom="0.75" header="0.3" footer="0.3"/>
  <pageSetup paperSize="9" scale="60" orientation="portrait" r:id="rId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L78"/>
  <sheetViews>
    <sheetView showGridLines="0" workbookViewId="0"/>
  </sheetViews>
  <sheetFormatPr defaultRowHeight="13.2"/>
  <cols>
    <col min="1" max="1" width="20.125" style="280" customWidth="1"/>
    <col min="2" max="3" width="8.25" style="280" customWidth="1"/>
    <col min="4" max="5" width="0" style="280" hidden="1" customWidth="1"/>
    <col min="6" max="6" width="8.125" style="280" customWidth="1"/>
    <col min="7" max="7" width="9" style="280" customWidth="1"/>
    <col min="8" max="8" width="13.75" style="280" customWidth="1"/>
    <col min="9" max="9" width="9" style="280"/>
    <col min="10" max="10" width="9" style="280" customWidth="1"/>
    <col min="11" max="256" width="9" style="280"/>
    <col min="257" max="257" width="20.125" style="280" customWidth="1"/>
    <col min="258" max="259" width="8.25" style="280" customWidth="1"/>
    <col min="260" max="261" width="0" style="280" hidden="1" customWidth="1"/>
    <col min="262" max="262" width="8.125" style="280" customWidth="1"/>
    <col min="263" max="263" width="9" style="280" customWidth="1"/>
    <col min="264" max="264" width="13.75" style="280" customWidth="1"/>
    <col min="265" max="265" width="9" style="280"/>
    <col min="266" max="266" width="9" style="280" customWidth="1"/>
    <col min="267" max="512" width="9" style="280"/>
    <col min="513" max="513" width="20.125" style="280" customWidth="1"/>
    <col min="514" max="515" width="8.25" style="280" customWidth="1"/>
    <col min="516" max="517" width="0" style="280" hidden="1" customWidth="1"/>
    <col min="518" max="518" width="8.125" style="280" customWidth="1"/>
    <col min="519" max="519" width="9" style="280" customWidth="1"/>
    <col min="520" max="520" width="13.75" style="280" customWidth="1"/>
    <col min="521" max="521" width="9" style="280"/>
    <col min="522" max="522" width="9" style="280" customWidth="1"/>
    <col min="523" max="768" width="9" style="280"/>
    <col min="769" max="769" width="20.125" style="280" customWidth="1"/>
    <col min="770" max="771" width="8.25" style="280" customWidth="1"/>
    <col min="772" max="773" width="0" style="280" hidden="1" customWidth="1"/>
    <col min="774" max="774" width="8.125" style="280" customWidth="1"/>
    <col min="775" max="775" width="9" style="280" customWidth="1"/>
    <col min="776" max="776" width="13.75" style="280" customWidth="1"/>
    <col min="777" max="777" width="9" style="280"/>
    <col min="778" max="778" width="9" style="280" customWidth="1"/>
    <col min="779" max="1024" width="9" style="280"/>
    <col min="1025" max="1025" width="20.125" style="280" customWidth="1"/>
    <col min="1026" max="1027" width="8.25" style="280" customWidth="1"/>
    <col min="1028" max="1029" width="0" style="280" hidden="1" customWidth="1"/>
    <col min="1030" max="1030" width="8.125" style="280" customWidth="1"/>
    <col min="1031" max="1031" width="9" style="280" customWidth="1"/>
    <col min="1032" max="1032" width="13.75" style="280" customWidth="1"/>
    <col min="1033" max="1033" width="9" style="280"/>
    <col min="1034" max="1034" width="9" style="280" customWidth="1"/>
    <col min="1035" max="1280" width="9" style="280"/>
    <col min="1281" max="1281" width="20.125" style="280" customWidth="1"/>
    <col min="1282" max="1283" width="8.25" style="280" customWidth="1"/>
    <col min="1284" max="1285" width="0" style="280" hidden="1" customWidth="1"/>
    <col min="1286" max="1286" width="8.125" style="280" customWidth="1"/>
    <col min="1287" max="1287" width="9" style="280" customWidth="1"/>
    <col min="1288" max="1288" width="13.75" style="280" customWidth="1"/>
    <col min="1289" max="1289" width="9" style="280"/>
    <col min="1290" max="1290" width="9" style="280" customWidth="1"/>
    <col min="1291" max="1536" width="9" style="280"/>
    <col min="1537" max="1537" width="20.125" style="280" customWidth="1"/>
    <col min="1538" max="1539" width="8.25" style="280" customWidth="1"/>
    <col min="1540" max="1541" width="0" style="280" hidden="1" customWidth="1"/>
    <col min="1542" max="1542" width="8.125" style="280" customWidth="1"/>
    <col min="1543" max="1543" width="9" style="280" customWidth="1"/>
    <col min="1544" max="1544" width="13.75" style="280" customWidth="1"/>
    <col min="1545" max="1545" width="9" style="280"/>
    <col min="1546" max="1546" width="9" style="280" customWidth="1"/>
    <col min="1547" max="1792" width="9" style="280"/>
    <col min="1793" max="1793" width="20.125" style="280" customWidth="1"/>
    <col min="1794" max="1795" width="8.25" style="280" customWidth="1"/>
    <col min="1796" max="1797" width="0" style="280" hidden="1" customWidth="1"/>
    <col min="1798" max="1798" width="8.125" style="280" customWidth="1"/>
    <col min="1799" max="1799" width="9" style="280" customWidth="1"/>
    <col min="1800" max="1800" width="13.75" style="280" customWidth="1"/>
    <col min="1801" max="1801" width="9" style="280"/>
    <col min="1802" max="1802" width="9" style="280" customWidth="1"/>
    <col min="1803" max="2048" width="9" style="280"/>
    <col min="2049" max="2049" width="20.125" style="280" customWidth="1"/>
    <col min="2050" max="2051" width="8.25" style="280" customWidth="1"/>
    <col min="2052" max="2053" width="0" style="280" hidden="1" customWidth="1"/>
    <col min="2054" max="2054" width="8.125" style="280" customWidth="1"/>
    <col min="2055" max="2055" width="9" style="280" customWidth="1"/>
    <col min="2056" max="2056" width="13.75" style="280" customWidth="1"/>
    <col min="2057" max="2057" width="9" style="280"/>
    <col min="2058" max="2058" width="9" style="280" customWidth="1"/>
    <col min="2059" max="2304" width="9" style="280"/>
    <col min="2305" max="2305" width="20.125" style="280" customWidth="1"/>
    <col min="2306" max="2307" width="8.25" style="280" customWidth="1"/>
    <col min="2308" max="2309" width="0" style="280" hidden="1" customWidth="1"/>
    <col min="2310" max="2310" width="8.125" style="280" customWidth="1"/>
    <col min="2311" max="2311" width="9" style="280" customWidth="1"/>
    <col min="2312" max="2312" width="13.75" style="280" customWidth="1"/>
    <col min="2313" max="2313" width="9" style="280"/>
    <col min="2314" max="2314" width="9" style="280" customWidth="1"/>
    <col min="2315" max="2560" width="9" style="280"/>
    <col min="2561" max="2561" width="20.125" style="280" customWidth="1"/>
    <col min="2562" max="2563" width="8.25" style="280" customWidth="1"/>
    <col min="2564" max="2565" width="0" style="280" hidden="1" customWidth="1"/>
    <col min="2566" max="2566" width="8.125" style="280" customWidth="1"/>
    <col min="2567" max="2567" width="9" style="280" customWidth="1"/>
    <col min="2568" max="2568" width="13.75" style="280" customWidth="1"/>
    <col min="2569" max="2569" width="9" style="280"/>
    <col min="2570" max="2570" width="9" style="280" customWidth="1"/>
    <col min="2571" max="2816" width="9" style="280"/>
    <col min="2817" max="2817" width="20.125" style="280" customWidth="1"/>
    <col min="2818" max="2819" width="8.25" style="280" customWidth="1"/>
    <col min="2820" max="2821" width="0" style="280" hidden="1" customWidth="1"/>
    <col min="2822" max="2822" width="8.125" style="280" customWidth="1"/>
    <col min="2823" max="2823" width="9" style="280" customWidth="1"/>
    <col min="2824" max="2824" width="13.75" style="280" customWidth="1"/>
    <col min="2825" max="2825" width="9" style="280"/>
    <col min="2826" max="2826" width="9" style="280" customWidth="1"/>
    <col min="2827" max="3072" width="9" style="280"/>
    <col min="3073" max="3073" width="20.125" style="280" customWidth="1"/>
    <col min="3074" max="3075" width="8.25" style="280" customWidth="1"/>
    <col min="3076" max="3077" width="0" style="280" hidden="1" customWidth="1"/>
    <col min="3078" max="3078" width="8.125" style="280" customWidth="1"/>
    <col min="3079" max="3079" width="9" style="280" customWidth="1"/>
    <col min="3080" max="3080" width="13.75" style="280" customWidth="1"/>
    <col min="3081" max="3081" width="9" style="280"/>
    <col min="3082" max="3082" width="9" style="280" customWidth="1"/>
    <col min="3083" max="3328" width="9" style="280"/>
    <col min="3329" max="3329" width="20.125" style="280" customWidth="1"/>
    <col min="3330" max="3331" width="8.25" style="280" customWidth="1"/>
    <col min="3332" max="3333" width="0" style="280" hidden="1" customWidth="1"/>
    <col min="3334" max="3334" width="8.125" style="280" customWidth="1"/>
    <col min="3335" max="3335" width="9" style="280" customWidth="1"/>
    <col min="3336" max="3336" width="13.75" style="280" customWidth="1"/>
    <col min="3337" max="3337" width="9" style="280"/>
    <col min="3338" max="3338" width="9" style="280" customWidth="1"/>
    <col min="3339" max="3584" width="9" style="280"/>
    <col min="3585" max="3585" width="20.125" style="280" customWidth="1"/>
    <col min="3586" max="3587" width="8.25" style="280" customWidth="1"/>
    <col min="3588" max="3589" width="0" style="280" hidden="1" customWidth="1"/>
    <col min="3590" max="3590" width="8.125" style="280" customWidth="1"/>
    <col min="3591" max="3591" width="9" style="280" customWidth="1"/>
    <col min="3592" max="3592" width="13.75" style="280" customWidth="1"/>
    <col min="3593" max="3593" width="9" style="280"/>
    <col min="3594" max="3594" width="9" style="280" customWidth="1"/>
    <col min="3595" max="3840" width="9" style="280"/>
    <col min="3841" max="3841" width="20.125" style="280" customWidth="1"/>
    <col min="3842" max="3843" width="8.25" style="280" customWidth="1"/>
    <col min="3844" max="3845" width="0" style="280" hidden="1" customWidth="1"/>
    <col min="3846" max="3846" width="8.125" style="280" customWidth="1"/>
    <col min="3847" max="3847" width="9" style="280" customWidth="1"/>
    <col min="3848" max="3848" width="13.75" style="280" customWidth="1"/>
    <col min="3849" max="3849" width="9" style="280"/>
    <col min="3850" max="3850" width="9" style="280" customWidth="1"/>
    <col min="3851" max="4096" width="9" style="280"/>
    <col min="4097" max="4097" width="20.125" style="280" customWidth="1"/>
    <col min="4098" max="4099" width="8.25" style="280" customWidth="1"/>
    <col min="4100" max="4101" width="0" style="280" hidden="1" customWidth="1"/>
    <col min="4102" max="4102" width="8.125" style="280" customWidth="1"/>
    <col min="4103" max="4103" width="9" style="280" customWidth="1"/>
    <col min="4104" max="4104" width="13.75" style="280" customWidth="1"/>
    <col min="4105" max="4105" width="9" style="280"/>
    <col min="4106" max="4106" width="9" style="280" customWidth="1"/>
    <col min="4107" max="4352" width="9" style="280"/>
    <col min="4353" max="4353" width="20.125" style="280" customWidth="1"/>
    <col min="4354" max="4355" width="8.25" style="280" customWidth="1"/>
    <col min="4356" max="4357" width="0" style="280" hidden="1" customWidth="1"/>
    <col min="4358" max="4358" width="8.125" style="280" customWidth="1"/>
    <col min="4359" max="4359" width="9" style="280" customWidth="1"/>
    <col min="4360" max="4360" width="13.75" style="280" customWidth="1"/>
    <col min="4361" max="4361" width="9" style="280"/>
    <col min="4362" max="4362" width="9" style="280" customWidth="1"/>
    <col min="4363" max="4608" width="9" style="280"/>
    <col min="4609" max="4609" width="20.125" style="280" customWidth="1"/>
    <col min="4610" max="4611" width="8.25" style="280" customWidth="1"/>
    <col min="4612" max="4613" width="0" style="280" hidden="1" customWidth="1"/>
    <col min="4614" max="4614" width="8.125" style="280" customWidth="1"/>
    <col min="4615" max="4615" width="9" style="280" customWidth="1"/>
    <col min="4616" max="4616" width="13.75" style="280" customWidth="1"/>
    <col min="4617" max="4617" width="9" style="280"/>
    <col min="4618" max="4618" width="9" style="280" customWidth="1"/>
    <col min="4619" max="4864" width="9" style="280"/>
    <col min="4865" max="4865" width="20.125" style="280" customWidth="1"/>
    <col min="4866" max="4867" width="8.25" style="280" customWidth="1"/>
    <col min="4868" max="4869" width="0" style="280" hidden="1" customWidth="1"/>
    <col min="4870" max="4870" width="8.125" style="280" customWidth="1"/>
    <col min="4871" max="4871" width="9" style="280" customWidth="1"/>
    <col min="4872" max="4872" width="13.75" style="280" customWidth="1"/>
    <col min="4873" max="4873" width="9" style="280"/>
    <col min="4874" max="4874" width="9" style="280" customWidth="1"/>
    <col min="4875" max="5120" width="9" style="280"/>
    <col min="5121" max="5121" width="20.125" style="280" customWidth="1"/>
    <col min="5122" max="5123" width="8.25" style="280" customWidth="1"/>
    <col min="5124" max="5125" width="0" style="280" hidden="1" customWidth="1"/>
    <col min="5126" max="5126" width="8.125" style="280" customWidth="1"/>
    <col min="5127" max="5127" width="9" style="280" customWidth="1"/>
    <col min="5128" max="5128" width="13.75" style="280" customWidth="1"/>
    <col min="5129" max="5129" width="9" style="280"/>
    <col min="5130" max="5130" width="9" style="280" customWidth="1"/>
    <col min="5131" max="5376" width="9" style="280"/>
    <col min="5377" max="5377" width="20.125" style="280" customWidth="1"/>
    <col min="5378" max="5379" width="8.25" style="280" customWidth="1"/>
    <col min="5380" max="5381" width="0" style="280" hidden="1" customWidth="1"/>
    <col min="5382" max="5382" width="8.125" style="280" customWidth="1"/>
    <col min="5383" max="5383" width="9" style="280" customWidth="1"/>
    <col min="5384" max="5384" width="13.75" style="280" customWidth="1"/>
    <col min="5385" max="5385" width="9" style="280"/>
    <col min="5386" max="5386" width="9" style="280" customWidth="1"/>
    <col min="5387" max="5632" width="9" style="280"/>
    <col min="5633" max="5633" width="20.125" style="280" customWidth="1"/>
    <col min="5634" max="5635" width="8.25" style="280" customWidth="1"/>
    <col min="5636" max="5637" width="0" style="280" hidden="1" customWidth="1"/>
    <col min="5638" max="5638" width="8.125" style="280" customWidth="1"/>
    <col min="5639" max="5639" width="9" style="280" customWidth="1"/>
    <col min="5640" max="5640" width="13.75" style="280" customWidth="1"/>
    <col min="5641" max="5641" width="9" style="280"/>
    <col min="5642" max="5642" width="9" style="280" customWidth="1"/>
    <col min="5643" max="5888" width="9" style="280"/>
    <col min="5889" max="5889" width="20.125" style="280" customWidth="1"/>
    <col min="5890" max="5891" width="8.25" style="280" customWidth="1"/>
    <col min="5892" max="5893" width="0" style="280" hidden="1" customWidth="1"/>
    <col min="5894" max="5894" width="8.125" style="280" customWidth="1"/>
    <col min="5895" max="5895" width="9" style="280" customWidth="1"/>
    <col min="5896" max="5896" width="13.75" style="280" customWidth="1"/>
    <col min="5897" max="5897" width="9" style="280"/>
    <col min="5898" max="5898" width="9" style="280" customWidth="1"/>
    <col min="5899" max="6144" width="9" style="280"/>
    <col min="6145" max="6145" width="20.125" style="280" customWidth="1"/>
    <col min="6146" max="6147" width="8.25" style="280" customWidth="1"/>
    <col min="6148" max="6149" width="0" style="280" hidden="1" customWidth="1"/>
    <col min="6150" max="6150" width="8.125" style="280" customWidth="1"/>
    <col min="6151" max="6151" width="9" style="280" customWidth="1"/>
    <col min="6152" max="6152" width="13.75" style="280" customWidth="1"/>
    <col min="6153" max="6153" width="9" style="280"/>
    <col min="6154" max="6154" width="9" style="280" customWidth="1"/>
    <col min="6155" max="6400" width="9" style="280"/>
    <col min="6401" max="6401" width="20.125" style="280" customWidth="1"/>
    <col min="6402" max="6403" width="8.25" style="280" customWidth="1"/>
    <col min="6404" max="6405" width="0" style="280" hidden="1" customWidth="1"/>
    <col min="6406" max="6406" width="8.125" style="280" customWidth="1"/>
    <col min="6407" max="6407" width="9" style="280" customWidth="1"/>
    <col min="6408" max="6408" width="13.75" style="280" customWidth="1"/>
    <col min="6409" max="6409" width="9" style="280"/>
    <col min="6410" max="6410" width="9" style="280" customWidth="1"/>
    <col min="6411" max="6656" width="9" style="280"/>
    <col min="6657" max="6657" width="20.125" style="280" customWidth="1"/>
    <col min="6658" max="6659" width="8.25" style="280" customWidth="1"/>
    <col min="6660" max="6661" width="0" style="280" hidden="1" customWidth="1"/>
    <col min="6662" max="6662" width="8.125" style="280" customWidth="1"/>
    <col min="6663" max="6663" width="9" style="280" customWidth="1"/>
    <col min="6664" max="6664" width="13.75" style="280" customWidth="1"/>
    <col min="6665" max="6665" width="9" style="280"/>
    <col min="6666" max="6666" width="9" style="280" customWidth="1"/>
    <col min="6667" max="6912" width="9" style="280"/>
    <col min="6913" max="6913" width="20.125" style="280" customWidth="1"/>
    <col min="6914" max="6915" width="8.25" style="280" customWidth="1"/>
    <col min="6916" max="6917" width="0" style="280" hidden="1" customWidth="1"/>
    <col min="6918" max="6918" width="8.125" style="280" customWidth="1"/>
    <col min="6919" max="6919" width="9" style="280" customWidth="1"/>
    <col min="6920" max="6920" width="13.75" style="280" customWidth="1"/>
    <col min="6921" max="6921" width="9" style="280"/>
    <col min="6922" max="6922" width="9" style="280" customWidth="1"/>
    <col min="6923" max="7168" width="9" style="280"/>
    <col min="7169" max="7169" width="20.125" style="280" customWidth="1"/>
    <col min="7170" max="7171" width="8.25" style="280" customWidth="1"/>
    <col min="7172" max="7173" width="0" style="280" hidden="1" customWidth="1"/>
    <col min="7174" max="7174" width="8.125" style="280" customWidth="1"/>
    <col min="7175" max="7175" width="9" style="280" customWidth="1"/>
    <col min="7176" max="7176" width="13.75" style="280" customWidth="1"/>
    <col min="7177" max="7177" width="9" style="280"/>
    <col min="7178" max="7178" width="9" style="280" customWidth="1"/>
    <col min="7179" max="7424" width="9" style="280"/>
    <col min="7425" max="7425" width="20.125" style="280" customWidth="1"/>
    <col min="7426" max="7427" width="8.25" style="280" customWidth="1"/>
    <col min="7428" max="7429" width="0" style="280" hidden="1" customWidth="1"/>
    <col min="7430" max="7430" width="8.125" style="280" customWidth="1"/>
    <col min="7431" max="7431" width="9" style="280" customWidth="1"/>
    <col min="7432" max="7432" width="13.75" style="280" customWidth="1"/>
    <col min="7433" max="7433" width="9" style="280"/>
    <col min="7434" max="7434" width="9" style="280" customWidth="1"/>
    <col min="7435" max="7680" width="9" style="280"/>
    <col min="7681" max="7681" width="20.125" style="280" customWidth="1"/>
    <col min="7682" max="7683" width="8.25" style="280" customWidth="1"/>
    <col min="7684" max="7685" width="0" style="280" hidden="1" customWidth="1"/>
    <col min="7686" max="7686" width="8.125" style="280" customWidth="1"/>
    <col min="7687" max="7687" width="9" style="280" customWidth="1"/>
    <col min="7688" max="7688" width="13.75" style="280" customWidth="1"/>
    <col min="7689" max="7689" width="9" style="280"/>
    <col min="7690" max="7690" width="9" style="280" customWidth="1"/>
    <col min="7691" max="7936" width="9" style="280"/>
    <col min="7937" max="7937" width="20.125" style="280" customWidth="1"/>
    <col min="7938" max="7939" width="8.25" style="280" customWidth="1"/>
    <col min="7940" max="7941" width="0" style="280" hidden="1" customWidth="1"/>
    <col min="7942" max="7942" width="8.125" style="280" customWidth="1"/>
    <col min="7943" max="7943" width="9" style="280" customWidth="1"/>
    <col min="7944" max="7944" width="13.75" style="280" customWidth="1"/>
    <col min="7945" max="7945" width="9" style="280"/>
    <col min="7946" max="7946" width="9" style="280" customWidth="1"/>
    <col min="7947" max="8192" width="9" style="280"/>
    <col min="8193" max="8193" width="20.125" style="280" customWidth="1"/>
    <col min="8194" max="8195" width="8.25" style="280" customWidth="1"/>
    <col min="8196" max="8197" width="0" style="280" hidden="1" customWidth="1"/>
    <col min="8198" max="8198" width="8.125" style="280" customWidth="1"/>
    <col min="8199" max="8199" width="9" style="280" customWidth="1"/>
    <col min="8200" max="8200" width="13.75" style="280" customWidth="1"/>
    <col min="8201" max="8201" width="9" style="280"/>
    <col min="8202" max="8202" width="9" style="280" customWidth="1"/>
    <col min="8203" max="8448" width="9" style="280"/>
    <col min="8449" max="8449" width="20.125" style="280" customWidth="1"/>
    <col min="8450" max="8451" width="8.25" style="280" customWidth="1"/>
    <col min="8452" max="8453" width="0" style="280" hidden="1" customWidth="1"/>
    <col min="8454" max="8454" width="8.125" style="280" customWidth="1"/>
    <col min="8455" max="8455" width="9" style="280" customWidth="1"/>
    <col min="8456" max="8456" width="13.75" style="280" customWidth="1"/>
    <col min="8457" max="8457" width="9" style="280"/>
    <col min="8458" max="8458" width="9" style="280" customWidth="1"/>
    <col min="8459" max="8704" width="9" style="280"/>
    <col min="8705" max="8705" width="20.125" style="280" customWidth="1"/>
    <col min="8706" max="8707" width="8.25" style="280" customWidth="1"/>
    <col min="8708" max="8709" width="0" style="280" hidden="1" customWidth="1"/>
    <col min="8710" max="8710" width="8.125" style="280" customWidth="1"/>
    <col min="8711" max="8711" width="9" style="280" customWidth="1"/>
    <col min="8712" max="8712" width="13.75" style="280" customWidth="1"/>
    <col min="8713" max="8713" width="9" style="280"/>
    <col min="8714" max="8714" width="9" style="280" customWidth="1"/>
    <col min="8715" max="8960" width="9" style="280"/>
    <col min="8961" max="8961" width="20.125" style="280" customWidth="1"/>
    <col min="8962" max="8963" width="8.25" style="280" customWidth="1"/>
    <col min="8964" max="8965" width="0" style="280" hidden="1" customWidth="1"/>
    <col min="8966" max="8966" width="8.125" style="280" customWidth="1"/>
    <col min="8967" max="8967" width="9" style="280" customWidth="1"/>
    <col min="8968" max="8968" width="13.75" style="280" customWidth="1"/>
    <col min="8969" max="8969" width="9" style="280"/>
    <col min="8970" max="8970" width="9" style="280" customWidth="1"/>
    <col min="8971" max="9216" width="9" style="280"/>
    <col min="9217" max="9217" width="20.125" style="280" customWidth="1"/>
    <col min="9218" max="9219" width="8.25" style="280" customWidth="1"/>
    <col min="9220" max="9221" width="0" style="280" hidden="1" customWidth="1"/>
    <col min="9222" max="9222" width="8.125" style="280" customWidth="1"/>
    <col min="9223" max="9223" width="9" style="280" customWidth="1"/>
    <col min="9224" max="9224" width="13.75" style="280" customWidth="1"/>
    <col min="9225" max="9225" width="9" style="280"/>
    <col min="9226" max="9226" width="9" style="280" customWidth="1"/>
    <col min="9227" max="9472" width="9" style="280"/>
    <col min="9473" max="9473" width="20.125" style="280" customWidth="1"/>
    <col min="9474" max="9475" width="8.25" style="280" customWidth="1"/>
    <col min="9476" max="9477" width="0" style="280" hidden="1" customWidth="1"/>
    <col min="9478" max="9478" width="8.125" style="280" customWidth="1"/>
    <col min="9479" max="9479" width="9" style="280" customWidth="1"/>
    <col min="9480" max="9480" width="13.75" style="280" customWidth="1"/>
    <col min="9481" max="9481" width="9" style="280"/>
    <col min="9482" max="9482" width="9" style="280" customWidth="1"/>
    <col min="9483" max="9728" width="9" style="280"/>
    <col min="9729" max="9729" width="20.125" style="280" customWidth="1"/>
    <col min="9730" max="9731" width="8.25" style="280" customWidth="1"/>
    <col min="9732" max="9733" width="0" style="280" hidden="1" customWidth="1"/>
    <col min="9734" max="9734" width="8.125" style="280" customWidth="1"/>
    <col min="9735" max="9735" width="9" style="280" customWidth="1"/>
    <col min="9736" max="9736" width="13.75" style="280" customWidth="1"/>
    <col min="9737" max="9737" width="9" style="280"/>
    <col min="9738" max="9738" width="9" style="280" customWidth="1"/>
    <col min="9739" max="9984" width="9" style="280"/>
    <col min="9985" max="9985" width="20.125" style="280" customWidth="1"/>
    <col min="9986" max="9987" width="8.25" style="280" customWidth="1"/>
    <col min="9988" max="9989" width="0" style="280" hidden="1" customWidth="1"/>
    <col min="9990" max="9990" width="8.125" style="280" customWidth="1"/>
    <col min="9991" max="9991" width="9" style="280" customWidth="1"/>
    <col min="9992" max="9992" width="13.75" style="280" customWidth="1"/>
    <col min="9993" max="9993" width="9" style="280"/>
    <col min="9994" max="9994" width="9" style="280" customWidth="1"/>
    <col min="9995" max="10240" width="9" style="280"/>
    <col min="10241" max="10241" width="20.125" style="280" customWidth="1"/>
    <col min="10242" max="10243" width="8.25" style="280" customWidth="1"/>
    <col min="10244" max="10245" width="0" style="280" hidden="1" customWidth="1"/>
    <col min="10246" max="10246" width="8.125" style="280" customWidth="1"/>
    <col min="10247" max="10247" width="9" style="280" customWidth="1"/>
    <col min="10248" max="10248" width="13.75" style="280" customWidth="1"/>
    <col min="10249" max="10249" width="9" style="280"/>
    <col min="10250" max="10250" width="9" style="280" customWidth="1"/>
    <col min="10251" max="10496" width="9" style="280"/>
    <col min="10497" max="10497" width="20.125" style="280" customWidth="1"/>
    <col min="10498" max="10499" width="8.25" style="280" customWidth="1"/>
    <col min="10500" max="10501" width="0" style="280" hidden="1" customWidth="1"/>
    <col min="10502" max="10502" width="8.125" style="280" customWidth="1"/>
    <col min="10503" max="10503" width="9" style="280" customWidth="1"/>
    <col min="10504" max="10504" width="13.75" style="280" customWidth="1"/>
    <col min="10505" max="10505" width="9" style="280"/>
    <col min="10506" max="10506" width="9" style="280" customWidth="1"/>
    <col min="10507" max="10752" width="9" style="280"/>
    <col min="10753" max="10753" width="20.125" style="280" customWidth="1"/>
    <col min="10754" max="10755" width="8.25" style="280" customWidth="1"/>
    <col min="10756" max="10757" width="0" style="280" hidden="1" customWidth="1"/>
    <col min="10758" max="10758" width="8.125" style="280" customWidth="1"/>
    <col min="10759" max="10759" width="9" style="280" customWidth="1"/>
    <col min="10760" max="10760" width="13.75" style="280" customWidth="1"/>
    <col min="10761" max="10761" width="9" style="280"/>
    <col min="10762" max="10762" width="9" style="280" customWidth="1"/>
    <col min="10763" max="11008" width="9" style="280"/>
    <col min="11009" max="11009" width="20.125" style="280" customWidth="1"/>
    <col min="11010" max="11011" width="8.25" style="280" customWidth="1"/>
    <col min="11012" max="11013" width="0" style="280" hidden="1" customWidth="1"/>
    <col min="11014" max="11014" width="8.125" style="280" customWidth="1"/>
    <col min="11015" max="11015" width="9" style="280" customWidth="1"/>
    <col min="11016" max="11016" width="13.75" style="280" customWidth="1"/>
    <col min="11017" max="11017" width="9" style="280"/>
    <col min="11018" max="11018" width="9" style="280" customWidth="1"/>
    <col min="11019" max="11264" width="9" style="280"/>
    <col min="11265" max="11265" width="20.125" style="280" customWidth="1"/>
    <col min="11266" max="11267" width="8.25" style="280" customWidth="1"/>
    <col min="11268" max="11269" width="0" style="280" hidden="1" customWidth="1"/>
    <col min="11270" max="11270" width="8.125" style="280" customWidth="1"/>
    <col min="11271" max="11271" width="9" style="280" customWidth="1"/>
    <col min="11272" max="11272" width="13.75" style="280" customWidth="1"/>
    <col min="11273" max="11273" width="9" style="280"/>
    <col min="11274" max="11274" width="9" style="280" customWidth="1"/>
    <col min="11275" max="11520" width="9" style="280"/>
    <col min="11521" max="11521" width="20.125" style="280" customWidth="1"/>
    <col min="11522" max="11523" width="8.25" style="280" customWidth="1"/>
    <col min="11524" max="11525" width="0" style="280" hidden="1" customWidth="1"/>
    <col min="11526" max="11526" width="8.125" style="280" customWidth="1"/>
    <col min="11527" max="11527" width="9" style="280" customWidth="1"/>
    <col min="11528" max="11528" width="13.75" style="280" customWidth="1"/>
    <col min="11529" max="11529" width="9" style="280"/>
    <col min="11530" max="11530" width="9" style="280" customWidth="1"/>
    <col min="11531" max="11776" width="9" style="280"/>
    <col min="11777" max="11777" width="20.125" style="280" customWidth="1"/>
    <col min="11778" max="11779" width="8.25" style="280" customWidth="1"/>
    <col min="11780" max="11781" width="0" style="280" hidden="1" customWidth="1"/>
    <col min="11782" max="11782" width="8.125" style="280" customWidth="1"/>
    <col min="11783" max="11783" width="9" style="280" customWidth="1"/>
    <col min="11784" max="11784" width="13.75" style="280" customWidth="1"/>
    <col min="11785" max="11785" width="9" style="280"/>
    <col min="11786" max="11786" width="9" style="280" customWidth="1"/>
    <col min="11787" max="12032" width="9" style="280"/>
    <col min="12033" max="12033" width="20.125" style="280" customWidth="1"/>
    <col min="12034" max="12035" width="8.25" style="280" customWidth="1"/>
    <col min="12036" max="12037" width="0" style="280" hidden="1" customWidth="1"/>
    <col min="12038" max="12038" width="8.125" style="280" customWidth="1"/>
    <col min="12039" max="12039" width="9" style="280" customWidth="1"/>
    <col min="12040" max="12040" width="13.75" style="280" customWidth="1"/>
    <col min="12041" max="12041" width="9" style="280"/>
    <col min="12042" max="12042" width="9" style="280" customWidth="1"/>
    <col min="12043" max="12288" width="9" style="280"/>
    <col min="12289" max="12289" width="20.125" style="280" customWidth="1"/>
    <col min="12290" max="12291" width="8.25" style="280" customWidth="1"/>
    <col min="12292" max="12293" width="0" style="280" hidden="1" customWidth="1"/>
    <col min="12294" max="12294" width="8.125" style="280" customWidth="1"/>
    <col min="12295" max="12295" width="9" style="280" customWidth="1"/>
    <col min="12296" max="12296" width="13.75" style="280" customWidth="1"/>
    <col min="12297" max="12297" width="9" style="280"/>
    <col min="12298" max="12298" width="9" style="280" customWidth="1"/>
    <col min="12299" max="12544" width="9" style="280"/>
    <col min="12545" max="12545" width="20.125" style="280" customWidth="1"/>
    <col min="12546" max="12547" width="8.25" style="280" customWidth="1"/>
    <col min="12548" max="12549" width="0" style="280" hidden="1" customWidth="1"/>
    <col min="12550" max="12550" width="8.125" style="280" customWidth="1"/>
    <col min="12551" max="12551" width="9" style="280" customWidth="1"/>
    <col min="12552" max="12552" width="13.75" style="280" customWidth="1"/>
    <col min="12553" max="12553" width="9" style="280"/>
    <col min="12554" max="12554" width="9" style="280" customWidth="1"/>
    <col min="12555" max="12800" width="9" style="280"/>
    <col min="12801" max="12801" width="20.125" style="280" customWidth="1"/>
    <col min="12802" max="12803" width="8.25" style="280" customWidth="1"/>
    <col min="12804" max="12805" width="0" style="280" hidden="1" customWidth="1"/>
    <col min="12806" max="12806" width="8.125" style="280" customWidth="1"/>
    <col min="12807" max="12807" width="9" style="280" customWidth="1"/>
    <col min="12808" max="12808" width="13.75" style="280" customWidth="1"/>
    <col min="12809" max="12809" width="9" style="280"/>
    <col min="12810" max="12810" width="9" style="280" customWidth="1"/>
    <col min="12811" max="13056" width="9" style="280"/>
    <col min="13057" max="13057" width="20.125" style="280" customWidth="1"/>
    <col min="13058" max="13059" width="8.25" style="280" customWidth="1"/>
    <col min="13060" max="13061" width="0" style="280" hidden="1" customWidth="1"/>
    <col min="13062" max="13062" width="8.125" style="280" customWidth="1"/>
    <col min="13063" max="13063" width="9" style="280" customWidth="1"/>
    <col min="13064" max="13064" width="13.75" style="280" customWidth="1"/>
    <col min="13065" max="13065" width="9" style="280"/>
    <col min="13066" max="13066" width="9" style="280" customWidth="1"/>
    <col min="13067" max="13312" width="9" style="280"/>
    <col min="13313" max="13313" width="20.125" style="280" customWidth="1"/>
    <col min="13314" max="13315" width="8.25" style="280" customWidth="1"/>
    <col min="13316" max="13317" width="0" style="280" hidden="1" customWidth="1"/>
    <col min="13318" max="13318" width="8.125" style="280" customWidth="1"/>
    <col min="13319" max="13319" width="9" style="280" customWidth="1"/>
    <col min="13320" max="13320" width="13.75" style="280" customWidth="1"/>
    <col min="13321" max="13321" width="9" style="280"/>
    <col min="13322" max="13322" width="9" style="280" customWidth="1"/>
    <col min="13323" max="13568" width="9" style="280"/>
    <col min="13569" max="13569" width="20.125" style="280" customWidth="1"/>
    <col min="13570" max="13571" width="8.25" style="280" customWidth="1"/>
    <col min="13572" max="13573" width="0" style="280" hidden="1" customWidth="1"/>
    <col min="13574" max="13574" width="8.125" style="280" customWidth="1"/>
    <col min="13575" max="13575" width="9" style="280" customWidth="1"/>
    <col min="13576" max="13576" width="13.75" style="280" customWidth="1"/>
    <col min="13577" max="13577" width="9" style="280"/>
    <col min="13578" max="13578" width="9" style="280" customWidth="1"/>
    <col min="13579" max="13824" width="9" style="280"/>
    <col min="13825" max="13825" width="20.125" style="280" customWidth="1"/>
    <col min="13826" max="13827" width="8.25" style="280" customWidth="1"/>
    <col min="13828" max="13829" width="0" style="280" hidden="1" customWidth="1"/>
    <col min="13830" max="13830" width="8.125" style="280" customWidth="1"/>
    <col min="13831" max="13831" width="9" style="280" customWidth="1"/>
    <col min="13832" max="13832" width="13.75" style="280" customWidth="1"/>
    <col min="13833" max="13833" width="9" style="280"/>
    <col min="13834" max="13834" width="9" style="280" customWidth="1"/>
    <col min="13835" max="14080" width="9" style="280"/>
    <col min="14081" max="14081" width="20.125" style="280" customWidth="1"/>
    <col min="14082" max="14083" width="8.25" style="280" customWidth="1"/>
    <col min="14084" max="14085" width="0" style="280" hidden="1" customWidth="1"/>
    <col min="14086" max="14086" width="8.125" style="280" customWidth="1"/>
    <col min="14087" max="14087" width="9" style="280" customWidth="1"/>
    <col min="14088" max="14088" width="13.75" style="280" customWidth="1"/>
    <col min="14089" max="14089" width="9" style="280"/>
    <col min="14090" max="14090" width="9" style="280" customWidth="1"/>
    <col min="14091" max="14336" width="9" style="280"/>
    <col min="14337" max="14337" width="20.125" style="280" customWidth="1"/>
    <col min="14338" max="14339" width="8.25" style="280" customWidth="1"/>
    <col min="14340" max="14341" width="0" style="280" hidden="1" customWidth="1"/>
    <col min="14342" max="14342" width="8.125" style="280" customWidth="1"/>
    <col min="14343" max="14343" width="9" style="280" customWidth="1"/>
    <col min="14344" max="14344" width="13.75" style="280" customWidth="1"/>
    <col min="14345" max="14345" width="9" style="280"/>
    <col min="14346" max="14346" width="9" style="280" customWidth="1"/>
    <col min="14347" max="14592" width="9" style="280"/>
    <col min="14593" max="14593" width="20.125" style="280" customWidth="1"/>
    <col min="14594" max="14595" width="8.25" style="280" customWidth="1"/>
    <col min="14596" max="14597" width="0" style="280" hidden="1" customWidth="1"/>
    <col min="14598" max="14598" width="8.125" style="280" customWidth="1"/>
    <col min="14599" max="14599" width="9" style="280" customWidth="1"/>
    <col min="14600" max="14600" width="13.75" style="280" customWidth="1"/>
    <col min="14601" max="14601" width="9" style="280"/>
    <col min="14602" max="14602" width="9" style="280" customWidth="1"/>
    <col min="14603" max="14848" width="9" style="280"/>
    <col min="14849" max="14849" width="20.125" style="280" customWidth="1"/>
    <col min="14850" max="14851" width="8.25" style="280" customWidth="1"/>
    <col min="14852" max="14853" width="0" style="280" hidden="1" customWidth="1"/>
    <col min="14854" max="14854" width="8.125" style="280" customWidth="1"/>
    <col min="14855" max="14855" width="9" style="280" customWidth="1"/>
    <col min="14856" max="14856" width="13.75" style="280" customWidth="1"/>
    <col min="14857" max="14857" width="9" style="280"/>
    <col min="14858" max="14858" width="9" style="280" customWidth="1"/>
    <col min="14859" max="15104" width="9" style="280"/>
    <col min="15105" max="15105" width="20.125" style="280" customWidth="1"/>
    <col min="15106" max="15107" width="8.25" style="280" customWidth="1"/>
    <col min="15108" max="15109" width="0" style="280" hidden="1" customWidth="1"/>
    <col min="15110" max="15110" width="8.125" style="280" customWidth="1"/>
    <col min="15111" max="15111" width="9" style="280" customWidth="1"/>
    <col min="15112" max="15112" width="13.75" style="280" customWidth="1"/>
    <col min="15113" max="15113" width="9" style="280"/>
    <col min="15114" max="15114" width="9" style="280" customWidth="1"/>
    <col min="15115" max="15360" width="9" style="280"/>
    <col min="15361" max="15361" width="20.125" style="280" customWidth="1"/>
    <col min="15362" max="15363" width="8.25" style="280" customWidth="1"/>
    <col min="15364" max="15365" width="0" style="280" hidden="1" customWidth="1"/>
    <col min="15366" max="15366" width="8.125" style="280" customWidth="1"/>
    <col min="15367" max="15367" width="9" style="280" customWidth="1"/>
    <col min="15368" max="15368" width="13.75" style="280" customWidth="1"/>
    <col min="15369" max="15369" width="9" style="280"/>
    <col min="15370" max="15370" width="9" style="280" customWidth="1"/>
    <col min="15371" max="15616" width="9" style="280"/>
    <col min="15617" max="15617" width="20.125" style="280" customWidth="1"/>
    <col min="15618" max="15619" width="8.25" style="280" customWidth="1"/>
    <col min="15620" max="15621" width="0" style="280" hidden="1" customWidth="1"/>
    <col min="15622" max="15622" width="8.125" style="280" customWidth="1"/>
    <col min="15623" max="15623" width="9" style="280" customWidth="1"/>
    <col min="15624" max="15624" width="13.75" style="280" customWidth="1"/>
    <col min="15625" max="15625" width="9" style="280"/>
    <col min="15626" max="15626" width="9" style="280" customWidth="1"/>
    <col min="15627" max="15872" width="9" style="280"/>
    <col min="15873" max="15873" width="20.125" style="280" customWidth="1"/>
    <col min="15874" max="15875" width="8.25" style="280" customWidth="1"/>
    <col min="15876" max="15877" width="0" style="280" hidden="1" customWidth="1"/>
    <col min="15878" max="15878" width="8.125" style="280" customWidth="1"/>
    <col min="15879" max="15879" width="9" style="280" customWidth="1"/>
    <col min="15880" max="15880" width="13.75" style="280" customWidth="1"/>
    <col min="15881" max="15881" width="9" style="280"/>
    <col min="15882" max="15882" width="9" style="280" customWidth="1"/>
    <col min="15883" max="16128" width="9" style="280"/>
    <col min="16129" max="16129" width="20.125" style="280" customWidth="1"/>
    <col min="16130" max="16131" width="8.25" style="280" customWidth="1"/>
    <col min="16132" max="16133" width="0" style="280" hidden="1" customWidth="1"/>
    <col min="16134" max="16134" width="8.125" style="280" customWidth="1"/>
    <col min="16135" max="16135" width="9" style="280" customWidth="1"/>
    <col min="16136" max="16136" width="13.75" style="280" customWidth="1"/>
    <col min="16137" max="16137" width="9" style="280"/>
    <col min="16138" max="16138" width="9" style="280" customWidth="1"/>
    <col min="16139" max="16384" width="9" style="280"/>
  </cols>
  <sheetData>
    <row r="1" spans="1:12" s="492" customFormat="1">
      <c r="A1" s="484" t="s">
        <v>235</v>
      </c>
    </row>
    <row r="2" spans="1:12" s="492" customFormat="1">
      <c r="A2" s="492" t="s">
        <v>236</v>
      </c>
      <c r="B2" s="492" t="s">
        <v>237</v>
      </c>
    </row>
    <row r="3" spans="1:12" s="492" customFormat="1">
      <c r="A3" s="492" t="s">
        <v>238</v>
      </c>
    </row>
    <row r="4" spans="1:12" s="492" customFormat="1">
      <c r="A4" s="484" t="s">
        <v>239</v>
      </c>
    </row>
    <row r="5" spans="1:12" s="492" customFormat="1"/>
    <row r="6" spans="1:12" ht="11.25" customHeight="1">
      <c r="A6" s="462" t="s">
        <v>134</v>
      </c>
      <c r="B6" s="462"/>
      <c r="C6" s="462"/>
      <c r="D6" s="462"/>
      <c r="E6" s="462"/>
      <c r="F6" s="462"/>
      <c r="G6" s="462"/>
      <c r="H6" s="278"/>
      <c r="I6" s="279"/>
      <c r="J6" s="279"/>
      <c r="K6" s="279"/>
      <c r="L6" s="279"/>
    </row>
    <row r="7" spans="1:12" ht="27" customHeight="1">
      <c r="A7" s="462" t="s">
        <v>167</v>
      </c>
      <c r="B7" s="462"/>
      <c r="C7" s="462"/>
      <c r="D7" s="462"/>
      <c r="E7" s="462"/>
      <c r="F7" s="462"/>
      <c r="G7" s="462"/>
      <c r="H7" s="470"/>
      <c r="I7" s="279"/>
      <c r="J7" s="279"/>
      <c r="K7" s="279"/>
      <c r="L7" s="279"/>
    </row>
    <row r="8" spans="1:12" ht="11.25" customHeight="1">
      <c r="A8" s="463" t="s">
        <v>68</v>
      </c>
      <c r="B8" s="463"/>
      <c r="C8" s="463"/>
      <c r="D8" s="463"/>
      <c r="E8" s="463"/>
      <c r="F8" s="279"/>
      <c r="G8" s="279"/>
      <c r="H8" s="279"/>
      <c r="I8" s="279"/>
      <c r="J8" s="279"/>
      <c r="K8" s="279"/>
      <c r="L8" s="279"/>
    </row>
    <row r="9" spans="1:12" ht="12.75" customHeight="1">
      <c r="A9" s="281"/>
      <c r="B9" s="281"/>
      <c r="C9" s="281"/>
      <c r="D9" s="281"/>
      <c r="E9" s="281"/>
      <c r="F9" s="282"/>
      <c r="G9" s="282"/>
      <c r="H9" s="282"/>
      <c r="I9" s="282"/>
      <c r="J9" s="282"/>
      <c r="K9" s="279"/>
      <c r="L9" s="279"/>
    </row>
    <row r="10" spans="1:12" ht="12.75" customHeight="1">
      <c r="A10" s="281"/>
      <c r="B10" s="281"/>
      <c r="C10" s="281"/>
      <c r="D10" s="281"/>
      <c r="E10" s="281"/>
      <c r="F10" s="282"/>
      <c r="G10" s="282"/>
      <c r="H10" s="282"/>
      <c r="I10" s="282"/>
      <c r="J10" s="282"/>
      <c r="K10" s="279"/>
      <c r="L10" s="279"/>
    </row>
    <row r="11" spans="1:12" ht="12.75" customHeight="1">
      <c r="A11" s="281"/>
      <c r="B11" s="281"/>
      <c r="C11" s="281"/>
      <c r="D11" s="281"/>
      <c r="E11" s="281"/>
      <c r="F11" s="282"/>
      <c r="G11" s="282"/>
      <c r="H11" s="282"/>
      <c r="I11" s="282"/>
      <c r="J11" s="282"/>
      <c r="K11" s="279"/>
      <c r="L11" s="279"/>
    </row>
    <row r="12" spans="1:12" ht="12.75" customHeight="1">
      <c r="A12" s="281"/>
      <c r="B12" s="281"/>
      <c r="C12" s="281"/>
      <c r="D12" s="281"/>
      <c r="E12" s="281"/>
      <c r="F12" s="282"/>
      <c r="G12" s="282"/>
      <c r="H12" s="282"/>
      <c r="I12" s="282"/>
      <c r="J12" s="282"/>
      <c r="K12" s="279"/>
      <c r="L12" s="279"/>
    </row>
    <row r="13" spans="1:12" ht="12.75" customHeight="1">
      <c r="A13" s="281"/>
      <c r="B13" s="281"/>
      <c r="C13" s="281"/>
      <c r="D13" s="281"/>
      <c r="E13" s="281"/>
      <c r="F13" s="282"/>
      <c r="G13" s="282"/>
      <c r="H13" s="282"/>
      <c r="I13" s="282"/>
      <c r="J13" s="282"/>
      <c r="K13" s="279"/>
      <c r="L13" s="279"/>
    </row>
    <row r="14" spans="1:12" ht="12.75" customHeight="1">
      <c r="A14" s="281"/>
      <c r="B14" s="281"/>
      <c r="C14" s="281"/>
      <c r="D14" s="281"/>
      <c r="E14" s="281"/>
      <c r="F14" s="282"/>
      <c r="G14" s="282"/>
      <c r="H14" s="282"/>
      <c r="I14" s="282"/>
      <c r="J14" s="282"/>
      <c r="K14" s="279"/>
      <c r="L14" s="279"/>
    </row>
    <row r="15" spans="1:12" ht="12.75" customHeight="1">
      <c r="A15" s="281"/>
      <c r="B15" s="281"/>
      <c r="C15" s="281"/>
      <c r="D15" s="281"/>
      <c r="E15" s="281"/>
      <c r="F15" s="282"/>
      <c r="G15" s="282"/>
      <c r="H15" s="282"/>
      <c r="I15" s="282"/>
      <c r="J15" s="282"/>
      <c r="K15" s="279"/>
      <c r="L15" s="279"/>
    </row>
    <row r="16" spans="1:12" ht="12.75" customHeight="1">
      <c r="A16" s="281"/>
      <c r="B16" s="281"/>
      <c r="C16" s="281"/>
      <c r="D16" s="281"/>
      <c r="E16" s="281"/>
      <c r="F16" s="282"/>
      <c r="G16" s="282"/>
      <c r="H16" s="282"/>
      <c r="I16" s="282"/>
      <c r="J16" s="282"/>
      <c r="K16" s="279"/>
      <c r="L16" s="279"/>
    </row>
    <row r="17" spans="1:12" ht="12.75" customHeight="1">
      <c r="A17" s="281"/>
      <c r="B17" s="281"/>
      <c r="C17" s="281"/>
      <c r="D17" s="281"/>
      <c r="E17" s="281"/>
      <c r="F17" s="282"/>
      <c r="G17" s="282"/>
      <c r="H17" s="282"/>
      <c r="I17" s="282"/>
      <c r="J17" s="282"/>
      <c r="K17" s="279"/>
      <c r="L17" s="279"/>
    </row>
    <row r="18" spans="1:12" ht="12.75" customHeight="1">
      <c r="A18" s="281"/>
      <c r="B18" s="281"/>
      <c r="C18" s="281"/>
      <c r="D18" s="281"/>
      <c r="E18" s="281"/>
      <c r="F18" s="282"/>
      <c r="G18" s="282"/>
      <c r="H18" s="282"/>
      <c r="I18" s="282"/>
      <c r="J18" s="282"/>
      <c r="K18" s="279"/>
      <c r="L18" s="279"/>
    </row>
    <row r="19" spans="1:12" ht="12.75" customHeight="1">
      <c r="A19" s="281"/>
      <c r="B19" s="281"/>
      <c r="C19" s="281"/>
      <c r="D19" s="281"/>
      <c r="E19" s="281"/>
      <c r="F19" s="282"/>
      <c r="G19" s="282"/>
      <c r="H19" s="282"/>
      <c r="I19" s="282"/>
      <c r="J19" s="282"/>
      <c r="K19" s="279"/>
      <c r="L19" s="279"/>
    </row>
    <row r="20" spans="1:12" ht="12.75" customHeight="1">
      <c r="A20" s="281"/>
      <c r="B20" s="281"/>
      <c r="C20" s="281"/>
      <c r="D20" s="281"/>
      <c r="E20" s="281"/>
      <c r="F20" s="282"/>
      <c r="G20" s="282"/>
      <c r="H20" s="282"/>
      <c r="I20" s="282"/>
      <c r="J20" s="282"/>
      <c r="K20" s="279"/>
      <c r="L20" s="279"/>
    </row>
    <row r="21" spans="1:12" ht="12.75" customHeight="1">
      <c r="A21" s="281"/>
      <c r="B21" s="281"/>
      <c r="C21" s="281"/>
      <c r="D21" s="281"/>
      <c r="E21" s="281"/>
      <c r="F21" s="282"/>
      <c r="G21" s="282"/>
      <c r="H21" s="282"/>
      <c r="I21" s="282"/>
      <c r="J21" s="282"/>
      <c r="K21" s="279"/>
      <c r="L21" s="279"/>
    </row>
    <row r="22" spans="1:12" ht="12.75" customHeight="1">
      <c r="A22" s="281"/>
      <c r="B22" s="281"/>
      <c r="C22" s="281"/>
      <c r="D22" s="281"/>
      <c r="E22" s="281"/>
      <c r="F22" s="282"/>
      <c r="G22" s="282"/>
      <c r="H22" s="282"/>
      <c r="I22" s="282"/>
      <c r="J22" s="282"/>
      <c r="K22" s="279"/>
      <c r="L22" s="279"/>
    </row>
    <row r="23" spans="1:12" ht="12.75" customHeight="1">
      <c r="A23" s="281"/>
      <c r="B23" s="281"/>
      <c r="C23" s="281"/>
      <c r="D23" s="281"/>
      <c r="E23" s="281"/>
      <c r="F23" s="282"/>
      <c r="G23" s="282"/>
      <c r="H23" s="282"/>
      <c r="I23" s="282"/>
      <c r="J23" s="282"/>
      <c r="K23" s="279"/>
      <c r="L23" s="279"/>
    </row>
    <row r="24" spans="1:12" ht="12.75" customHeight="1">
      <c r="A24" s="281"/>
      <c r="B24" s="281"/>
      <c r="C24" s="281"/>
      <c r="D24" s="281"/>
      <c r="E24" s="281"/>
      <c r="F24" s="282"/>
      <c r="G24" s="282"/>
      <c r="H24" s="282"/>
      <c r="I24" s="282"/>
      <c r="J24" s="282"/>
      <c r="K24" s="279"/>
      <c r="L24" s="279"/>
    </row>
    <row r="25" spans="1:12" ht="12.75" customHeight="1">
      <c r="A25" s="281"/>
      <c r="B25" s="281"/>
      <c r="C25" s="281"/>
      <c r="D25" s="281"/>
      <c r="E25" s="281"/>
      <c r="F25" s="282"/>
      <c r="G25" s="282"/>
      <c r="H25" s="282"/>
      <c r="I25" s="282"/>
      <c r="J25" s="282"/>
      <c r="K25" s="279"/>
      <c r="L25" s="279"/>
    </row>
    <row r="26" spans="1:12" ht="12.75" customHeight="1">
      <c r="A26" s="281"/>
      <c r="B26" s="281"/>
      <c r="C26" s="281"/>
      <c r="D26" s="281"/>
      <c r="E26" s="281"/>
      <c r="F26" s="282"/>
      <c r="G26" s="282"/>
      <c r="H26" s="282"/>
      <c r="I26" s="282"/>
      <c r="J26" s="282"/>
      <c r="K26" s="279"/>
      <c r="L26" s="279"/>
    </row>
    <row r="27" spans="1:12" ht="12.75" customHeight="1">
      <c r="A27" s="281"/>
      <c r="B27" s="281"/>
      <c r="C27" s="281"/>
      <c r="D27" s="281"/>
      <c r="E27" s="281"/>
      <c r="F27" s="282"/>
      <c r="G27" s="282"/>
      <c r="H27" s="282"/>
      <c r="I27" s="282"/>
      <c r="J27" s="282"/>
      <c r="K27" s="279"/>
      <c r="L27" s="279"/>
    </row>
    <row r="28" spans="1:12" ht="12.75" customHeight="1">
      <c r="A28" s="281"/>
      <c r="B28" s="281"/>
      <c r="C28" s="281"/>
      <c r="D28" s="281"/>
      <c r="E28" s="281"/>
      <c r="F28" s="282"/>
      <c r="G28" s="282"/>
      <c r="H28" s="282"/>
      <c r="I28" s="282"/>
      <c r="J28" s="282"/>
      <c r="K28" s="279"/>
      <c r="L28" s="279"/>
    </row>
    <row r="29" spans="1:12" ht="12.75" customHeight="1">
      <c r="A29" s="281"/>
      <c r="B29" s="281"/>
      <c r="C29" s="281"/>
      <c r="D29" s="281"/>
      <c r="E29" s="281"/>
      <c r="F29" s="282"/>
      <c r="G29" s="282"/>
      <c r="H29" s="282"/>
      <c r="I29" s="282"/>
      <c r="J29" s="282"/>
      <c r="K29" s="279"/>
      <c r="L29" s="279"/>
    </row>
    <row r="30" spans="1:12" ht="12.75" customHeight="1">
      <c r="A30" s="281"/>
      <c r="B30" s="281"/>
      <c r="C30" s="281"/>
      <c r="D30" s="281"/>
      <c r="E30" s="281"/>
      <c r="F30" s="282"/>
      <c r="G30" s="282"/>
      <c r="H30" s="282"/>
      <c r="I30" s="282"/>
      <c r="J30" s="282"/>
      <c r="K30" s="279"/>
      <c r="L30" s="279"/>
    </row>
    <row r="31" spans="1:12" ht="12.75" customHeight="1">
      <c r="A31" s="281"/>
      <c r="B31" s="281"/>
      <c r="C31" s="281"/>
      <c r="D31" s="281"/>
      <c r="E31" s="281"/>
      <c r="F31" s="282"/>
      <c r="G31" s="282"/>
      <c r="H31" s="282"/>
      <c r="I31" s="282"/>
      <c r="J31" s="282"/>
      <c r="K31" s="279"/>
      <c r="L31" s="279"/>
    </row>
    <row r="32" spans="1:12" ht="12.75" customHeight="1">
      <c r="A32" s="281"/>
      <c r="B32" s="281"/>
      <c r="C32" s="281"/>
      <c r="D32" s="281"/>
      <c r="E32" s="281"/>
      <c r="F32" s="282"/>
      <c r="G32" s="282"/>
      <c r="H32" s="282"/>
      <c r="I32" s="282"/>
      <c r="J32" s="282"/>
      <c r="K32" s="279"/>
      <c r="L32" s="279"/>
    </row>
    <row r="33" spans="1:12" ht="12.75" customHeight="1">
      <c r="A33" s="281"/>
      <c r="B33" s="281"/>
      <c r="C33" s="281"/>
      <c r="D33" s="281"/>
      <c r="E33" s="281"/>
      <c r="F33" s="282"/>
      <c r="G33" s="282"/>
      <c r="H33" s="282"/>
      <c r="I33" s="282"/>
      <c r="J33" s="282"/>
      <c r="K33" s="279"/>
      <c r="L33" s="279"/>
    </row>
    <row r="34" spans="1:12" ht="12.75" customHeight="1">
      <c r="A34" s="281"/>
      <c r="B34" s="281"/>
      <c r="C34" s="281"/>
      <c r="D34" s="281"/>
      <c r="E34" s="281"/>
      <c r="F34" s="282"/>
      <c r="G34" s="282"/>
      <c r="H34" s="282"/>
      <c r="I34" s="282"/>
      <c r="J34" s="282"/>
      <c r="K34" s="279"/>
      <c r="L34" s="279"/>
    </row>
    <row r="35" spans="1:12" ht="12.75" customHeight="1">
      <c r="A35" s="281"/>
      <c r="B35" s="281"/>
      <c r="C35" s="281"/>
      <c r="D35" s="281"/>
      <c r="E35" s="281"/>
      <c r="F35" s="282"/>
      <c r="G35" s="282"/>
      <c r="H35" s="282"/>
      <c r="I35" s="282"/>
      <c r="J35" s="282"/>
      <c r="K35" s="279"/>
      <c r="L35" s="279"/>
    </row>
    <row r="36" spans="1:12" ht="12.75" customHeight="1">
      <c r="A36" s="281"/>
      <c r="B36" s="281"/>
      <c r="C36" s="281"/>
      <c r="D36" s="281"/>
      <c r="E36" s="281"/>
      <c r="F36" s="282"/>
      <c r="G36" s="282"/>
      <c r="H36" s="282"/>
      <c r="I36" s="282"/>
      <c r="J36" s="282"/>
      <c r="K36" s="279"/>
      <c r="L36" s="279"/>
    </row>
    <row r="37" spans="1:12" ht="11.25" customHeight="1">
      <c r="A37" s="279" t="s">
        <v>209</v>
      </c>
      <c r="B37" s="283"/>
      <c r="C37" s="283"/>
      <c r="D37" s="283"/>
      <c r="E37" s="283"/>
      <c r="F37" s="279"/>
      <c r="G37" s="279"/>
      <c r="H37" s="279"/>
      <c r="I37" s="279"/>
      <c r="J37" s="279"/>
      <c r="K37" s="279"/>
      <c r="L37" s="279"/>
    </row>
    <row r="38" spans="1:12" ht="11.25" customHeight="1">
      <c r="A38" s="464" t="s">
        <v>129</v>
      </c>
      <c r="B38" s="465"/>
      <c r="C38" s="465"/>
      <c r="D38" s="465"/>
      <c r="E38" s="465"/>
      <c r="F38" s="465"/>
      <c r="G38" s="465"/>
      <c r="H38" s="465"/>
      <c r="I38" s="465"/>
      <c r="J38" s="465"/>
      <c r="K38" s="465"/>
      <c r="L38" s="466"/>
    </row>
    <row r="39" spans="1:12" ht="11.25" customHeight="1">
      <c r="A39" s="467" t="s">
        <v>218</v>
      </c>
      <c r="B39" s="468"/>
      <c r="C39" s="468"/>
      <c r="D39" s="468"/>
      <c r="E39" s="468"/>
      <c r="F39" s="468"/>
      <c r="G39" s="468"/>
      <c r="H39" s="468"/>
      <c r="I39" s="468"/>
      <c r="J39" s="468"/>
      <c r="K39" s="468"/>
      <c r="L39" s="469"/>
    </row>
    <row r="40" spans="1:12" ht="11.25" customHeight="1">
      <c r="A40" s="279" t="s">
        <v>212</v>
      </c>
      <c r="B40" s="283"/>
      <c r="C40" s="283"/>
      <c r="D40" s="283"/>
      <c r="E40" s="283"/>
      <c r="F40" s="279"/>
      <c r="G40" s="279"/>
      <c r="H40" s="279"/>
      <c r="I40" s="279"/>
      <c r="J40" s="279"/>
      <c r="K40" s="279"/>
      <c r="L40" s="279"/>
    </row>
    <row r="44" spans="1:12">
      <c r="A44" s="285"/>
      <c r="B44" s="285"/>
      <c r="C44" s="285"/>
    </row>
    <row r="45" spans="1:12" ht="51">
      <c r="A45" s="286"/>
      <c r="B45" s="287" t="s">
        <v>153</v>
      </c>
      <c r="C45" s="288" t="s">
        <v>81</v>
      </c>
    </row>
    <row r="46" spans="1:12" ht="11.25" customHeight="1">
      <c r="A46" s="289" t="s">
        <v>82</v>
      </c>
      <c r="B46" s="290">
        <v>1267.2</v>
      </c>
      <c r="C46" s="291">
        <v>1267.2</v>
      </c>
    </row>
    <row r="47" spans="1:12" ht="11.25" customHeight="1">
      <c r="A47" s="292" t="s">
        <v>72</v>
      </c>
      <c r="B47" s="293">
        <v>1200</v>
      </c>
      <c r="C47" s="294">
        <v>1200</v>
      </c>
    </row>
    <row r="48" spans="1:12" ht="11.25" customHeight="1">
      <c r="A48" s="295" t="s">
        <v>37</v>
      </c>
      <c r="B48" s="296">
        <v>1063.5552077238151</v>
      </c>
      <c r="C48" s="297">
        <v>1063.5552077238151</v>
      </c>
    </row>
    <row r="49" spans="1:3" ht="11.25" customHeight="1">
      <c r="A49" s="292" t="s">
        <v>73</v>
      </c>
      <c r="B49" s="293">
        <v>1290</v>
      </c>
      <c r="C49" s="294">
        <v>1020</v>
      </c>
    </row>
    <row r="50" spans="1:3" ht="11.25" customHeight="1">
      <c r="A50" s="295" t="s">
        <v>19</v>
      </c>
      <c r="B50" s="296">
        <v>684</v>
      </c>
      <c r="C50" s="297">
        <v>837.90000000000009</v>
      </c>
    </row>
    <row r="51" spans="1:3" ht="11.25" customHeight="1">
      <c r="A51" s="292" t="s">
        <v>46</v>
      </c>
      <c r="B51" s="293">
        <v>635</v>
      </c>
      <c r="C51" s="294">
        <v>745.7403076282186</v>
      </c>
    </row>
    <row r="52" spans="1:3" ht="11.25" customHeight="1">
      <c r="A52" s="295" t="s">
        <v>5</v>
      </c>
      <c r="B52" s="296">
        <v>726.19090025883133</v>
      </c>
      <c r="C52" s="297">
        <v>719.32343858851857</v>
      </c>
    </row>
    <row r="53" spans="1:3" ht="11.25" customHeight="1">
      <c r="A53" s="292" t="s">
        <v>13</v>
      </c>
      <c r="B53" s="293">
        <v>692.55</v>
      </c>
      <c r="C53" s="294">
        <v>692.55</v>
      </c>
    </row>
    <row r="54" spans="1:3" ht="11.25" customHeight="1">
      <c r="A54" s="295" t="s">
        <v>4</v>
      </c>
      <c r="B54" s="296">
        <v>684</v>
      </c>
      <c r="C54" s="297">
        <v>684</v>
      </c>
    </row>
    <row r="55" spans="1:3" ht="11.25" customHeight="1">
      <c r="A55" s="292" t="s">
        <v>38</v>
      </c>
      <c r="B55" s="293">
        <v>655.81928035691465</v>
      </c>
      <c r="C55" s="294">
        <v>656.77700615619938</v>
      </c>
    </row>
    <row r="56" spans="1:3" ht="11.25" customHeight="1">
      <c r="A56" s="295" t="s">
        <v>17</v>
      </c>
      <c r="B56" s="296">
        <v>651.6</v>
      </c>
      <c r="C56" s="297">
        <v>651.6</v>
      </c>
    </row>
    <row r="57" spans="1:3" ht="11.25" customHeight="1">
      <c r="A57" s="292" t="s">
        <v>15</v>
      </c>
      <c r="B57" s="293">
        <v>741</v>
      </c>
      <c r="C57" s="294">
        <v>646</v>
      </c>
    </row>
    <row r="58" spans="1:3" ht="11.25" customHeight="1">
      <c r="A58" s="295" t="s">
        <v>126</v>
      </c>
      <c r="B58" s="296">
        <v>669.71860371988055</v>
      </c>
      <c r="C58" s="297">
        <v>634.81670077934746</v>
      </c>
    </row>
    <row r="59" spans="1:3" ht="11.25" customHeight="1">
      <c r="A59" s="292" t="s">
        <v>8</v>
      </c>
      <c r="B59" s="293">
        <v>626.4</v>
      </c>
      <c r="C59" s="294">
        <v>626.4</v>
      </c>
    </row>
    <row r="60" spans="1:3" ht="11.25" customHeight="1">
      <c r="A60" s="295" t="s">
        <v>12</v>
      </c>
      <c r="B60" s="296">
        <v>616</v>
      </c>
      <c r="C60" s="297">
        <v>616</v>
      </c>
    </row>
    <row r="61" spans="1:3" ht="11.25" customHeight="1">
      <c r="A61" s="292" t="s">
        <v>32</v>
      </c>
      <c r="B61" s="293">
        <v>609.74471713184903</v>
      </c>
      <c r="C61" s="294">
        <v>609.74471713184903</v>
      </c>
    </row>
    <row r="62" spans="1:3" ht="11.25" customHeight="1">
      <c r="A62" s="295" t="s">
        <v>83</v>
      </c>
      <c r="B62" s="296">
        <v>740</v>
      </c>
      <c r="C62" s="297">
        <v>603</v>
      </c>
    </row>
    <row r="63" spans="1:3" ht="11.25" customHeight="1">
      <c r="A63" s="292" t="s">
        <v>156</v>
      </c>
      <c r="B63" s="293">
        <v>596.07000000000005</v>
      </c>
      <c r="C63" s="294">
        <v>596.07000000000005</v>
      </c>
    </row>
    <row r="64" spans="1:3" ht="11.25" customHeight="1">
      <c r="A64" s="295" t="s">
        <v>6</v>
      </c>
      <c r="B64" s="296">
        <v>593.91750000000002</v>
      </c>
      <c r="C64" s="297">
        <v>593.91750000000002</v>
      </c>
    </row>
    <row r="65" spans="1:3" ht="11.25" customHeight="1">
      <c r="A65" s="292" t="s">
        <v>28</v>
      </c>
      <c r="B65" s="293">
        <v>589.04999999999995</v>
      </c>
      <c r="C65" s="294">
        <v>589.04999999999995</v>
      </c>
    </row>
    <row r="66" spans="1:3" ht="11.25" customHeight="1">
      <c r="A66" s="295" t="s">
        <v>39</v>
      </c>
      <c r="B66" s="296">
        <v>570</v>
      </c>
      <c r="C66" s="297">
        <v>570</v>
      </c>
    </row>
    <row r="67" spans="1:3" ht="11.25" customHeight="1">
      <c r="A67" s="292" t="s">
        <v>29</v>
      </c>
      <c r="B67" s="293">
        <v>604.80000000000007</v>
      </c>
      <c r="C67" s="294">
        <v>567</v>
      </c>
    </row>
    <row r="68" spans="1:3" ht="11.25" customHeight="1">
      <c r="A68" s="295" t="s">
        <v>30</v>
      </c>
      <c r="B68" s="296">
        <v>557.01141078838168</v>
      </c>
      <c r="C68" s="297">
        <v>550.72526320890734</v>
      </c>
    </row>
    <row r="69" spans="1:3" ht="11.25" customHeight="1">
      <c r="A69" s="292" t="s">
        <v>3</v>
      </c>
      <c r="B69" s="293">
        <v>688.16000000000008</v>
      </c>
      <c r="C69" s="294">
        <v>547.16200000000003</v>
      </c>
    </row>
    <row r="70" spans="1:3" ht="11.25" customHeight="1">
      <c r="A70" s="295" t="s">
        <v>11</v>
      </c>
      <c r="B70" s="296">
        <v>522.5</v>
      </c>
      <c r="C70" s="297">
        <v>522.5</v>
      </c>
    </row>
    <row r="71" spans="1:3" ht="11.25" customHeight="1">
      <c r="A71" s="292" t="s">
        <v>197</v>
      </c>
      <c r="B71" s="293">
        <v>510.75700000000001</v>
      </c>
      <c r="C71" s="294">
        <v>510.75700000000001</v>
      </c>
    </row>
    <row r="72" spans="1:3" ht="11.25" customHeight="1">
      <c r="A72" s="295" t="s">
        <v>16</v>
      </c>
      <c r="B72" s="296">
        <v>503.99999999999994</v>
      </c>
      <c r="C72" s="297">
        <v>503.99999999999994</v>
      </c>
    </row>
    <row r="73" spans="1:3" ht="11.25" customHeight="1">
      <c r="A73" s="292" t="s">
        <v>155</v>
      </c>
      <c r="B73" s="293">
        <v>699.25925925925924</v>
      </c>
      <c r="C73" s="294">
        <v>497.77777777777777</v>
      </c>
    </row>
    <row r="74" spans="1:3" ht="11.25" customHeight="1">
      <c r="A74" s="295" t="s">
        <v>20</v>
      </c>
      <c r="B74" s="296">
        <v>508.23529411764707</v>
      </c>
      <c r="C74" s="297">
        <v>485.39325842696627</v>
      </c>
    </row>
    <row r="75" spans="1:3" ht="11.25" customHeight="1">
      <c r="A75" s="292" t="s">
        <v>31</v>
      </c>
      <c r="B75" s="293">
        <v>472.50000000000006</v>
      </c>
      <c r="C75" s="294">
        <v>472.50000000000006</v>
      </c>
    </row>
    <row r="76" spans="1:3" ht="11.25" customHeight="1">
      <c r="A76" s="298" t="s">
        <v>2</v>
      </c>
      <c r="B76" s="299">
        <v>615</v>
      </c>
      <c r="C76" s="300">
        <v>405</v>
      </c>
    </row>
    <row r="77" spans="1:3">
      <c r="A77" s="292" t="s">
        <v>210</v>
      </c>
      <c r="B77" s="293">
        <v>658.93708478814006</v>
      </c>
      <c r="C77" s="294">
        <v>655.24052026602226</v>
      </c>
    </row>
    <row r="78" spans="1:3">
      <c r="A78" s="298" t="s">
        <v>211</v>
      </c>
      <c r="B78" s="299">
        <v>673.85280350106405</v>
      </c>
      <c r="C78" s="300">
        <v>633.37048710755892</v>
      </c>
    </row>
  </sheetData>
  <mergeCells count="5">
    <mergeCell ref="A6:G6"/>
    <mergeCell ref="A7:H7"/>
    <mergeCell ref="A8:E8"/>
    <mergeCell ref="A38:L38"/>
    <mergeCell ref="A39:L39"/>
  </mergeCells>
  <hyperlinks>
    <hyperlink ref="A1" r:id="rId1" display="https://doi.org/10.1787/eag-2018-en"/>
    <hyperlink ref="A4" r:id="rId2"/>
  </hyperlinks>
  <pageMargins left="0.7" right="0.7" top="0.75" bottom="0.75" header="0.3" footer="0.3"/>
  <pageSetup paperSize="9" scale="59" orientation="portrait" r:id="rId3"/>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I67"/>
  <sheetViews>
    <sheetView showGridLines="0" tabSelected="1" zoomScaleNormal="100" workbookViewId="0"/>
  </sheetViews>
  <sheetFormatPr defaultColWidth="9" defaultRowHeight="13.2"/>
  <cols>
    <col min="1" max="1" width="15.375" style="280" customWidth="1"/>
    <col min="2" max="2" width="8.25" style="280" customWidth="1"/>
    <col min="3" max="3" width="7.875" style="280" customWidth="1"/>
    <col min="4" max="5" width="11.125" style="280" customWidth="1"/>
    <col min="6" max="6" width="9" style="280" customWidth="1"/>
    <col min="7" max="8" width="10.125" style="280" customWidth="1"/>
    <col min="9" max="9" width="13.125" style="280" customWidth="1"/>
    <col min="10" max="16384" width="9" style="280"/>
  </cols>
  <sheetData>
    <row r="1" spans="1:9" s="492" customFormat="1">
      <c r="A1" s="484" t="s">
        <v>235</v>
      </c>
    </row>
    <row r="2" spans="1:9" s="492" customFormat="1">
      <c r="A2" s="492" t="s">
        <v>236</v>
      </c>
      <c r="B2" s="492" t="s">
        <v>237</v>
      </c>
    </row>
    <row r="3" spans="1:9" s="492" customFormat="1">
      <c r="A3" s="492" t="s">
        <v>238</v>
      </c>
    </row>
    <row r="4" spans="1:9" s="492" customFormat="1">
      <c r="A4" s="484" t="s">
        <v>239</v>
      </c>
    </row>
    <row r="5" spans="1:9" s="492" customFormat="1"/>
    <row r="6" spans="1:9" ht="12.75" customHeight="1">
      <c r="A6" s="347" t="s">
        <v>163</v>
      </c>
      <c r="B6" s="347"/>
      <c r="C6" s="347"/>
      <c r="D6" s="347"/>
      <c r="E6" s="347"/>
      <c r="F6" s="347"/>
      <c r="G6" s="347"/>
      <c r="H6" s="347"/>
      <c r="I6" s="347"/>
    </row>
    <row r="7" spans="1:9" ht="11.25" customHeight="1">
      <c r="A7" s="348" t="s">
        <v>166</v>
      </c>
      <c r="B7" s="347"/>
      <c r="C7" s="347"/>
      <c r="D7" s="347"/>
      <c r="E7" s="347"/>
      <c r="F7" s="347"/>
      <c r="G7" s="347"/>
      <c r="H7" s="347"/>
      <c r="I7" s="347"/>
    </row>
    <row r="8" spans="1:9" ht="12.75" customHeight="1">
      <c r="A8" s="349" t="s">
        <v>226</v>
      </c>
      <c r="B8" s="350"/>
      <c r="C8" s="350"/>
      <c r="D8" s="350"/>
      <c r="E8" s="350"/>
      <c r="F8" s="350"/>
      <c r="G8" s="350"/>
      <c r="H8" s="350"/>
      <c r="I8" s="350"/>
    </row>
    <row r="9" spans="1:9" ht="12.75" customHeight="1">
      <c r="A9" s="351"/>
      <c r="B9" s="351"/>
      <c r="C9" s="351"/>
      <c r="D9" s="351"/>
      <c r="E9" s="351"/>
      <c r="F9" s="351"/>
      <c r="G9" s="351"/>
      <c r="H9" s="351"/>
      <c r="I9" s="351"/>
    </row>
    <row r="10" spans="1:9" ht="12.75" customHeight="1">
      <c r="A10" s="351"/>
      <c r="B10" s="351"/>
      <c r="C10" s="351"/>
      <c r="D10" s="351"/>
      <c r="E10" s="351"/>
      <c r="F10" s="351"/>
      <c r="G10" s="351"/>
      <c r="H10" s="351"/>
      <c r="I10" s="351"/>
    </row>
    <row r="11" spans="1:9" ht="12.75" customHeight="1">
      <c r="A11" s="351"/>
      <c r="B11" s="351"/>
      <c r="C11" s="351"/>
      <c r="D11" s="351"/>
      <c r="E11" s="351"/>
      <c r="F11" s="351"/>
      <c r="G11" s="351"/>
      <c r="H11" s="351"/>
      <c r="I11" s="351"/>
    </row>
    <row r="12" spans="1:9" ht="12.75" customHeight="1">
      <c r="A12" s="351"/>
      <c r="B12" s="351"/>
      <c r="C12" s="351"/>
      <c r="D12" s="351"/>
      <c r="E12" s="351"/>
      <c r="F12" s="351"/>
      <c r="G12" s="351"/>
      <c r="H12" s="351"/>
      <c r="I12" s="351"/>
    </row>
    <row r="13" spans="1:9" ht="12.75" customHeight="1">
      <c r="A13" s="351"/>
      <c r="B13" s="351"/>
      <c r="C13" s="351"/>
      <c r="D13" s="351"/>
      <c r="E13" s="351"/>
      <c r="F13" s="351"/>
      <c r="G13" s="351"/>
      <c r="H13" s="351"/>
      <c r="I13" s="351"/>
    </row>
    <row r="14" spans="1:9" ht="12.75" customHeight="1">
      <c r="A14" s="351"/>
      <c r="B14" s="351"/>
      <c r="C14" s="351"/>
      <c r="D14" s="351"/>
      <c r="E14" s="351"/>
      <c r="F14" s="351"/>
      <c r="G14" s="351"/>
      <c r="H14" s="351"/>
      <c r="I14" s="351"/>
    </row>
    <row r="15" spans="1:9" ht="12.75" customHeight="1">
      <c r="A15" s="351"/>
      <c r="B15" s="351"/>
      <c r="C15" s="351"/>
      <c r="D15" s="351"/>
      <c r="E15" s="351"/>
      <c r="F15" s="351"/>
      <c r="G15" s="351"/>
      <c r="H15" s="351"/>
      <c r="I15" s="351"/>
    </row>
    <row r="16" spans="1:9" ht="12.75" customHeight="1">
      <c r="A16" s="351"/>
      <c r="B16" s="351"/>
      <c r="C16" s="351"/>
      <c r="D16" s="351"/>
      <c r="E16" s="351"/>
      <c r="F16" s="351"/>
      <c r="G16" s="351"/>
      <c r="H16" s="351"/>
      <c r="I16" s="351"/>
    </row>
    <row r="17" spans="1:9" ht="12.75" customHeight="1">
      <c r="A17" s="351"/>
      <c r="B17" s="351"/>
      <c r="C17" s="351"/>
      <c r="D17" s="351"/>
      <c r="E17" s="351"/>
      <c r="F17" s="351"/>
      <c r="G17" s="351"/>
      <c r="H17" s="351"/>
      <c r="I17" s="351"/>
    </row>
    <row r="18" spans="1:9" ht="12.75" customHeight="1">
      <c r="A18" s="351"/>
      <c r="B18" s="351"/>
      <c r="C18" s="351"/>
      <c r="D18" s="351"/>
      <c r="E18" s="351"/>
      <c r="F18" s="351"/>
      <c r="G18" s="351"/>
      <c r="H18" s="351"/>
      <c r="I18" s="351"/>
    </row>
    <row r="19" spans="1:9" ht="12.75" customHeight="1">
      <c r="A19" s="351"/>
      <c r="B19" s="351"/>
      <c r="C19" s="351"/>
      <c r="D19" s="351"/>
      <c r="E19" s="351"/>
      <c r="F19" s="351"/>
      <c r="G19" s="351"/>
      <c r="H19" s="351"/>
      <c r="I19" s="351"/>
    </row>
    <row r="20" spans="1:9" ht="12.75" customHeight="1">
      <c r="A20" s="351"/>
      <c r="B20" s="351"/>
      <c r="C20" s="351"/>
      <c r="D20" s="351"/>
      <c r="E20" s="351"/>
      <c r="F20" s="351"/>
      <c r="G20" s="351"/>
      <c r="H20" s="351"/>
      <c r="I20" s="351"/>
    </row>
    <row r="21" spans="1:9" ht="12.75" customHeight="1">
      <c r="A21" s="351"/>
      <c r="B21" s="351"/>
      <c r="C21" s="351"/>
      <c r="D21" s="351"/>
      <c r="E21" s="351"/>
      <c r="F21" s="351"/>
      <c r="G21" s="351"/>
      <c r="H21" s="351"/>
      <c r="I21" s="351"/>
    </row>
    <row r="22" spans="1:9" ht="12.75" customHeight="1">
      <c r="A22" s="351"/>
      <c r="B22" s="351"/>
      <c r="C22" s="351"/>
      <c r="D22" s="351"/>
      <c r="E22" s="351"/>
      <c r="F22" s="351"/>
      <c r="G22" s="351"/>
      <c r="H22" s="351"/>
      <c r="I22" s="351"/>
    </row>
    <row r="23" spans="1:9" ht="12.75" customHeight="1">
      <c r="A23" s="351"/>
      <c r="B23" s="351"/>
      <c r="C23" s="351"/>
      <c r="D23" s="351"/>
      <c r="E23" s="351"/>
      <c r="F23" s="351"/>
      <c r="G23" s="351"/>
      <c r="H23" s="351"/>
      <c r="I23" s="351"/>
    </row>
    <row r="24" spans="1:9" ht="12.75" customHeight="1">
      <c r="A24" s="351"/>
      <c r="B24" s="351"/>
      <c r="C24" s="351"/>
      <c r="D24" s="351"/>
      <c r="E24" s="351"/>
      <c r="F24" s="351"/>
      <c r="G24" s="351"/>
      <c r="H24" s="351"/>
      <c r="I24" s="351"/>
    </row>
    <row r="25" spans="1:9" ht="12.75" customHeight="1">
      <c r="A25" s="351"/>
      <c r="B25" s="351"/>
      <c r="C25" s="351"/>
      <c r="D25" s="351"/>
      <c r="E25" s="351"/>
      <c r="F25" s="351"/>
      <c r="G25" s="351"/>
      <c r="H25" s="351"/>
      <c r="I25" s="351"/>
    </row>
    <row r="26" spans="1:9" ht="12.75" customHeight="1">
      <c r="A26" s="351"/>
      <c r="B26" s="351"/>
      <c r="C26" s="351"/>
      <c r="D26" s="351"/>
      <c r="E26" s="351"/>
      <c r="F26" s="351"/>
      <c r="G26" s="351"/>
      <c r="H26" s="351"/>
      <c r="I26" s="351"/>
    </row>
    <row r="27" spans="1:9" ht="12.75" customHeight="1">
      <c r="A27" s="351"/>
      <c r="B27" s="351"/>
      <c r="C27" s="351"/>
      <c r="D27" s="351"/>
      <c r="E27" s="351"/>
      <c r="F27" s="351"/>
      <c r="G27" s="351"/>
      <c r="H27" s="351"/>
      <c r="I27" s="351"/>
    </row>
    <row r="28" spans="1:9" ht="12.75" customHeight="1">
      <c r="A28" s="351"/>
      <c r="B28" s="351"/>
      <c r="C28" s="351"/>
      <c r="D28" s="351"/>
      <c r="E28" s="351"/>
      <c r="F28" s="351"/>
      <c r="G28" s="351"/>
      <c r="H28" s="351"/>
      <c r="I28" s="351"/>
    </row>
    <row r="29" spans="1:9" ht="12.75" customHeight="1">
      <c r="A29" s="351"/>
      <c r="B29" s="351"/>
      <c r="C29" s="351"/>
      <c r="D29" s="351"/>
      <c r="E29" s="351"/>
      <c r="F29" s="351"/>
      <c r="G29" s="351"/>
      <c r="H29" s="351"/>
      <c r="I29" s="351"/>
    </row>
    <row r="30" spans="1:9" ht="12.75" customHeight="1">
      <c r="A30" s="351"/>
      <c r="B30" s="351"/>
      <c r="C30" s="351"/>
      <c r="D30" s="351"/>
      <c r="E30" s="351"/>
      <c r="F30" s="351"/>
      <c r="G30" s="351"/>
      <c r="H30" s="351"/>
      <c r="I30" s="351"/>
    </row>
    <row r="31" spans="1:9" ht="12.75" customHeight="1">
      <c r="A31" s="351"/>
      <c r="B31" s="351"/>
      <c r="C31" s="351"/>
      <c r="D31" s="351"/>
      <c r="E31" s="351"/>
      <c r="F31" s="351"/>
      <c r="G31" s="351"/>
      <c r="H31" s="351"/>
      <c r="I31" s="351"/>
    </row>
    <row r="32" spans="1:9" ht="12.75" customHeight="1">
      <c r="A32" s="351"/>
      <c r="B32" s="351"/>
      <c r="C32" s="351"/>
      <c r="D32" s="351"/>
      <c r="E32" s="351"/>
      <c r="F32" s="351"/>
      <c r="G32" s="351"/>
      <c r="H32" s="351"/>
      <c r="I32" s="351"/>
    </row>
    <row r="33" spans="1:9" ht="12.75" customHeight="1">
      <c r="A33" s="352" t="s">
        <v>209</v>
      </c>
      <c r="B33" s="351"/>
      <c r="C33" s="351"/>
      <c r="D33" s="351"/>
      <c r="E33" s="351"/>
      <c r="F33" s="351"/>
      <c r="G33" s="351"/>
      <c r="H33" s="351"/>
      <c r="I33" s="351"/>
    </row>
    <row r="34" spans="1:9" ht="12.75" customHeight="1">
      <c r="A34" s="352" t="s">
        <v>227</v>
      </c>
      <c r="B34" s="351"/>
      <c r="C34" s="351"/>
      <c r="D34" s="351"/>
      <c r="E34" s="351"/>
      <c r="F34" s="351"/>
      <c r="G34" s="351"/>
      <c r="H34" s="351"/>
      <c r="I34" s="351"/>
    </row>
    <row r="35" spans="1:9" ht="12.75" customHeight="1">
      <c r="A35" s="352" t="s">
        <v>228</v>
      </c>
      <c r="B35" s="353"/>
      <c r="C35" s="353"/>
      <c r="D35" s="353"/>
      <c r="E35" s="353"/>
      <c r="F35" s="353"/>
      <c r="G35" s="353"/>
      <c r="H35" s="353"/>
      <c r="I35" s="354"/>
    </row>
    <row r="36" spans="1:9" ht="24" customHeight="1">
      <c r="A36" s="471" t="s">
        <v>219</v>
      </c>
      <c r="B36" s="472"/>
      <c r="C36" s="472"/>
      <c r="D36" s="472"/>
      <c r="E36" s="472"/>
      <c r="F36" s="472"/>
      <c r="G36" s="472"/>
      <c r="H36" s="472"/>
      <c r="I36" s="473"/>
    </row>
    <row r="37" spans="1:9" ht="15" customHeight="1">
      <c r="A37" s="355" t="s">
        <v>212</v>
      </c>
      <c r="B37" s="354"/>
      <c r="C37" s="354"/>
      <c r="D37" s="354"/>
      <c r="E37" s="354"/>
      <c r="F37" s="354"/>
      <c r="G37" s="354"/>
      <c r="H37" s="354"/>
      <c r="I37" s="356"/>
    </row>
    <row r="41" spans="1:9">
      <c r="A41" s="285"/>
      <c r="B41" s="285"/>
      <c r="C41" s="285"/>
    </row>
    <row r="42" spans="1:9" ht="71.400000000000006">
      <c r="A42" s="286"/>
      <c r="B42" s="372" t="s">
        <v>232</v>
      </c>
      <c r="C42" s="288" t="s">
        <v>233</v>
      </c>
    </row>
    <row r="43" spans="1:9" ht="11.25" customHeight="1">
      <c r="A43" s="301" t="s">
        <v>31</v>
      </c>
      <c r="B43" s="290">
        <v>477.9</v>
      </c>
      <c r="C43" s="302">
        <v>0.32290540540540541</v>
      </c>
    </row>
    <row r="44" spans="1:9" ht="11.25" customHeight="1">
      <c r="A44" s="303" t="s">
        <v>16</v>
      </c>
      <c r="B44" s="293">
        <v>504</v>
      </c>
      <c r="C44" s="304">
        <v>0.3165829145728643</v>
      </c>
    </row>
    <row r="45" spans="1:9" ht="11.25" customHeight="1">
      <c r="A45" s="305" t="s">
        <v>30</v>
      </c>
      <c r="B45" s="296">
        <v>533.23146017520503</v>
      </c>
      <c r="C45" s="306">
        <v>0.35081017116789792</v>
      </c>
    </row>
    <row r="46" spans="1:9" ht="11.25" customHeight="1">
      <c r="A46" s="303" t="s">
        <v>41</v>
      </c>
      <c r="B46" s="293">
        <v>602</v>
      </c>
      <c r="C46" s="304">
        <v>0.39090909090909093</v>
      </c>
    </row>
    <row r="47" spans="1:9" ht="11.25" customHeight="1">
      <c r="A47" s="305" t="s">
        <v>1</v>
      </c>
      <c r="B47" s="296">
        <v>606.6</v>
      </c>
      <c r="C47" s="306">
        <v>0.34155405405405409</v>
      </c>
    </row>
    <row r="48" spans="1:9" ht="11.25" customHeight="1">
      <c r="A48" s="303" t="s">
        <v>197</v>
      </c>
      <c r="B48" s="293">
        <v>609.910571</v>
      </c>
      <c r="C48" s="304">
        <v>0.32390364896441848</v>
      </c>
    </row>
    <row r="49" spans="1:3" ht="11.25" customHeight="1">
      <c r="A49" s="305" t="s">
        <v>83</v>
      </c>
      <c r="B49" s="296">
        <v>612</v>
      </c>
      <c r="C49" s="306">
        <v>0.38636363636363635</v>
      </c>
    </row>
    <row r="50" spans="1:3" ht="11.25" customHeight="1">
      <c r="A50" s="303" t="s">
        <v>28</v>
      </c>
      <c r="B50" s="293">
        <v>617.1</v>
      </c>
      <c r="C50" s="304">
        <v>0.3955769230769231</v>
      </c>
    </row>
    <row r="51" spans="1:3" ht="11.25" customHeight="1">
      <c r="A51" s="305" t="s">
        <v>20</v>
      </c>
      <c r="B51" s="296">
        <v>623.88</v>
      </c>
      <c r="C51" s="306">
        <v>0.35447727272727275</v>
      </c>
    </row>
    <row r="52" spans="1:3" ht="11.25" customHeight="1">
      <c r="A52" s="303" t="s">
        <v>12</v>
      </c>
      <c r="B52" s="293">
        <v>616</v>
      </c>
      <c r="C52" s="304">
        <v>0.42249657064471879</v>
      </c>
    </row>
    <row r="53" spans="1:3" ht="11.25" customHeight="1">
      <c r="A53" s="305" t="s">
        <v>29</v>
      </c>
      <c r="B53" s="296">
        <v>652.04999999999995</v>
      </c>
      <c r="C53" s="306">
        <v>0.41598086124401917</v>
      </c>
    </row>
    <row r="54" spans="1:3" ht="11.25" customHeight="1">
      <c r="A54" s="303" t="s">
        <v>17</v>
      </c>
      <c r="B54" s="293">
        <v>655.20000000000005</v>
      </c>
      <c r="C54" s="304">
        <v>0.39375000000000004</v>
      </c>
    </row>
    <row r="55" spans="1:3" ht="11.25" customHeight="1">
      <c r="A55" s="305" t="s">
        <v>11</v>
      </c>
      <c r="B55" s="296">
        <v>663.1</v>
      </c>
      <c r="C55" s="306">
        <v>0.39294814814814816</v>
      </c>
    </row>
    <row r="56" spans="1:3" ht="11.25" customHeight="1">
      <c r="A56" s="303" t="s">
        <v>4</v>
      </c>
      <c r="B56" s="293">
        <v>684</v>
      </c>
      <c r="C56" s="304">
        <v>0.42563783447417547</v>
      </c>
    </row>
    <row r="57" spans="1:3" ht="11.25" customHeight="1">
      <c r="A57" s="305" t="s">
        <v>32</v>
      </c>
      <c r="B57" s="296">
        <v>698.87170663429094</v>
      </c>
      <c r="C57" s="306">
        <v>0.5916562423604641</v>
      </c>
    </row>
    <row r="58" spans="1:3" ht="11.25" customHeight="1">
      <c r="A58" s="303" t="s">
        <v>13</v>
      </c>
      <c r="B58" s="293">
        <v>712.8</v>
      </c>
      <c r="C58" s="304">
        <v>0.50021052631578944</v>
      </c>
    </row>
    <row r="59" spans="1:3" ht="11.25" customHeight="1">
      <c r="A59" s="305" t="s">
        <v>5</v>
      </c>
      <c r="B59" s="296">
        <v>747.40942004589397</v>
      </c>
      <c r="C59" s="306">
        <v>0.41953938818180952</v>
      </c>
    </row>
    <row r="60" spans="1:3" ht="11.25" customHeight="1">
      <c r="A60" s="303" t="s">
        <v>9</v>
      </c>
      <c r="B60" s="293">
        <v>750</v>
      </c>
      <c r="C60" s="304">
        <v>0.45207956600361665</v>
      </c>
    </row>
    <row r="61" spans="1:3" ht="11.25" customHeight="1">
      <c r="A61" s="305" t="s">
        <v>15</v>
      </c>
      <c r="B61" s="296">
        <v>760</v>
      </c>
      <c r="C61" s="306">
        <v>0.35480859010270777</v>
      </c>
    </row>
    <row r="62" spans="1:3" ht="11.25" customHeight="1">
      <c r="A62" s="303" t="s">
        <v>128</v>
      </c>
      <c r="B62" s="293">
        <v>855</v>
      </c>
      <c r="C62" s="304">
        <v>0.62637362637362637</v>
      </c>
    </row>
    <row r="63" spans="1:3" ht="11.25" customHeight="1">
      <c r="A63" s="305" t="s">
        <v>222</v>
      </c>
      <c r="B63" s="296">
        <v>966.36311999999998</v>
      </c>
      <c r="C63" s="306">
        <v>0.47567963081283959</v>
      </c>
    </row>
    <row r="64" spans="1:3" ht="11.25" customHeight="1">
      <c r="A64" s="303" t="s">
        <v>73</v>
      </c>
      <c r="B64" s="293">
        <v>1020</v>
      </c>
      <c r="C64" s="304">
        <v>0.57954545454545459</v>
      </c>
    </row>
    <row r="65" spans="1:3" ht="11.25" customHeight="1">
      <c r="A65" s="305" t="s">
        <v>37</v>
      </c>
      <c r="B65" s="296">
        <v>1063.5552077238201</v>
      </c>
      <c r="C65" s="306">
        <v>0.5419665754809494</v>
      </c>
    </row>
    <row r="66" spans="1:3" ht="11.25" customHeight="1">
      <c r="A66" s="307" t="s">
        <v>72</v>
      </c>
      <c r="B66" s="308">
        <v>1200</v>
      </c>
      <c r="C66" s="309">
        <v>0.75</v>
      </c>
    </row>
    <row r="67" spans="1:3">
      <c r="A67" s="305" t="s">
        <v>234</v>
      </c>
      <c r="B67" s="296">
        <v>717.95714523246681</v>
      </c>
      <c r="C67" s="306">
        <v>0.43857317216374508</v>
      </c>
    </row>
  </sheetData>
  <mergeCells count="1">
    <mergeCell ref="A36:I36"/>
  </mergeCells>
  <hyperlinks>
    <hyperlink ref="A1" r:id="rId1" display="https://doi.org/10.1787/eag-2018-en"/>
    <hyperlink ref="A4" r:id="rId2"/>
  </hyperlinks>
  <pageMargins left="0.7" right="0.7" top="0.75" bottom="0.75" header="0.3" footer="0.3"/>
  <pageSetup paperSize="9" scale="60" orientation="portrait" r:id="rId3"/>
  <customProperties>
    <customPr name="CycleColor" r:id="rId4"/>
    <customPr name="DashStyle" r:id="rId5"/>
    <customPr name="GraphSizeIndex" r:id="rId6"/>
    <customPr name="GraphSizeName" r:id="rId7"/>
    <customPr name="PageSizeIndex" r:id="rId8"/>
    <customPr name="PageSizeName" r:id="rId9"/>
    <customPr name="PaletteIndex" r:id="rId10"/>
    <customPr name="PaletteName" r:id="rId11"/>
    <customPr name="SinglePanel" r:id="rId12"/>
    <customPr name="StartColorIndex" r:id="rId13"/>
    <customPr name="StartColorName" r:id="rId14"/>
    <customPr name="StyleTemplateIndex" r:id="rId15"/>
    <customPr name="StyleTemplateName" r:id="rId16"/>
  </customProperties>
  <drawing r:id="rId17"/>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rgb="FF00B050"/>
  </sheetPr>
  <dimension ref="A1:U514"/>
  <sheetViews>
    <sheetView zoomScale="110" zoomScaleNormal="110" zoomScalePageLayoutView="110" workbookViewId="0">
      <selection activeCell="C9" sqref="C9"/>
    </sheetView>
  </sheetViews>
  <sheetFormatPr defaultColWidth="9" defaultRowHeight="9.6"/>
  <cols>
    <col min="1" max="1" width="17" customWidth="1"/>
    <col min="2" max="2" width="3.375" customWidth="1"/>
    <col min="3" max="3" width="12.625" customWidth="1"/>
    <col min="4" max="4" width="13.75" customWidth="1"/>
    <col min="5" max="5" width="12.25" customWidth="1"/>
    <col min="6" max="21" width="9" style="14"/>
  </cols>
  <sheetData>
    <row r="1" spans="1:11" ht="12" customHeight="1">
      <c r="A1" s="474" t="s">
        <v>66</v>
      </c>
      <c r="B1" s="474"/>
      <c r="C1" s="474"/>
      <c r="D1" s="474"/>
      <c r="E1" s="474"/>
      <c r="F1" s="43"/>
      <c r="G1" s="43"/>
      <c r="H1" s="43"/>
      <c r="I1" s="43"/>
      <c r="J1" s="43"/>
      <c r="K1" s="43"/>
    </row>
    <row r="2" spans="1:11">
      <c r="A2" s="14"/>
      <c r="B2" s="14"/>
      <c r="C2" s="14"/>
      <c r="D2" s="14"/>
      <c r="E2" s="14"/>
    </row>
    <row r="3" spans="1:11">
      <c r="A3" s="14"/>
      <c r="B3" s="14"/>
      <c r="C3" s="14"/>
      <c r="D3" s="14"/>
      <c r="E3" s="14"/>
    </row>
    <row r="4" spans="1:11">
      <c r="A4" s="14"/>
      <c r="B4" s="14"/>
      <c r="C4" s="14"/>
      <c r="D4" s="14"/>
      <c r="E4" s="14"/>
    </row>
    <row r="5" spans="1:11" ht="26.1" customHeight="1">
      <c r="A5" s="16"/>
      <c r="B5" s="17"/>
      <c r="C5" s="51" t="s">
        <v>56</v>
      </c>
      <c r="D5" s="51" t="s">
        <v>57</v>
      </c>
      <c r="E5" s="28" t="s">
        <v>58</v>
      </c>
    </row>
    <row r="6" spans="1:11" ht="24.6">
      <c r="A6" s="3"/>
      <c r="B6" s="18" t="s">
        <v>45</v>
      </c>
      <c r="C6" s="28" t="s">
        <v>59</v>
      </c>
      <c r="D6" s="28" t="s">
        <v>59</v>
      </c>
      <c r="E6" s="28" t="s">
        <v>59</v>
      </c>
    </row>
    <row r="7" spans="1:11" ht="12.75" customHeight="1">
      <c r="A7" s="10"/>
      <c r="B7" s="13"/>
      <c r="C7" s="4" t="s">
        <v>34</v>
      </c>
      <c r="D7" s="5" t="s">
        <v>35</v>
      </c>
      <c r="E7" s="29" t="s">
        <v>36</v>
      </c>
    </row>
    <row r="8" spans="1:11" ht="10.199999999999999">
      <c r="A8" s="19" t="s">
        <v>52</v>
      </c>
      <c r="B8" s="11"/>
      <c r="C8" s="7"/>
      <c r="D8" s="8"/>
      <c r="E8" s="44"/>
    </row>
    <row r="9" spans="1:11" ht="10.199999999999999">
      <c r="A9" s="20" t="s">
        <v>18</v>
      </c>
      <c r="B9" s="15"/>
      <c r="C9" s="30" t="str">
        <f>IF(COUNT('Table D4.1.'!AC15,#REF!)=2,#REF!/'Table D4.1.'!AC15,"m")</f>
        <v>m</v>
      </c>
      <c r="D9" s="45" t="str">
        <f>IF(COUNT('Table D4.1.'!AE15,#REF!)=2,#REF!/'Table D4.1.'!AE15,"m")</f>
        <v>m</v>
      </c>
      <c r="E9" s="45" t="str">
        <f>IF(COUNT('Table D4.1.'!AI15,#REF!)=2,#REF!/'Table D4.1.'!AI15,"m")</f>
        <v>m</v>
      </c>
    </row>
    <row r="10" spans="1:11" ht="10.199999999999999">
      <c r="A10" s="20" t="s">
        <v>1</v>
      </c>
      <c r="B10" s="15"/>
      <c r="C10" s="30" t="str">
        <f>IF(COUNT('Table D4.1.'!AC16,#REF!)=2,#REF!/'Table D4.1.'!AC16,"m")</f>
        <v>m</v>
      </c>
      <c r="D10" s="31" t="str">
        <f>IF(COUNT('Table D4.1.'!AE16,#REF!)=2,#REF!/'Table D4.1.'!AE16,"m")</f>
        <v>m</v>
      </c>
      <c r="E10" s="45" t="str">
        <f>IF(COUNT('Table D4.1.'!AI16,#REF!)=2,#REF!/'Table D4.1.'!AI16,"m")</f>
        <v>m</v>
      </c>
    </row>
    <row r="11" spans="1:11" ht="10.199999999999999">
      <c r="A11" s="6" t="s">
        <v>26</v>
      </c>
      <c r="B11" s="11"/>
      <c r="C11" s="32" t="str">
        <f>IF(COUNT('Table D4.1.'!AC50,#REF!)=2,#REF!/'Table D4.1.'!AC50,"m")</f>
        <v>m</v>
      </c>
      <c r="D11" s="33" t="str">
        <f>IF(COUNT('Table D4.1.'!AE50,#REF!)=2,#REF!/'Table D4.1.'!AE50,"m")</f>
        <v>m</v>
      </c>
      <c r="E11" s="46" t="str">
        <f>IF(COUNT('Table D4.1.'!AI50,#REF!)=2,#REF!/'Table D4.1.'!AI50,"m")</f>
        <v>m</v>
      </c>
    </row>
    <row r="12" spans="1:11" ht="10.199999999999999">
      <c r="A12" s="6" t="s">
        <v>27</v>
      </c>
      <c r="B12" s="11"/>
      <c r="C12" s="32" t="str">
        <f>IF(COUNT('Table D4.1.'!AC51,#REF!)=2,#REF!/'Table D4.1.'!AC51,"m")</f>
        <v>m</v>
      </c>
      <c r="D12" s="33" t="str">
        <f>IF(COUNT('Table D4.1.'!AE51,#REF!)=2,#REF!/'Table D4.1.'!AE51,"m")</f>
        <v>m</v>
      </c>
      <c r="E12" s="46" t="str">
        <f>IF(COUNT('Table D4.1.'!AI51,#REF!)=2,#REF!/'Table D4.1.'!AI51,"m")</f>
        <v>m</v>
      </c>
    </row>
    <row r="13" spans="1:11" ht="10.199999999999999">
      <c r="A13" s="20" t="s">
        <v>46</v>
      </c>
      <c r="B13" s="15"/>
      <c r="C13" s="30" t="str">
        <f>IF(COUNT('Table D4.1.'!AC17,#REF!)=2,#REF!/'Table D4.1.'!AC17,"m")</f>
        <v>m</v>
      </c>
      <c r="D13" s="31" t="str">
        <f>IF(COUNT('Table D4.1.'!AE17,#REF!)=2,#REF!/'Table D4.1.'!AE17,"m")</f>
        <v>m</v>
      </c>
      <c r="E13" s="45" t="str">
        <f>IF(COUNT('Table D4.1.'!AI17,#REF!)=2,#REF!/'Table D4.1.'!AI17,"m")</f>
        <v>m</v>
      </c>
    </row>
    <row r="14" spans="1:11" ht="10.199999999999999">
      <c r="A14" s="20" t="s">
        <v>37</v>
      </c>
      <c r="B14" s="15"/>
      <c r="C14" s="30" t="str">
        <f>IF(COUNT('Table D4.1.'!AC18,#REF!)=2,#REF!/'Table D4.1.'!AC18,"m")</f>
        <v>m</v>
      </c>
      <c r="D14" s="31" t="str">
        <f>IF(COUNT('Table D4.1.'!AE18,#REF!)=2,#REF!/'Table D4.1.'!AE18,"m")</f>
        <v>m</v>
      </c>
      <c r="E14" s="45" t="str">
        <f>IF(COUNT('Table D4.1.'!AI18,#REF!)=2,#REF!/'Table D4.1.'!AI18,"m")</f>
        <v>m</v>
      </c>
    </row>
    <row r="15" spans="1:11" ht="10.199999999999999">
      <c r="A15" s="6" t="s">
        <v>28</v>
      </c>
      <c r="B15" s="11"/>
      <c r="C15" s="32" t="str">
        <f>IF(COUNT('Table D4.1.'!AC19,#REF!)=2,#REF!/'Table D4.1.'!AC19,"m")</f>
        <v>m</v>
      </c>
      <c r="D15" s="33" t="str">
        <f>IF(COUNT('Table D4.1.'!AE19,#REF!)=2,#REF!/'Table D4.1.'!AE19,"m")</f>
        <v>m</v>
      </c>
      <c r="E15" s="46" t="str">
        <f>IF(COUNT('Table D4.1.'!AI19,#REF!)=2,#REF!/'Table D4.1.'!AI19,"m")</f>
        <v>m</v>
      </c>
    </row>
    <row r="16" spans="1:11" ht="10.199999999999999">
      <c r="A16" s="6" t="s">
        <v>2</v>
      </c>
      <c r="B16" s="11"/>
      <c r="C16" s="32" t="str">
        <f>IF(COUNT('Table D4.1.'!AC20,#REF!)=2,#REF!/'Table D4.1.'!AC20,"m")</f>
        <v>m</v>
      </c>
      <c r="D16" s="33" t="str">
        <f>IF(COUNT('Table D4.1.'!AE20,#REF!)=2,#REF!/'Table D4.1.'!AE20,"m")</f>
        <v>m</v>
      </c>
      <c r="E16" s="46" t="str">
        <f>IF(COUNT('Table D4.1.'!AI20,#REF!)=2,#REF!/'Table D4.1.'!AI20,"m")</f>
        <v>m</v>
      </c>
    </row>
    <row r="17" spans="1:5" ht="10.199999999999999">
      <c r="A17" s="20" t="s">
        <v>25</v>
      </c>
      <c r="B17" s="15"/>
      <c r="C17" s="30" t="str">
        <f>IF(COUNT('Table D4.1.'!AC52,#REF!)=2,#REF!/'Table D4.1.'!AC52,"m")</f>
        <v>m</v>
      </c>
      <c r="D17" s="31" t="str">
        <f>IF(COUNT('Table D4.1.'!AE52,#REF!)=2,#REF!/'Table D4.1.'!AE52,"m")</f>
        <v>m</v>
      </c>
      <c r="E17" s="45" t="str">
        <f>IF(COUNT('Table D4.1.'!AI52,#REF!)=2,#REF!/'Table D4.1.'!AI52,"m")</f>
        <v>m</v>
      </c>
    </row>
    <row r="18" spans="1:5" ht="10.199999999999999">
      <c r="A18" s="20" t="s">
        <v>41</v>
      </c>
      <c r="B18" s="15"/>
      <c r="C18" s="30" t="str">
        <f>IF(COUNT('Table D4.1.'!AC21,#REF!)=2,#REF!/'Table D4.1.'!AC21,"m")</f>
        <v>m</v>
      </c>
      <c r="D18" s="31" t="str">
        <f>IF(COUNT('Table D4.1.'!AE21,#REF!)=2,#REF!/'Table D4.1.'!AE21,"m")</f>
        <v>m</v>
      </c>
      <c r="E18" s="45" t="str">
        <f>IF(COUNT('Table D4.1.'!AI21,#REF!)=2,#REF!/'Table D4.1.'!AI21,"m")</f>
        <v>m</v>
      </c>
    </row>
    <row r="19" spans="1:5" ht="10.199999999999999">
      <c r="A19" s="6" t="s">
        <v>3</v>
      </c>
      <c r="B19" s="11"/>
      <c r="C19" s="32" t="str">
        <f>IF(COUNT('Table D4.1.'!AC22,#REF!)=2,#REF!/'Table D4.1.'!AC22,"m")</f>
        <v>m</v>
      </c>
      <c r="D19" s="33" t="str">
        <f>IF(COUNT('Table D4.1.'!AE22,#REF!)=2,#REF!/'Table D4.1.'!AE22,"m")</f>
        <v>m</v>
      </c>
      <c r="E19" s="46" t="str">
        <f>IF(COUNT('Table D4.1.'!AI22,#REF!)=2,#REF!/'Table D4.1.'!AI22,"m")</f>
        <v>m</v>
      </c>
    </row>
    <row r="20" spans="1:5" ht="10.199999999999999">
      <c r="A20" s="6" t="s">
        <v>4</v>
      </c>
      <c r="B20" s="11"/>
      <c r="C20" s="32" t="str">
        <f>IF(COUNT('Table D4.1.'!AC23,#REF!)=2,#REF!/'Table D4.1.'!AC23,"m")</f>
        <v>m</v>
      </c>
      <c r="D20" s="33" t="str">
        <f>IF(COUNT('Table D4.1.'!AE23,#REF!)=2,#REF!/'Table D4.1.'!AE23,"m")</f>
        <v>m</v>
      </c>
      <c r="E20" s="46" t="str">
        <f>IF(COUNT('Table D4.1.'!AI23,#REF!)=2,#REF!/'Table D4.1.'!AI23,"m")</f>
        <v>m</v>
      </c>
    </row>
    <row r="21" spans="1:5" ht="10.199999999999999">
      <c r="A21" s="20" t="s">
        <v>5</v>
      </c>
      <c r="B21" s="15"/>
      <c r="C21" s="30" t="str">
        <f>IF(COUNT('Table D4.1.'!AC24,#REF!)=2,#REF!/'Table D4.1.'!AC24,"m")</f>
        <v>m</v>
      </c>
      <c r="D21" s="31" t="str">
        <f>IF(COUNT('Table D4.1.'!AE24,#REF!)=2,#REF!/'Table D4.1.'!AE24,"m")</f>
        <v>m</v>
      </c>
      <c r="E21" s="45" t="str">
        <f>IF(COUNT('Table D4.1.'!AI24,#REF!)=2,#REF!/'Table D4.1.'!AI24,"m")</f>
        <v>m</v>
      </c>
    </row>
    <row r="22" spans="1:5" ht="10.199999999999999">
      <c r="A22" s="20" t="s">
        <v>6</v>
      </c>
      <c r="B22" s="15"/>
      <c r="C22" s="30" t="str">
        <f>IF(COUNT('Table D4.1.'!AC25,#REF!)=2,#REF!/'Table D4.1.'!AC25,"m")</f>
        <v>m</v>
      </c>
      <c r="D22" s="31" t="str">
        <f>IF(COUNT('Table D4.1.'!AE25,#REF!)=2,#REF!/'Table D4.1.'!AE25,"m")</f>
        <v>m</v>
      </c>
      <c r="E22" s="45" t="str">
        <f>IF(COUNT('Table D4.1.'!AI25,#REF!)=2,#REF!/'Table D4.1.'!AI25,"m")</f>
        <v>m</v>
      </c>
    </row>
    <row r="23" spans="1:5" ht="10.199999999999999">
      <c r="A23" s="6" t="s">
        <v>17</v>
      </c>
      <c r="B23" s="11"/>
      <c r="C23" s="32" t="str">
        <f>IF(COUNT('Table D4.1.'!AC26,#REF!)=2,#REF!/'Table D4.1.'!AC26,"m")</f>
        <v>m</v>
      </c>
      <c r="D23" s="33" t="str">
        <f>IF(COUNT('Table D4.1.'!AE26,#REF!)=2,#REF!/'Table D4.1.'!AE26,"m")</f>
        <v>m</v>
      </c>
      <c r="E23" s="46" t="str">
        <f>IF(COUNT('Table D4.1.'!AI26,#REF!)=2,#REF!/'Table D4.1.'!AI26,"m")</f>
        <v>m</v>
      </c>
    </row>
    <row r="24" spans="1:5" ht="10.199999999999999">
      <c r="A24" s="6" t="s">
        <v>20</v>
      </c>
      <c r="B24" s="11"/>
      <c r="C24" s="32" t="str">
        <f>IF(COUNT('Table D4.1.'!AC27,#REF!)=2,#REF!/'Table D4.1.'!AC27,"m")</f>
        <v>m</v>
      </c>
      <c r="D24" s="33" t="str">
        <f>IF(COUNT('Table D4.1.'!AE27,#REF!)=2,#REF!/'Table D4.1.'!AE27,"m")</f>
        <v>m</v>
      </c>
      <c r="E24" s="46" t="str">
        <f>IF(COUNT('Table D4.1.'!AI27,#REF!)=2,#REF!/'Table D4.1.'!AI27,"m")</f>
        <v>m</v>
      </c>
    </row>
    <row r="25" spans="1:5" ht="10.199999999999999">
      <c r="A25" s="20" t="s">
        <v>7</v>
      </c>
      <c r="B25" s="15"/>
      <c r="C25" s="30" t="str">
        <f>IF(COUNT('Table D4.1.'!AC28,#REF!)=2,#REF!/'Table D4.1.'!AC28,"m")</f>
        <v>m</v>
      </c>
      <c r="D25" s="31" t="str">
        <f>IF(COUNT('Table D4.1.'!AE28,#REF!)=2,#REF!/'Table D4.1.'!AE28,"m")</f>
        <v>m</v>
      </c>
      <c r="E25" s="45" t="str">
        <f>IF(COUNT('Table D4.1.'!AI28,#REF!)=2,#REF!/'Table D4.1.'!AI28,"m")</f>
        <v>m</v>
      </c>
    </row>
    <row r="26" spans="1:5" ht="10.199999999999999">
      <c r="A26" s="20" t="s">
        <v>32</v>
      </c>
      <c r="B26" s="15"/>
      <c r="C26" s="30" t="str">
        <f>IF(COUNT('Table D4.1.'!AC29,#REF!)=2,#REF!/'Table D4.1.'!AC29,"m")</f>
        <v>m</v>
      </c>
      <c r="D26" s="31" t="str">
        <f>IF(COUNT('Table D4.1.'!AE29,#REF!)=2,#REF!/'Table D4.1.'!AE29,"m")</f>
        <v>m</v>
      </c>
      <c r="E26" s="45" t="str">
        <f>IF(COUNT('Table D4.1.'!AI29,#REF!)=2,#REF!/'Table D4.1.'!AI29,"m")</f>
        <v>m</v>
      </c>
    </row>
    <row r="27" spans="1:5" ht="10.199999999999999">
      <c r="A27" s="6" t="s">
        <v>8</v>
      </c>
      <c r="B27" s="11"/>
      <c r="C27" s="32" t="str">
        <f>IF(COUNT('Table D4.1.'!AC30,#REF!)=2,#REF!/'Table D4.1.'!AC30,"m")</f>
        <v>m</v>
      </c>
      <c r="D27" s="33" t="str">
        <f>IF(COUNT('Table D4.1.'!AE30,#REF!)=2,#REF!/'Table D4.1.'!AE30,"m")</f>
        <v>m</v>
      </c>
      <c r="E27" s="46" t="str">
        <f>IF(COUNT('Table D4.1.'!AI30,#REF!)=2,#REF!/'Table D4.1.'!AI30,"m")</f>
        <v>m</v>
      </c>
    </row>
    <row r="28" spans="1:5" ht="10.199999999999999">
      <c r="A28" s="6" t="s">
        <v>21</v>
      </c>
      <c r="B28" s="11"/>
      <c r="C28" s="32" t="str">
        <f>IF(COUNT('Table D4.1.'!AC31,#REF!)=2,#REF!/'Table D4.1.'!AC31,"m")</f>
        <v>m</v>
      </c>
      <c r="D28" s="33" t="str">
        <f>IF(COUNT('Table D4.1.'!AE31,#REF!)=2,#REF!/'Table D4.1.'!AE31,"m")</f>
        <v>m</v>
      </c>
      <c r="E28" s="46" t="str">
        <f>IF(COUNT('Table D4.1.'!AI31,#REF!)=2,#REF!/'Table D4.1.'!AI31,"m")</f>
        <v>m</v>
      </c>
    </row>
    <row r="29" spans="1:5" ht="10.199999999999999">
      <c r="A29" s="20" t="s">
        <v>30</v>
      </c>
      <c r="B29" s="15"/>
      <c r="C29" s="30" t="str">
        <f>IF(COUNT('Table D4.1.'!AC32,#REF!)=2,#REF!/'Table D4.1.'!AC32,"m")</f>
        <v>m</v>
      </c>
      <c r="D29" s="31" t="str">
        <f>IF(COUNT('Table D4.1.'!AE32,#REF!)=2,#REF!/'Table D4.1.'!AE32,"m")</f>
        <v>m</v>
      </c>
      <c r="E29" s="45" t="str">
        <f>IF(COUNT('Table D4.1.'!AI32,#REF!)=2,#REF!/'Table D4.1.'!AI32,"m")</f>
        <v>m</v>
      </c>
    </row>
    <row r="30" spans="1:5" ht="10.199999999999999">
      <c r="A30" s="20" t="s">
        <v>33</v>
      </c>
      <c r="B30" s="15"/>
      <c r="C30" s="30" t="str">
        <f>IF(COUNT('Table D4.1.'!AC34,#REF!)=2,#REF!/'Table D4.1.'!AC34,"m")</f>
        <v>m</v>
      </c>
      <c r="D30" s="31" t="str">
        <f>IF(COUNT('Table D4.1.'!AE34,#REF!)=2,#REF!/'Table D4.1.'!AE34,"m")</f>
        <v>m</v>
      </c>
      <c r="E30" s="45" t="str">
        <f>IF(COUNT('Table D4.1.'!AI34,#REF!)=2,#REF!/'Table D4.1.'!AI34,"m")</f>
        <v>m</v>
      </c>
    </row>
    <row r="31" spans="1:5" ht="10.199999999999999">
      <c r="A31" s="6" t="s">
        <v>19</v>
      </c>
      <c r="B31" s="11"/>
      <c r="C31" s="32" t="str">
        <f>IF(COUNT('Table D4.1.'!AC35,#REF!)=2,#REF!/'Table D4.1.'!AC35,"m")</f>
        <v>m</v>
      </c>
      <c r="D31" s="33" t="str">
        <f>IF(COUNT('Table D4.1.'!AE35,#REF!)=2,#REF!/'Table D4.1.'!AE35,"m")</f>
        <v>m</v>
      </c>
      <c r="E31" s="46" t="str">
        <f>IF(COUNT('Table D4.1.'!AI35,#REF!)=2,#REF!/'Table D4.1.'!AI35,"m")</f>
        <v>m</v>
      </c>
    </row>
    <row r="32" spans="1:5" ht="10.199999999999999">
      <c r="A32" s="6" t="s">
        <v>9</v>
      </c>
      <c r="B32" s="11"/>
      <c r="C32" s="32" t="str">
        <f>IF(COUNT('Table D4.1.'!AC36,#REF!)=2,#REF!/'Table D4.1.'!AC36,"m")</f>
        <v>m</v>
      </c>
      <c r="D32" s="33" t="str">
        <f>IF(COUNT('Table D4.1.'!AE36,#REF!)=2,#REF!/'Table D4.1.'!AE36,"m")</f>
        <v>m</v>
      </c>
      <c r="E32" s="46" t="str">
        <f>IF(COUNT('Table D4.1.'!AI36,#REF!)=2,#REF!/'Table D4.1.'!AI36,"m")</f>
        <v>m</v>
      </c>
    </row>
    <row r="33" spans="1:5" ht="10.199999999999999">
      <c r="A33" s="20" t="s">
        <v>10</v>
      </c>
      <c r="B33" s="15"/>
      <c r="C33" s="30" t="str">
        <f>IF(COUNT('Table D4.1.'!AC37,#REF!)=2,#REF!/'Table D4.1.'!AC37,"m")</f>
        <v>m</v>
      </c>
      <c r="D33" s="31" t="str">
        <f>IF(COUNT('Table D4.1.'!AE37,#REF!)=2,#REF!/'Table D4.1.'!AE37,"m")</f>
        <v>m</v>
      </c>
      <c r="E33" s="45" t="str">
        <f>IF(COUNT('Table D4.1.'!AI37,#REF!)=2,#REF!/'Table D4.1.'!AI37,"m")</f>
        <v>m</v>
      </c>
    </row>
    <row r="34" spans="1:5" ht="10.199999999999999">
      <c r="A34" s="20" t="s">
        <v>11</v>
      </c>
      <c r="B34" s="15"/>
      <c r="C34" s="30" t="str">
        <f>IF(COUNT('Table D4.1.'!AC38,#REF!)=2,#REF!/'Table D4.1.'!AC38,"m")</f>
        <v>m</v>
      </c>
      <c r="D34" s="31" t="str">
        <f>IF(COUNT('Table D4.1.'!AE38,#REF!)=2,#REF!/'Table D4.1.'!AE38,"m")</f>
        <v>m</v>
      </c>
      <c r="E34" s="45" t="str">
        <f>IF(COUNT('Table D4.1.'!AI38,#REF!)=2,#REF!/'Table D4.1.'!AI38,"m")</f>
        <v>m</v>
      </c>
    </row>
    <row r="35" spans="1:5" ht="10.199999999999999">
      <c r="A35" s="6" t="s">
        <v>31</v>
      </c>
      <c r="B35" s="11"/>
      <c r="C35" s="32" t="str">
        <f>IF(COUNT('Table D4.1.'!AC39,#REF!)=2,#REF!/'Table D4.1.'!AC39,"m")</f>
        <v>m</v>
      </c>
      <c r="D35" s="33" t="str">
        <f>IF(COUNT('Table D4.1.'!AE39,#REF!)=2,#REF!/'Table D4.1.'!AE39,"m")</f>
        <v>m</v>
      </c>
      <c r="E35" s="46" t="str">
        <f>IF(COUNT('Table D4.1.'!AI39,#REF!)=2,#REF!/'Table D4.1.'!AI39,"m")</f>
        <v>m</v>
      </c>
    </row>
    <row r="36" spans="1:5" ht="10.199999999999999">
      <c r="A36" s="6" t="s">
        <v>12</v>
      </c>
      <c r="B36" s="11"/>
      <c r="C36" s="32" t="str">
        <f>IF(COUNT('Table D4.1.'!AC40,#REF!)=2,#REF!/'Table D4.1.'!AC40,"m")</f>
        <v>m</v>
      </c>
      <c r="D36" s="33" t="str">
        <f>IF(COUNT('Table D4.1.'!AE40,#REF!)=2,#REF!/'Table D4.1.'!AE40,"m")</f>
        <v>m</v>
      </c>
      <c r="E36" s="46" t="str">
        <f>IF(COUNT('Table D4.1.'!AI40,#REF!)=2,#REF!/'Table D4.1.'!AI40,"m")</f>
        <v>m</v>
      </c>
    </row>
    <row r="37" spans="1:5" ht="10.199999999999999">
      <c r="A37" s="20" t="s">
        <v>24</v>
      </c>
      <c r="B37" s="15"/>
      <c r="C37" s="30" t="str">
        <f>IF(COUNT('Table D4.1.'!AC53,#REF!)=2,#REF!/'Table D4.1.'!AC53,"m")</f>
        <v>m</v>
      </c>
      <c r="D37" s="31" t="str">
        <f>IF(COUNT('Table D4.1.'!AE53,#REF!)=2,#REF!/'Table D4.1.'!AE53,"m")</f>
        <v>m</v>
      </c>
      <c r="E37" s="45" t="str">
        <f>IF(COUNT('Table D4.1.'!AI53,#REF!)=2,#REF!/'Table D4.1.'!AI53,"m")</f>
        <v>m</v>
      </c>
    </row>
    <row r="38" spans="1:5" ht="10.199999999999999">
      <c r="A38" s="20" t="s">
        <v>29</v>
      </c>
      <c r="B38" s="15"/>
      <c r="C38" s="30" t="str">
        <f>IF(COUNT('Table D4.1.'!AC41,#REF!)=2,#REF!/'Table D4.1.'!AC41,"m")</f>
        <v>m</v>
      </c>
      <c r="D38" s="31" t="str">
        <f>IF(COUNT('Table D4.1.'!AE41,#REF!)=2,#REF!/'Table D4.1.'!AE41,"m")</f>
        <v>m</v>
      </c>
      <c r="E38" s="45" t="str">
        <f>IF(COUNT('Table D4.1.'!AI41,#REF!)=2,#REF!/'Table D4.1.'!AI41,"m")</f>
        <v>m</v>
      </c>
    </row>
    <row r="39" spans="1:5" ht="10.199999999999999">
      <c r="A39" s="6" t="s">
        <v>39</v>
      </c>
      <c r="B39" s="11"/>
      <c r="C39" s="32" t="str">
        <f>IF(COUNT('Table D4.1.'!AC42,#REF!)=2,#REF!/'Table D4.1.'!AC42,"m")</f>
        <v>m</v>
      </c>
      <c r="D39" s="33" t="str">
        <f>IF(COUNT('Table D4.1.'!AE42,#REF!)=2,#REF!/'Table D4.1.'!AE42,"m")</f>
        <v>m</v>
      </c>
      <c r="E39" s="46" t="str">
        <f>IF(COUNT('Table D4.1.'!AI42,#REF!)=2,#REF!/'Table D4.1.'!AI42,"m")</f>
        <v>m</v>
      </c>
    </row>
    <row r="40" spans="1:5" ht="10.199999999999999">
      <c r="A40" s="6" t="s">
        <v>13</v>
      </c>
      <c r="B40" s="11"/>
      <c r="C40" s="32" t="str">
        <f>IF(COUNT('Table D4.1.'!AC43,#REF!)=2,#REF!/'Table D4.1.'!AC43,"m")</f>
        <v>m</v>
      </c>
      <c r="D40" s="33" t="str">
        <f>IF(COUNT('Table D4.1.'!AE43,#REF!)=2,#REF!/'Table D4.1.'!AE43,"m")</f>
        <v>m</v>
      </c>
      <c r="E40" s="46" t="str">
        <f>IF(COUNT('Table D4.1.'!AI43,#REF!)=2,#REF!/'Table D4.1.'!AI43,"m")</f>
        <v>m</v>
      </c>
    </row>
    <row r="41" spans="1:5" ht="10.199999999999999">
      <c r="A41" s="20" t="s">
        <v>14</v>
      </c>
      <c r="B41" s="15"/>
      <c r="C41" s="30" t="str">
        <f>IF(COUNT('Table D4.1.'!AC44,#REF!)=2,#REF!/'Table D4.1.'!AC44,"m")</f>
        <v>m</v>
      </c>
      <c r="D41" s="31" t="str">
        <f>IF(COUNT('Table D4.1.'!AE44,#REF!)=2,#REF!/'Table D4.1.'!AE44,"m")</f>
        <v>m</v>
      </c>
      <c r="E41" s="45" t="str">
        <f>IF(COUNT('Table D4.1.'!AI44,#REF!)=2,#REF!/'Table D4.1.'!AI44,"m")</f>
        <v>m</v>
      </c>
    </row>
    <row r="42" spans="1:5" ht="10.199999999999999">
      <c r="A42" s="20" t="s">
        <v>15</v>
      </c>
      <c r="B42" s="15"/>
      <c r="C42" s="30" t="str">
        <f>IF(COUNT('Table D4.1.'!AC45,#REF!)=2,#REF!/'Table D4.1.'!AC45,"m")</f>
        <v>m</v>
      </c>
      <c r="D42" s="31" t="str">
        <f>IF(COUNT('Table D4.1.'!AE45,#REF!)=2,#REF!/'Table D4.1.'!AE45,"m")</f>
        <v>m</v>
      </c>
      <c r="E42" s="45" t="str">
        <f>IF(COUNT('Table D4.1.'!AI45,#REF!)=2,#REF!/'Table D4.1.'!AI45,"m")</f>
        <v>m</v>
      </c>
    </row>
    <row r="43" spans="1:5" ht="10.199999999999999">
      <c r="A43" s="6" t="s">
        <v>16</v>
      </c>
      <c r="B43" s="11"/>
      <c r="C43" s="32" t="str">
        <f>IF(COUNT('Table D4.1.'!AC46,#REF!)=2,#REF!/'Table D4.1.'!AC46,"m")</f>
        <v>m</v>
      </c>
      <c r="D43" s="33" t="str">
        <f>IF(COUNT('Table D4.1.'!AE46,#REF!)=2,#REF!/'Table D4.1.'!AE46,"m")</f>
        <v>m</v>
      </c>
      <c r="E43" s="46" t="str">
        <f>IF(COUNT('Table D4.1.'!AI46,#REF!)=2,#REF!/'Table D4.1.'!AI46,"m")</f>
        <v>m</v>
      </c>
    </row>
    <row r="44" spans="1:5" ht="10.199999999999999">
      <c r="A44" s="6" t="s">
        <v>22</v>
      </c>
      <c r="B44" s="11"/>
      <c r="C44" s="32" t="str">
        <f>IF(COUNT('Table D4.1.'!AC47,#REF!)=2,#REF!/'Table D4.1.'!AC47,"m")</f>
        <v>m</v>
      </c>
      <c r="D44" s="33" t="str">
        <f>IF(COUNT('Table D4.1.'!AE47,#REF!)=2,#REF!/'Table D4.1.'!AE47,"m")</f>
        <v>m</v>
      </c>
      <c r="E44" s="46" t="str">
        <f>IF(COUNT('Table D4.1.'!AI47,#REF!)=2,#REF!/'Table D4.1.'!AI47,"m")</f>
        <v>m</v>
      </c>
    </row>
    <row r="45" spans="1:5" ht="10.199999999999999">
      <c r="A45" s="6"/>
      <c r="B45" s="11"/>
      <c r="C45" s="32" t="str">
        <f>IF(COUNT('Table D4.1.'!AC54,#REF!)=2,#REF!/'Table D4.1.'!AC54,"m")</f>
        <v>m</v>
      </c>
      <c r="D45" s="33" t="str">
        <f>IF(COUNT('Table D4.1.'!AE54,#REF!)=2,#REF!/'Table D4.1.'!AE54,"m")</f>
        <v>m</v>
      </c>
      <c r="E45" s="46" t="str">
        <f>IF(COUNT('Table D4.1.'!AI54,#REF!)=2,#REF!/'Table D4.1.'!AI54,"m")</f>
        <v>m</v>
      </c>
    </row>
    <row r="46" spans="1:5" ht="10.199999999999999">
      <c r="A46" s="21" t="s">
        <v>38</v>
      </c>
      <c r="B46" s="22"/>
      <c r="C46" s="59" t="e">
        <f>AVERAGE(C9:C45)</f>
        <v>#DIV/0!</v>
      </c>
      <c r="D46" s="60" t="e">
        <f>AVERAGE(D9:D45)</f>
        <v>#DIV/0!</v>
      </c>
      <c r="E46" s="61" t="e">
        <f>AVERAGE(E9:E45)</f>
        <v>#DIV/0!</v>
      </c>
    </row>
    <row r="47" spans="1:5" ht="10.199999999999999">
      <c r="A47" s="21" t="s">
        <v>53</v>
      </c>
      <c r="B47" s="22"/>
      <c r="C47" s="59" t="e">
        <f>AVERAGE(C10:C12,C15:C23,C25,C27,C30,C32,C35:C41)</f>
        <v>#DIV/0!</v>
      </c>
      <c r="D47" s="60" t="e">
        <f>AVERAGE(D10:D12,D15:D23,D25,D27,D30,D32,D35:D41)</f>
        <v>#DIV/0!</v>
      </c>
      <c r="E47" s="61" t="e">
        <f>AVERAGE(E10:E12,E15:E23,E25,E27,E30,E32,E35:E41)</f>
        <v>#DIV/0!</v>
      </c>
    </row>
    <row r="48" spans="1:5" ht="10.199999999999999">
      <c r="A48" s="9"/>
      <c r="B48" s="12"/>
      <c r="C48" s="34" t="str">
        <f>IF(COUNT('Table D4.1.'!AC57,#REF!)=2,#REF!/'Table D4.1.'!AC57,"m")</f>
        <v>m</v>
      </c>
      <c r="D48" s="35" t="str">
        <f>IF(COUNT('Table D4.1.'!AE57,#REF!)=2,#REF!/'Table D4.1.'!AE57,"m")</f>
        <v>m</v>
      </c>
      <c r="E48" s="47" t="str">
        <f>IF(COUNT('Table D4.1.'!AI57,#REF!)=2,#REF!/'Table D4.1.'!AI57,"m")</f>
        <v>m</v>
      </c>
    </row>
    <row r="49" spans="1:5" ht="10.199999999999999">
      <c r="A49" s="23" t="s">
        <v>54</v>
      </c>
      <c r="B49" s="12"/>
      <c r="C49" s="34" t="str">
        <f>IF(COUNT('Table D4.1.'!AC58,#REF!)=2,#REF!/'Table D4.1.'!AC58,"m")</f>
        <v>m</v>
      </c>
      <c r="D49" s="35" t="str">
        <f>IF(COUNT('Table D4.1.'!AE58,#REF!)=2,#REF!/'Table D4.1.'!AE58,"m")</f>
        <v>m</v>
      </c>
      <c r="E49" s="47" t="str">
        <f>IF(COUNT('Table D4.1.'!AI58,#REF!)=2,#REF!/'Table D4.1.'!AI58,"m")</f>
        <v>m</v>
      </c>
    </row>
    <row r="50" spans="1:5" ht="10.199999999999999">
      <c r="A50" s="24" t="s">
        <v>50</v>
      </c>
      <c r="B50" s="25"/>
      <c r="C50" s="36" t="str">
        <f>IF(COUNT('Table D4.1.'!AC59,#REF!)=2,#REF!/'Table D4.1.'!AC59,"m")</f>
        <v>m</v>
      </c>
      <c r="D50" s="37" t="str">
        <f>IF(COUNT('Table D4.1.'!AE59,#REF!)=2,#REF!/'Table D4.1.'!AE59,"m")</f>
        <v>m</v>
      </c>
      <c r="E50" s="48" t="str">
        <f>IF(COUNT('Table D4.1.'!AI59,#REF!)=2,#REF!/'Table D4.1.'!AI59,"m")</f>
        <v>m</v>
      </c>
    </row>
    <row r="51" spans="1:5" ht="10.199999999999999">
      <c r="A51" s="24" t="s">
        <v>40</v>
      </c>
      <c r="B51" s="25"/>
      <c r="C51" s="36" t="str">
        <f>IF(COUNT('Table D4.1.'!AC60,#REF!)=2,#REF!/'Table D4.1.'!AC60,"m")</f>
        <v>m</v>
      </c>
      <c r="D51" s="37" t="str">
        <f>IF(COUNT('Table D4.1.'!AE60,#REF!)=2,#REF!/'Table D4.1.'!AE60,"m")</f>
        <v>m</v>
      </c>
      <c r="E51" s="48" t="str">
        <f>IF(COUNT('Table D4.1.'!AI60,#REF!)=2,#REF!/'Table D4.1.'!AI60,"m")</f>
        <v>m</v>
      </c>
    </row>
    <row r="52" spans="1:5" ht="10.199999999999999">
      <c r="A52" s="6" t="s">
        <v>47</v>
      </c>
      <c r="B52" s="11"/>
      <c r="C52" s="32" t="str">
        <f>IF(COUNT('Table D4.1.'!AC61,#REF!)=2,#REF!/'Table D4.1.'!AC61,"m")</f>
        <v>m</v>
      </c>
      <c r="D52" s="33" t="str">
        <f>IF(COUNT('Table D4.1.'!AE61,#REF!)=2,#REF!/'Table D4.1.'!AE61,"m")</f>
        <v>m</v>
      </c>
      <c r="E52" s="46" t="str">
        <f>IF(COUNT('Table D4.1.'!AI61,#REF!)=2,#REF!/'Table D4.1.'!AI61,"m")</f>
        <v>m</v>
      </c>
    </row>
    <row r="53" spans="1:5" ht="10.199999999999999">
      <c r="A53" s="6" t="s">
        <v>72</v>
      </c>
      <c r="B53" s="11"/>
      <c r="C53" s="32" t="str">
        <f>IF(COUNT('Table D4.1.'!AC62,#REF!)=2,#REF!/'Table D4.1.'!AC62,"m")</f>
        <v>m</v>
      </c>
      <c r="D53" s="33" t="str">
        <f>IF(COUNT('Table D4.1.'!AE62,#REF!)=2,#REF!/'Table D4.1.'!AE62,"m")</f>
        <v>m</v>
      </c>
      <c r="E53" s="46" t="str">
        <f>IF(COUNT('Table D4.1.'!AI62,#REF!)=2,#REF!/'Table D4.1.'!AI62,"m")</f>
        <v>m</v>
      </c>
    </row>
    <row r="54" spans="1:5" ht="10.199999999999999">
      <c r="A54" s="24" t="s">
        <v>48</v>
      </c>
      <c r="B54" s="25"/>
      <c r="C54" s="36" t="str">
        <f>IF(COUNT('Table D4.1.'!AC64,#REF!)=2,#REF!/'Table D4.1.'!AC64,"m")</f>
        <v>m</v>
      </c>
      <c r="D54" s="37" t="str">
        <f>IF(COUNT('Table D4.1.'!AE64,#REF!)=2,#REF!/'Table D4.1.'!AE64,"m")</f>
        <v>m</v>
      </c>
      <c r="E54" s="48" t="str">
        <f>IF(COUNT('Table D4.1.'!AI64,#REF!)=2,#REF!/'Table D4.1.'!AI64,"m")</f>
        <v>m</v>
      </c>
    </row>
    <row r="55" spans="1:5" ht="10.199999999999999">
      <c r="A55" s="24" t="s">
        <v>49</v>
      </c>
      <c r="B55" s="25"/>
      <c r="C55" s="36" t="str">
        <f>IF(COUNT('Table D4.1.'!AC65,#REF!)=2,#REF!/'Table D4.1.'!AC65,"m")</f>
        <v>m</v>
      </c>
      <c r="D55" s="37" t="str">
        <f>IF(COUNT('Table D4.1.'!AE65,#REF!)=2,#REF!/'Table D4.1.'!AE65,"m")</f>
        <v>m</v>
      </c>
      <c r="E55" s="48" t="str">
        <f>IF(COUNT('Table D4.1.'!AI65,#REF!)=2,#REF!/'Table D4.1.'!AI65,"m")</f>
        <v>m</v>
      </c>
    </row>
    <row r="56" spans="1:5" ht="10.199999999999999">
      <c r="A56" s="6" t="s">
        <v>73</v>
      </c>
      <c r="B56" s="11"/>
      <c r="C56" s="32" t="str">
        <f>IF(COUNT('Table D4.1.'!AC33,#REF!)=2,#REF!/'Table D4.1.'!AC33,"m")</f>
        <v>m</v>
      </c>
      <c r="D56" s="33" t="str">
        <f>IF(COUNT('Table D4.1.'!AE33,#REF!)=2,#REF!/'Table D4.1.'!AE33,"m")</f>
        <v>m</v>
      </c>
      <c r="E56" s="46" t="str">
        <f>IF(COUNT('Table D4.1.'!AI33,#REF!)=2,#REF!/'Table D4.1.'!AI33,"m")</f>
        <v>m</v>
      </c>
    </row>
    <row r="57" spans="1:5" ht="10.199999999999999">
      <c r="A57" s="6" t="s">
        <v>42</v>
      </c>
      <c r="B57" s="11"/>
      <c r="C57" s="32" t="str">
        <f>IF(COUNT('Table D4.1.'!AC67,#REF!)=2,#REF!/'Table D4.1.'!AC67,"m")</f>
        <v>m</v>
      </c>
      <c r="D57" s="33" t="str">
        <f>IF(COUNT('Table D4.1.'!AE67,#REF!)=2,#REF!/'Table D4.1.'!AE67,"m")</f>
        <v>m</v>
      </c>
      <c r="E57" s="46" t="str">
        <f>IF(COUNT('Table D4.1.'!AI67,#REF!)=2,#REF!/'Table D4.1.'!AI67,"m")</f>
        <v>m</v>
      </c>
    </row>
    <row r="58" spans="1:5" ht="10.199999999999999">
      <c r="A58" s="24" t="s">
        <v>55</v>
      </c>
      <c r="B58" s="25"/>
      <c r="C58" s="36" t="str">
        <f>IF(COUNT('Table D4.1.'!AC68,#REF!)=2,#REF!/'Table D4.1.'!AC68,"m")</f>
        <v>m</v>
      </c>
      <c r="D58" s="37" t="str">
        <f>IF(COUNT('Table D4.1.'!AE68,#REF!)=2,#REF!/'Table D4.1.'!AE68,"m")</f>
        <v>m</v>
      </c>
      <c r="E58" s="48" t="str">
        <f>IF(COUNT('Table D4.1.'!AI68,#REF!)=2,#REF!/'Table D4.1.'!AI68,"m")</f>
        <v>m</v>
      </c>
    </row>
    <row r="59" spans="1:5" ht="10.199999999999999">
      <c r="A59" s="52" t="s">
        <v>51</v>
      </c>
      <c r="B59" s="53"/>
      <c r="C59" s="54" t="str">
        <f>IF(COUNT('Table D4.1.'!AC69,#REF!)=2,#REF!/'Table D4.1.'!AC69,"m")</f>
        <v>m</v>
      </c>
      <c r="D59" s="55" t="str">
        <f>IF(COUNT('Table D4.1.'!AE69,#REF!)=2,#REF!/'Table D4.1.'!AE69,"m")</f>
        <v>m</v>
      </c>
      <c r="E59" s="56" t="str">
        <f>IF(COUNT('Table D4.1.'!AI69,#REF!)=2,#REF!/'Table D4.1.'!AI69,"m")</f>
        <v>m</v>
      </c>
    </row>
    <row r="60" spans="1:5" s="14" customFormat="1"/>
    <row r="61" spans="1:5" s="14" customFormat="1"/>
    <row r="62" spans="1:5" s="14" customFormat="1"/>
    <row r="63" spans="1:5" s="14" customFormat="1"/>
    <row r="64" spans="1:5" s="14" customFormat="1"/>
    <row r="65" s="14" customFormat="1"/>
    <row r="66" s="14" customFormat="1"/>
    <row r="67" s="14" customFormat="1"/>
    <row r="68" s="14" customFormat="1"/>
    <row r="69" s="14" customFormat="1"/>
    <row r="70" s="14" customFormat="1"/>
    <row r="71" s="14" customFormat="1"/>
    <row r="72" s="14" customFormat="1"/>
    <row r="73" s="14" customFormat="1"/>
    <row r="74" s="14" customFormat="1"/>
    <row r="75" s="14" customFormat="1"/>
    <row r="76" s="14" customFormat="1"/>
    <row r="77" s="14" customFormat="1"/>
    <row r="78" s="14" customFormat="1"/>
    <row r="79" s="14" customFormat="1"/>
    <row r="80" s="14" customFormat="1"/>
    <row r="81" s="14" customFormat="1"/>
    <row r="82" s="14" customFormat="1"/>
    <row r="83" s="14" customFormat="1"/>
    <row r="84" s="14" customFormat="1"/>
    <row r="85" s="14" customFormat="1"/>
    <row r="86" s="14" customFormat="1"/>
    <row r="87" s="14" customFormat="1"/>
    <row r="88" s="14" customFormat="1"/>
    <row r="89" s="14" customFormat="1"/>
    <row r="90" s="14" customFormat="1"/>
    <row r="91" s="14" customFormat="1"/>
    <row r="92" s="14" customFormat="1"/>
    <row r="93" s="14" customFormat="1"/>
    <row r="94" s="14" customFormat="1"/>
    <row r="95" s="14" customFormat="1"/>
    <row r="96" s="14" customFormat="1"/>
    <row r="97" s="14" customFormat="1"/>
    <row r="98" s="14" customFormat="1"/>
    <row r="99" s="14" customFormat="1"/>
    <row r="100" s="14" customFormat="1"/>
    <row r="101" s="14" customFormat="1"/>
    <row r="102" s="14" customFormat="1"/>
    <row r="103" s="14" customFormat="1"/>
    <row r="104" s="14" customFormat="1"/>
    <row r="105" s="14" customFormat="1"/>
    <row r="106" s="14" customFormat="1"/>
    <row r="107" s="14" customFormat="1"/>
    <row r="108" s="14" customFormat="1"/>
    <row r="109" s="14" customFormat="1"/>
    <row r="110" s="14" customFormat="1"/>
    <row r="111" s="14" customFormat="1"/>
    <row r="112" s="14" customFormat="1"/>
    <row r="113" s="14" customFormat="1"/>
    <row r="114" s="14" customFormat="1"/>
    <row r="115" s="14" customFormat="1"/>
    <row r="116" s="14" customFormat="1"/>
    <row r="117" s="14" customFormat="1"/>
    <row r="118" s="14" customFormat="1"/>
    <row r="119" s="14" customFormat="1"/>
    <row r="120" s="14" customFormat="1"/>
    <row r="121" s="14" customFormat="1"/>
    <row r="122" s="14" customFormat="1"/>
    <row r="123" s="14" customFormat="1"/>
    <row r="124" s="14" customFormat="1"/>
    <row r="125" s="14" customFormat="1"/>
    <row r="126" s="14" customFormat="1"/>
    <row r="127" s="14" customFormat="1"/>
    <row r="128" s="14" customFormat="1"/>
    <row r="129" s="14" customFormat="1"/>
    <row r="130" s="14" customFormat="1"/>
    <row r="131" s="14" customFormat="1"/>
    <row r="132" s="14" customFormat="1"/>
    <row r="133" s="14" customFormat="1"/>
    <row r="134" s="14" customFormat="1"/>
    <row r="135" s="14" customFormat="1"/>
    <row r="136" s="14" customFormat="1"/>
    <row r="137" s="14" customFormat="1"/>
    <row r="138" s="14" customFormat="1"/>
    <row r="139" s="14" customFormat="1"/>
    <row r="140" s="14" customFormat="1"/>
    <row r="141" s="14" customFormat="1"/>
    <row r="142" s="14" customFormat="1"/>
    <row r="143" s="14" customFormat="1"/>
    <row r="144" s="14" customFormat="1"/>
    <row r="145" s="14" customFormat="1"/>
    <row r="146" s="14" customFormat="1"/>
    <row r="147" s="14" customFormat="1"/>
    <row r="148" s="14" customFormat="1"/>
    <row r="149" s="14" customFormat="1"/>
    <row r="150" s="14" customFormat="1"/>
    <row r="151" s="14" customFormat="1"/>
    <row r="152" s="14" customFormat="1"/>
    <row r="153" s="14" customFormat="1"/>
    <row r="154" s="14" customFormat="1"/>
    <row r="155" s="14" customFormat="1"/>
    <row r="156" s="14" customFormat="1"/>
    <row r="157" s="14" customFormat="1"/>
    <row r="158" s="14" customFormat="1"/>
    <row r="159" s="14" customFormat="1"/>
    <row r="160" s="14" customFormat="1"/>
    <row r="161" s="14" customFormat="1"/>
    <row r="162" s="14" customFormat="1"/>
    <row r="163" s="14" customFormat="1"/>
    <row r="164" s="14" customFormat="1"/>
    <row r="165" s="14" customFormat="1"/>
    <row r="166" s="14" customFormat="1"/>
    <row r="167" s="14" customFormat="1"/>
    <row r="168" s="14" customFormat="1"/>
    <row r="169" s="14" customFormat="1"/>
    <row r="170" s="14" customFormat="1"/>
    <row r="171" s="14" customFormat="1"/>
    <row r="172" s="14" customFormat="1"/>
    <row r="173" s="14" customFormat="1"/>
    <row r="174" s="14" customFormat="1"/>
    <row r="175" s="14" customFormat="1"/>
    <row r="176" s="14" customFormat="1"/>
    <row r="177" s="14" customFormat="1"/>
    <row r="178" s="14" customFormat="1"/>
    <row r="179" s="14" customFormat="1"/>
    <row r="180" s="14" customFormat="1"/>
    <row r="181" s="14" customFormat="1"/>
    <row r="182" s="14" customFormat="1"/>
    <row r="183" s="14" customFormat="1"/>
    <row r="184" s="14" customFormat="1"/>
    <row r="185" s="14" customFormat="1"/>
    <row r="186" s="14" customFormat="1"/>
    <row r="187" s="14" customFormat="1"/>
    <row r="188" s="14" customFormat="1"/>
    <row r="189" s="14" customFormat="1"/>
    <row r="190" s="14" customFormat="1"/>
    <row r="191" s="14" customFormat="1"/>
    <row r="192" s="14" customFormat="1"/>
    <row r="193" s="14" customFormat="1"/>
    <row r="194" s="14" customFormat="1"/>
    <row r="195" s="14" customFormat="1"/>
    <row r="196" s="14" customFormat="1"/>
    <row r="197" s="14" customFormat="1"/>
    <row r="198" s="14" customFormat="1"/>
    <row r="199" s="14" customFormat="1"/>
    <row r="200" s="14" customFormat="1"/>
    <row r="201" s="14" customFormat="1"/>
    <row r="202" s="14" customFormat="1"/>
    <row r="203" s="14" customFormat="1"/>
    <row r="204" s="14" customFormat="1"/>
    <row r="205" s="14" customFormat="1"/>
    <row r="206" s="14" customFormat="1"/>
    <row r="207" s="14" customFormat="1"/>
    <row r="208" s="14" customFormat="1"/>
    <row r="209" s="14" customFormat="1"/>
    <row r="210" s="14" customFormat="1"/>
    <row r="211" s="14" customFormat="1"/>
    <row r="212" s="14" customFormat="1"/>
    <row r="213" s="14" customFormat="1"/>
    <row r="214" s="14" customFormat="1"/>
    <row r="215" s="14" customFormat="1"/>
    <row r="216" s="14" customFormat="1"/>
    <row r="217" s="14" customFormat="1"/>
    <row r="218" s="14" customFormat="1"/>
    <row r="219" s="14" customFormat="1"/>
    <row r="220" s="14" customFormat="1"/>
    <row r="221" s="14" customFormat="1"/>
    <row r="222" s="14" customFormat="1"/>
    <row r="223" s="14" customFormat="1"/>
    <row r="224" s="14" customFormat="1"/>
    <row r="225" s="14" customFormat="1"/>
    <row r="226" s="14" customFormat="1"/>
    <row r="227" s="14" customFormat="1"/>
    <row r="228" s="14" customFormat="1"/>
    <row r="229" s="14" customFormat="1"/>
    <row r="230" s="14" customFormat="1"/>
    <row r="231" s="14" customFormat="1"/>
    <row r="232" s="14" customFormat="1"/>
    <row r="233" s="14" customFormat="1"/>
    <row r="234" s="14" customFormat="1"/>
    <row r="235" s="14" customFormat="1"/>
    <row r="236" s="14" customFormat="1"/>
    <row r="237" s="14" customFormat="1"/>
    <row r="238" s="14" customFormat="1"/>
    <row r="239" s="14" customFormat="1"/>
    <row r="240" s="14" customFormat="1"/>
    <row r="241" s="14" customFormat="1"/>
    <row r="242" s="14" customFormat="1"/>
    <row r="243" s="14" customFormat="1"/>
    <row r="244" s="14" customFormat="1"/>
    <row r="245" s="14" customFormat="1"/>
    <row r="246" s="14" customFormat="1"/>
    <row r="247" s="14" customFormat="1"/>
    <row r="248" s="14" customFormat="1"/>
    <row r="249" s="14" customFormat="1"/>
    <row r="250" s="14" customFormat="1"/>
    <row r="251" s="14" customFormat="1"/>
    <row r="252" s="14" customFormat="1"/>
    <row r="253" s="14" customFormat="1"/>
    <row r="254" s="14" customFormat="1"/>
    <row r="255" s="14" customFormat="1"/>
    <row r="256" s="14" customFormat="1"/>
    <row r="257" s="14" customFormat="1"/>
    <row r="258" s="14" customFormat="1"/>
    <row r="259" s="14" customFormat="1"/>
    <row r="260" s="14" customFormat="1"/>
    <row r="261" s="14" customFormat="1"/>
    <row r="262" s="14" customFormat="1"/>
    <row r="263" s="14" customFormat="1"/>
    <row r="264" s="14" customFormat="1"/>
    <row r="265" s="14" customFormat="1"/>
    <row r="266" s="14" customFormat="1"/>
    <row r="267" s="14" customFormat="1"/>
    <row r="268" s="14" customFormat="1"/>
    <row r="269" s="14" customFormat="1"/>
    <row r="270" s="14" customFormat="1"/>
    <row r="271" s="14" customFormat="1"/>
    <row r="272" s="14" customFormat="1"/>
    <row r="273" s="14" customFormat="1"/>
    <row r="274" s="14" customFormat="1"/>
    <row r="275" s="14" customFormat="1"/>
    <row r="276" s="14" customFormat="1"/>
    <row r="277" s="14" customFormat="1"/>
    <row r="278" s="14" customFormat="1"/>
    <row r="279" s="14" customFormat="1"/>
    <row r="280" s="14" customFormat="1"/>
    <row r="281" s="14" customFormat="1"/>
    <row r="282" s="14" customFormat="1"/>
    <row r="283" s="14" customFormat="1"/>
    <row r="284" s="14" customFormat="1"/>
    <row r="285" s="14" customFormat="1"/>
    <row r="286" s="14" customFormat="1"/>
    <row r="287" s="14" customFormat="1"/>
    <row r="288" s="14" customFormat="1"/>
    <row r="289" s="14" customFormat="1"/>
    <row r="290" s="14" customFormat="1"/>
    <row r="291" s="14" customFormat="1"/>
    <row r="292" s="14" customFormat="1"/>
    <row r="293" s="14" customFormat="1"/>
    <row r="294" s="14" customFormat="1"/>
    <row r="295" s="14" customFormat="1"/>
    <row r="296" s="14" customFormat="1"/>
    <row r="297" s="14" customFormat="1"/>
    <row r="298" s="14" customFormat="1"/>
    <row r="299" s="14" customFormat="1"/>
    <row r="300" s="14" customFormat="1"/>
    <row r="301" s="14" customFormat="1"/>
    <row r="302" s="14" customFormat="1"/>
    <row r="303" s="14" customFormat="1"/>
    <row r="304" s="14" customFormat="1"/>
    <row r="305" s="14" customFormat="1"/>
    <row r="306" s="14" customFormat="1"/>
    <row r="307" s="14" customFormat="1"/>
    <row r="308" s="14" customFormat="1"/>
    <row r="309" s="14" customFormat="1"/>
    <row r="310" s="14" customFormat="1"/>
    <row r="311" s="14" customFormat="1"/>
    <row r="312" s="14" customFormat="1"/>
    <row r="313" s="14" customFormat="1"/>
    <row r="314" s="14" customFormat="1"/>
    <row r="315" s="14" customFormat="1"/>
    <row r="316" s="14" customFormat="1"/>
    <row r="317" s="14" customFormat="1"/>
    <row r="318" s="14" customFormat="1"/>
    <row r="319" s="14" customFormat="1"/>
    <row r="320" s="14" customFormat="1"/>
    <row r="321" s="14" customFormat="1"/>
    <row r="322" s="14" customFormat="1"/>
    <row r="323" s="14" customFormat="1"/>
    <row r="324" s="14" customFormat="1"/>
    <row r="325" s="14" customFormat="1"/>
    <row r="326" s="14" customFormat="1"/>
    <row r="327" s="14" customFormat="1"/>
    <row r="328" s="14" customFormat="1"/>
    <row r="329" s="14" customFormat="1"/>
    <row r="330" s="14" customFormat="1"/>
    <row r="331" s="14" customFormat="1"/>
    <row r="332" s="14" customFormat="1"/>
    <row r="333" s="14" customFormat="1"/>
    <row r="334" s="14" customFormat="1"/>
    <row r="335" s="14" customFormat="1"/>
    <row r="336" s="14" customFormat="1"/>
    <row r="337" s="14" customFormat="1"/>
    <row r="338" s="14" customFormat="1"/>
    <row r="339" s="14" customFormat="1"/>
    <row r="340" s="14" customFormat="1"/>
    <row r="341" s="14" customFormat="1"/>
    <row r="342" s="14" customFormat="1"/>
    <row r="343" s="14" customFormat="1"/>
    <row r="344" s="14" customFormat="1"/>
    <row r="345" s="14" customFormat="1"/>
    <row r="346" s="14" customFormat="1"/>
    <row r="347" s="14" customFormat="1"/>
    <row r="348" s="14" customFormat="1"/>
    <row r="349" s="14" customFormat="1"/>
    <row r="350" s="14" customFormat="1"/>
    <row r="351" s="14" customFormat="1"/>
    <row r="352" s="14" customFormat="1"/>
    <row r="353" s="14" customFormat="1"/>
    <row r="354" s="14" customFormat="1"/>
    <row r="355" s="14" customFormat="1"/>
    <row r="356" s="14" customFormat="1"/>
    <row r="357" s="14" customFormat="1"/>
    <row r="358" s="14" customFormat="1"/>
    <row r="359" s="14" customFormat="1"/>
    <row r="360" s="14" customFormat="1"/>
    <row r="361" s="14" customFormat="1"/>
    <row r="362" s="14" customFormat="1"/>
    <row r="363" s="14" customFormat="1"/>
    <row r="364" s="14" customFormat="1"/>
    <row r="365" s="14" customFormat="1"/>
    <row r="366" s="14" customFormat="1"/>
    <row r="367" s="14" customFormat="1"/>
    <row r="368" s="14" customFormat="1"/>
    <row r="369" s="14" customFormat="1"/>
    <row r="370" s="14" customFormat="1"/>
    <row r="371" s="14" customFormat="1"/>
    <row r="372" s="14" customFormat="1"/>
    <row r="373" s="14" customFormat="1"/>
    <row r="374" s="14" customFormat="1"/>
    <row r="375" s="14" customFormat="1"/>
    <row r="376" s="14" customFormat="1"/>
    <row r="377" s="14" customFormat="1"/>
    <row r="378" s="14" customFormat="1"/>
    <row r="379" s="14" customFormat="1"/>
    <row r="380" s="14" customFormat="1"/>
    <row r="381" s="14" customFormat="1"/>
    <row r="382" s="14" customFormat="1"/>
    <row r="383" s="14" customFormat="1"/>
    <row r="384" s="14" customFormat="1"/>
    <row r="385" s="14" customFormat="1"/>
    <row r="386" s="14" customFormat="1"/>
    <row r="387" s="14" customFormat="1"/>
    <row r="388" s="14" customFormat="1"/>
    <row r="389" s="14" customFormat="1"/>
    <row r="390" s="14" customFormat="1"/>
    <row r="391" s="14" customFormat="1"/>
    <row r="392" s="14" customFormat="1"/>
    <row r="393" s="14" customFormat="1"/>
    <row r="394" s="14" customFormat="1"/>
    <row r="395" s="14" customFormat="1"/>
    <row r="396" s="14" customFormat="1"/>
    <row r="397" s="14" customFormat="1"/>
    <row r="398" s="14" customFormat="1"/>
    <row r="399" s="14" customFormat="1"/>
    <row r="400" s="14" customFormat="1"/>
    <row r="401" s="14" customFormat="1"/>
    <row r="402" s="14" customFormat="1"/>
    <row r="403" s="14" customFormat="1"/>
    <row r="404" s="14" customFormat="1"/>
    <row r="405" s="14" customFormat="1"/>
    <row r="406" s="14" customFormat="1"/>
    <row r="407" s="14" customFormat="1"/>
    <row r="408" s="14" customFormat="1"/>
    <row r="409" s="14" customFormat="1"/>
    <row r="410" s="14" customFormat="1"/>
    <row r="411" s="14" customFormat="1"/>
    <row r="412" s="14" customFormat="1"/>
    <row r="413" s="14" customFormat="1"/>
    <row r="414" s="14" customFormat="1"/>
    <row r="415" s="14" customFormat="1"/>
    <row r="416" s="14" customFormat="1"/>
    <row r="417" s="14" customFormat="1"/>
    <row r="418" s="14" customFormat="1"/>
    <row r="419" s="14" customFormat="1"/>
    <row r="420" s="14" customFormat="1"/>
    <row r="421" s="14" customFormat="1"/>
    <row r="422" s="14" customFormat="1"/>
    <row r="423" s="14" customFormat="1"/>
    <row r="424" s="14" customFormat="1"/>
    <row r="425" s="14" customFormat="1"/>
    <row r="426" s="14" customFormat="1"/>
    <row r="427" s="14" customFormat="1"/>
    <row r="428" s="14" customFormat="1"/>
    <row r="429" s="14" customFormat="1"/>
    <row r="430" s="14" customFormat="1"/>
    <row r="431" s="14" customFormat="1"/>
    <row r="432" s="14" customFormat="1"/>
    <row r="433" s="14" customFormat="1"/>
    <row r="434" s="14" customFormat="1"/>
    <row r="435" s="14" customFormat="1"/>
    <row r="436" s="14" customFormat="1"/>
    <row r="437" s="14" customFormat="1"/>
    <row r="438" s="14" customFormat="1"/>
    <row r="439" s="14" customFormat="1"/>
    <row r="440" s="14" customFormat="1"/>
    <row r="441" s="14" customFormat="1"/>
    <row r="442" s="14" customFormat="1"/>
    <row r="443" s="14" customFormat="1"/>
    <row r="444" s="14" customFormat="1"/>
    <row r="445" s="14" customFormat="1"/>
    <row r="446" s="14" customFormat="1"/>
    <row r="447" s="14" customFormat="1"/>
    <row r="448" s="14" customFormat="1"/>
    <row r="449" s="14" customFormat="1"/>
    <row r="450" s="14" customFormat="1"/>
    <row r="451" s="14" customFormat="1"/>
    <row r="452" s="14" customFormat="1"/>
    <row r="453" s="14" customFormat="1"/>
    <row r="454" s="14" customFormat="1"/>
    <row r="455" s="14" customFormat="1"/>
    <row r="456" s="14" customFormat="1"/>
    <row r="457" s="14" customFormat="1"/>
    <row r="458" s="14" customFormat="1"/>
    <row r="459" s="14" customFormat="1"/>
    <row r="460" s="14" customFormat="1"/>
    <row r="461" s="14" customFormat="1"/>
    <row r="462" s="14" customFormat="1"/>
    <row r="463" s="14" customFormat="1"/>
    <row r="464" s="14" customFormat="1"/>
    <row r="465" s="14" customFormat="1"/>
    <row r="466" s="14" customFormat="1"/>
    <row r="467" s="14" customFormat="1"/>
    <row r="468" s="14" customFormat="1"/>
    <row r="469" s="14" customFormat="1"/>
    <row r="470" s="14" customFormat="1"/>
    <row r="471" s="14" customFormat="1"/>
    <row r="472" s="14" customFormat="1"/>
    <row r="473" s="14" customFormat="1"/>
    <row r="474" s="14" customFormat="1"/>
    <row r="475" s="14" customFormat="1"/>
    <row r="476" s="14" customFormat="1"/>
    <row r="477" s="14" customFormat="1"/>
    <row r="478" s="14" customFormat="1"/>
    <row r="479" s="14" customFormat="1"/>
    <row r="480" s="14" customFormat="1"/>
    <row r="481" s="14" customFormat="1"/>
    <row r="482" s="14" customFormat="1"/>
    <row r="483" s="14" customFormat="1"/>
    <row r="484" s="14" customFormat="1"/>
    <row r="485" s="14" customFormat="1"/>
    <row r="486" s="14" customFormat="1"/>
    <row r="487" s="14" customFormat="1"/>
    <row r="488" s="14" customFormat="1"/>
    <row r="489" s="14" customFormat="1"/>
    <row r="490" s="14" customFormat="1"/>
    <row r="491" s="14" customFormat="1"/>
    <row r="492" s="14" customFormat="1"/>
    <row r="493" s="14" customFormat="1"/>
    <row r="494" s="14" customFormat="1"/>
    <row r="495" s="14" customFormat="1"/>
    <row r="496" s="14" customFormat="1"/>
    <row r="497" s="14" customFormat="1"/>
    <row r="498" s="14" customFormat="1"/>
    <row r="499" s="14" customFormat="1"/>
    <row r="500" s="14" customFormat="1"/>
    <row r="501" s="14" customFormat="1"/>
    <row r="502" s="14" customFormat="1"/>
    <row r="503" s="14" customFormat="1"/>
    <row r="504" s="14" customFormat="1"/>
    <row r="505" s="14" customFormat="1"/>
    <row r="506" s="14" customFormat="1"/>
    <row r="507" s="14" customFormat="1"/>
    <row r="508" s="14" customFormat="1"/>
    <row r="509" s="14" customFormat="1"/>
    <row r="510" s="14" customFormat="1"/>
    <row r="511" s="14" customFormat="1"/>
    <row r="512" s="14" customFormat="1"/>
    <row r="513" s="14" customFormat="1"/>
    <row r="514" s="14" customFormat="1"/>
  </sheetData>
  <mergeCells count="1">
    <mergeCell ref="A1:E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I51"/>
  <sheetViews>
    <sheetView showGridLines="0" zoomScaleNormal="100" workbookViewId="0"/>
  </sheetViews>
  <sheetFormatPr defaultRowHeight="13.2"/>
  <cols>
    <col min="1" max="1" width="14" style="310" customWidth="1"/>
    <col min="2" max="2" width="8.25" style="310" customWidth="1"/>
    <col min="3" max="3" width="7.5" style="310" customWidth="1"/>
    <col min="4" max="5" width="9" style="310"/>
    <col min="6" max="6" width="11" style="310" customWidth="1"/>
    <col min="7" max="256" width="9" style="310"/>
    <col min="257" max="257" width="14" style="310" customWidth="1"/>
    <col min="258" max="258" width="8.25" style="310" customWidth="1"/>
    <col min="259" max="259" width="7.5" style="310" customWidth="1"/>
    <col min="260" max="261" width="9" style="310"/>
    <col min="262" max="262" width="11" style="310" customWidth="1"/>
    <col min="263" max="512" width="9" style="310"/>
    <col min="513" max="513" width="14" style="310" customWidth="1"/>
    <col min="514" max="514" width="8.25" style="310" customWidth="1"/>
    <col min="515" max="515" width="7.5" style="310" customWidth="1"/>
    <col min="516" max="517" width="9" style="310"/>
    <col min="518" max="518" width="11" style="310" customWidth="1"/>
    <col min="519" max="768" width="9" style="310"/>
    <col min="769" max="769" width="14" style="310" customWidth="1"/>
    <col min="770" max="770" width="8.25" style="310" customWidth="1"/>
    <col min="771" max="771" width="7.5" style="310" customWidth="1"/>
    <col min="772" max="773" width="9" style="310"/>
    <col min="774" max="774" width="11" style="310" customWidth="1"/>
    <col min="775" max="1024" width="9" style="310"/>
    <col min="1025" max="1025" width="14" style="310" customWidth="1"/>
    <col min="1026" max="1026" width="8.25" style="310" customWidth="1"/>
    <col min="1027" max="1027" width="7.5" style="310" customWidth="1"/>
    <col min="1028" max="1029" width="9" style="310"/>
    <col min="1030" max="1030" width="11" style="310" customWidth="1"/>
    <col min="1031" max="1280" width="9" style="310"/>
    <col min="1281" max="1281" width="14" style="310" customWidth="1"/>
    <col min="1282" max="1282" width="8.25" style="310" customWidth="1"/>
    <col min="1283" max="1283" width="7.5" style="310" customWidth="1"/>
    <col min="1284" max="1285" width="9" style="310"/>
    <col min="1286" max="1286" width="11" style="310" customWidth="1"/>
    <col min="1287" max="1536" width="9" style="310"/>
    <col min="1537" max="1537" width="14" style="310" customWidth="1"/>
    <col min="1538" max="1538" width="8.25" style="310" customWidth="1"/>
    <col min="1539" max="1539" width="7.5" style="310" customWidth="1"/>
    <col min="1540" max="1541" width="9" style="310"/>
    <col min="1542" max="1542" width="11" style="310" customWidth="1"/>
    <col min="1543" max="1792" width="9" style="310"/>
    <col min="1793" max="1793" width="14" style="310" customWidth="1"/>
    <col min="1794" max="1794" width="8.25" style="310" customWidth="1"/>
    <col min="1795" max="1795" width="7.5" style="310" customWidth="1"/>
    <col min="1796" max="1797" width="9" style="310"/>
    <col min="1798" max="1798" width="11" style="310" customWidth="1"/>
    <col min="1799" max="2048" width="9" style="310"/>
    <col min="2049" max="2049" width="14" style="310" customWidth="1"/>
    <col min="2050" max="2050" width="8.25" style="310" customWidth="1"/>
    <col min="2051" max="2051" width="7.5" style="310" customWidth="1"/>
    <col min="2052" max="2053" width="9" style="310"/>
    <col min="2054" max="2054" width="11" style="310" customWidth="1"/>
    <col min="2055" max="2304" width="9" style="310"/>
    <col min="2305" max="2305" width="14" style="310" customWidth="1"/>
    <col min="2306" max="2306" width="8.25" style="310" customWidth="1"/>
    <col min="2307" max="2307" width="7.5" style="310" customWidth="1"/>
    <col min="2308" max="2309" width="9" style="310"/>
    <col min="2310" max="2310" width="11" style="310" customWidth="1"/>
    <col min="2311" max="2560" width="9" style="310"/>
    <col min="2561" max="2561" width="14" style="310" customWidth="1"/>
    <col min="2562" max="2562" width="8.25" style="310" customWidth="1"/>
    <col min="2563" max="2563" width="7.5" style="310" customWidth="1"/>
    <col min="2564" max="2565" width="9" style="310"/>
    <col min="2566" max="2566" width="11" style="310" customWidth="1"/>
    <col min="2567" max="2816" width="9" style="310"/>
    <col min="2817" max="2817" width="14" style="310" customWidth="1"/>
    <col min="2818" max="2818" width="8.25" style="310" customWidth="1"/>
    <col min="2819" max="2819" width="7.5" style="310" customWidth="1"/>
    <col min="2820" max="2821" width="9" style="310"/>
    <col min="2822" max="2822" width="11" style="310" customWidth="1"/>
    <col min="2823" max="3072" width="9" style="310"/>
    <col min="3073" max="3073" width="14" style="310" customWidth="1"/>
    <col min="3074" max="3074" width="8.25" style="310" customWidth="1"/>
    <col min="3075" max="3075" width="7.5" style="310" customWidth="1"/>
    <col min="3076" max="3077" width="9" style="310"/>
    <col min="3078" max="3078" width="11" style="310" customWidth="1"/>
    <col min="3079" max="3328" width="9" style="310"/>
    <col min="3329" max="3329" width="14" style="310" customWidth="1"/>
    <col min="3330" max="3330" width="8.25" style="310" customWidth="1"/>
    <col min="3331" max="3331" width="7.5" style="310" customWidth="1"/>
    <col min="3332" max="3333" width="9" style="310"/>
    <col min="3334" max="3334" width="11" style="310" customWidth="1"/>
    <col min="3335" max="3584" width="9" style="310"/>
    <col min="3585" max="3585" width="14" style="310" customWidth="1"/>
    <col min="3586" max="3586" width="8.25" style="310" customWidth="1"/>
    <col min="3587" max="3587" width="7.5" style="310" customWidth="1"/>
    <col min="3588" max="3589" width="9" style="310"/>
    <col min="3590" max="3590" width="11" style="310" customWidth="1"/>
    <col min="3591" max="3840" width="9" style="310"/>
    <col min="3841" max="3841" width="14" style="310" customWidth="1"/>
    <col min="3842" max="3842" width="8.25" style="310" customWidth="1"/>
    <col min="3843" max="3843" width="7.5" style="310" customWidth="1"/>
    <col min="3844" max="3845" width="9" style="310"/>
    <col min="3846" max="3846" width="11" style="310" customWidth="1"/>
    <col min="3847" max="4096" width="9" style="310"/>
    <col min="4097" max="4097" width="14" style="310" customWidth="1"/>
    <col min="4098" max="4098" width="8.25" style="310" customWidth="1"/>
    <col min="4099" max="4099" width="7.5" style="310" customWidth="1"/>
    <col min="4100" max="4101" width="9" style="310"/>
    <col min="4102" max="4102" width="11" style="310" customWidth="1"/>
    <col min="4103" max="4352" width="9" style="310"/>
    <col min="4353" max="4353" width="14" style="310" customWidth="1"/>
    <col min="4354" max="4354" width="8.25" style="310" customWidth="1"/>
    <col min="4355" max="4355" width="7.5" style="310" customWidth="1"/>
    <col min="4356" max="4357" width="9" style="310"/>
    <col min="4358" max="4358" width="11" style="310" customWidth="1"/>
    <col min="4359" max="4608" width="9" style="310"/>
    <col min="4609" max="4609" width="14" style="310" customWidth="1"/>
    <col min="4610" max="4610" width="8.25" style="310" customWidth="1"/>
    <col min="4611" max="4611" width="7.5" style="310" customWidth="1"/>
    <col min="4612" max="4613" width="9" style="310"/>
    <col min="4614" max="4614" width="11" style="310" customWidth="1"/>
    <col min="4615" max="4864" width="9" style="310"/>
    <col min="4865" max="4865" width="14" style="310" customWidth="1"/>
    <col min="4866" max="4866" width="8.25" style="310" customWidth="1"/>
    <col min="4867" max="4867" width="7.5" style="310" customWidth="1"/>
    <col min="4868" max="4869" width="9" style="310"/>
    <col min="4870" max="4870" width="11" style="310" customWidth="1"/>
    <col min="4871" max="5120" width="9" style="310"/>
    <col min="5121" max="5121" width="14" style="310" customWidth="1"/>
    <col min="5122" max="5122" width="8.25" style="310" customWidth="1"/>
    <col min="5123" max="5123" width="7.5" style="310" customWidth="1"/>
    <col min="5124" max="5125" width="9" style="310"/>
    <col min="5126" max="5126" width="11" style="310" customWidth="1"/>
    <col min="5127" max="5376" width="9" style="310"/>
    <col min="5377" max="5377" width="14" style="310" customWidth="1"/>
    <col min="5378" max="5378" width="8.25" style="310" customWidth="1"/>
    <col min="5379" max="5379" width="7.5" style="310" customWidth="1"/>
    <col min="5380" max="5381" width="9" style="310"/>
    <col min="5382" max="5382" width="11" style="310" customWidth="1"/>
    <col min="5383" max="5632" width="9" style="310"/>
    <col min="5633" max="5633" width="14" style="310" customWidth="1"/>
    <col min="5634" max="5634" width="8.25" style="310" customWidth="1"/>
    <col min="5635" max="5635" width="7.5" style="310" customWidth="1"/>
    <col min="5636" max="5637" width="9" style="310"/>
    <col min="5638" max="5638" width="11" style="310" customWidth="1"/>
    <col min="5639" max="5888" width="9" style="310"/>
    <col min="5889" max="5889" width="14" style="310" customWidth="1"/>
    <col min="5890" max="5890" width="8.25" style="310" customWidth="1"/>
    <col min="5891" max="5891" width="7.5" style="310" customWidth="1"/>
    <col min="5892" max="5893" width="9" style="310"/>
    <col min="5894" max="5894" width="11" style="310" customWidth="1"/>
    <col min="5895" max="6144" width="9" style="310"/>
    <col min="6145" max="6145" width="14" style="310" customWidth="1"/>
    <col min="6146" max="6146" width="8.25" style="310" customWidth="1"/>
    <col min="6147" max="6147" width="7.5" style="310" customWidth="1"/>
    <col min="6148" max="6149" width="9" style="310"/>
    <col min="6150" max="6150" width="11" style="310" customWidth="1"/>
    <col min="6151" max="6400" width="9" style="310"/>
    <col min="6401" max="6401" width="14" style="310" customWidth="1"/>
    <col min="6402" max="6402" width="8.25" style="310" customWidth="1"/>
    <col min="6403" max="6403" width="7.5" style="310" customWidth="1"/>
    <col min="6404" max="6405" width="9" style="310"/>
    <col min="6406" max="6406" width="11" style="310" customWidth="1"/>
    <col min="6407" max="6656" width="9" style="310"/>
    <col min="6657" max="6657" width="14" style="310" customWidth="1"/>
    <col min="6658" max="6658" width="8.25" style="310" customWidth="1"/>
    <col min="6659" max="6659" width="7.5" style="310" customWidth="1"/>
    <col min="6660" max="6661" width="9" style="310"/>
    <col min="6662" max="6662" width="11" style="310" customWidth="1"/>
    <col min="6663" max="6912" width="9" style="310"/>
    <col min="6913" max="6913" width="14" style="310" customWidth="1"/>
    <col min="6914" max="6914" width="8.25" style="310" customWidth="1"/>
    <col min="6915" max="6915" width="7.5" style="310" customWidth="1"/>
    <col min="6916" max="6917" width="9" style="310"/>
    <col min="6918" max="6918" width="11" style="310" customWidth="1"/>
    <col min="6919" max="7168" width="9" style="310"/>
    <col min="7169" max="7169" width="14" style="310" customWidth="1"/>
    <col min="7170" max="7170" width="8.25" style="310" customWidth="1"/>
    <col min="7171" max="7171" width="7.5" style="310" customWidth="1"/>
    <col min="7172" max="7173" width="9" style="310"/>
    <col min="7174" max="7174" width="11" style="310" customWidth="1"/>
    <col min="7175" max="7424" width="9" style="310"/>
    <col min="7425" max="7425" width="14" style="310" customWidth="1"/>
    <col min="7426" max="7426" width="8.25" style="310" customWidth="1"/>
    <col min="7427" max="7427" width="7.5" style="310" customWidth="1"/>
    <col min="7428" max="7429" width="9" style="310"/>
    <col min="7430" max="7430" width="11" style="310" customWidth="1"/>
    <col min="7431" max="7680" width="9" style="310"/>
    <col min="7681" max="7681" width="14" style="310" customWidth="1"/>
    <col min="7682" max="7682" width="8.25" style="310" customWidth="1"/>
    <col min="7683" max="7683" width="7.5" style="310" customWidth="1"/>
    <col min="7684" max="7685" width="9" style="310"/>
    <col min="7686" max="7686" width="11" style="310" customWidth="1"/>
    <col min="7687" max="7936" width="9" style="310"/>
    <col min="7937" max="7937" width="14" style="310" customWidth="1"/>
    <col min="7938" max="7938" width="8.25" style="310" customWidth="1"/>
    <col min="7939" max="7939" width="7.5" style="310" customWidth="1"/>
    <col min="7940" max="7941" width="9" style="310"/>
    <col min="7942" max="7942" width="11" style="310" customWidth="1"/>
    <col min="7943" max="8192" width="9" style="310"/>
    <col min="8193" max="8193" width="14" style="310" customWidth="1"/>
    <col min="8194" max="8194" width="8.25" style="310" customWidth="1"/>
    <col min="8195" max="8195" width="7.5" style="310" customWidth="1"/>
    <col min="8196" max="8197" width="9" style="310"/>
    <col min="8198" max="8198" width="11" style="310" customWidth="1"/>
    <col min="8199" max="8448" width="9" style="310"/>
    <col min="8449" max="8449" width="14" style="310" customWidth="1"/>
    <col min="8450" max="8450" width="8.25" style="310" customWidth="1"/>
    <col min="8451" max="8451" width="7.5" style="310" customWidth="1"/>
    <col min="8452" max="8453" width="9" style="310"/>
    <col min="8454" max="8454" width="11" style="310" customWidth="1"/>
    <col min="8455" max="8704" width="9" style="310"/>
    <col min="8705" max="8705" width="14" style="310" customWidth="1"/>
    <col min="8706" max="8706" width="8.25" style="310" customWidth="1"/>
    <col min="8707" max="8707" width="7.5" style="310" customWidth="1"/>
    <col min="8708" max="8709" width="9" style="310"/>
    <col min="8710" max="8710" width="11" style="310" customWidth="1"/>
    <col min="8711" max="8960" width="9" style="310"/>
    <col min="8961" max="8961" width="14" style="310" customWidth="1"/>
    <col min="8962" max="8962" width="8.25" style="310" customWidth="1"/>
    <col min="8963" max="8963" width="7.5" style="310" customWidth="1"/>
    <col min="8964" max="8965" width="9" style="310"/>
    <col min="8966" max="8966" width="11" style="310" customWidth="1"/>
    <col min="8967" max="9216" width="9" style="310"/>
    <col min="9217" max="9217" width="14" style="310" customWidth="1"/>
    <col min="9218" max="9218" width="8.25" style="310" customWidth="1"/>
    <col min="9219" max="9219" width="7.5" style="310" customWidth="1"/>
    <col min="9220" max="9221" width="9" style="310"/>
    <col min="9222" max="9222" width="11" style="310" customWidth="1"/>
    <col min="9223" max="9472" width="9" style="310"/>
    <col min="9473" max="9473" width="14" style="310" customWidth="1"/>
    <col min="9474" max="9474" width="8.25" style="310" customWidth="1"/>
    <col min="9475" max="9475" width="7.5" style="310" customWidth="1"/>
    <col min="9476" max="9477" width="9" style="310"/>
    <col min="9478" max="9478" width="11" style="310" customWidth="1"/>
    <col min="9479" max="9728" width="9" style="310"/>
    <col min="9729" max="9729" width="14" style="310" customWidth="1"/>
    <col min="9730" max="9730" width="8.25" style="310" customWidth="1"/>
    <col min="9731" max="9731" width="7.5" style="310" customWidth="1"/>
    <col min="9732" max="9733" width="9" style="310"/>
    <col min="9734" max="9734" width="11" style="310" customWidth="1"/>
    <col min="9735" max="9984" width="9" style="310"/>
    <col min="9985" max="9985" width="14" style="310" customWidth="1"/>
    <col min="9986" max="9986" width="8.25" style="310" customWidth="1"/>
    <col min="9987" max="9987" width="7.5" style="310" customWidth="1"/>
    <col min="9988" max="9989" width="9" style="310"/>
    <col min="9990" max="9990" width="11" style="310" customWidth="1"/>
    <col min="9991" max="10240" width="9" style="310"/>
    <col min="10241" max="10241" width="14" style="310" customWidth="1"/>
    <col min="10242" max="10242" width="8.25" style="310" customWidth="1"/>
    <col min="10243" max="10243" width="7.5" style="310" customWidth="1"/>
    <col min="10244" max="10245" width="9" style="310"/>
    <col min="10246" max="10246" width="11" style="310" customWidth="1"/>
    <col min="10247" max="10496" width="9" style="310"/>
    <col min="10497" max="10497" width="14" style="310" customWidth="1"/>
    <col min="10498" max="10498" width="8.25" style="310" customWidth="1"/>
    <col min="10499" max="10499" width="7.5" style="310" customWidth="1"/>
    <col min="10500" max="10501" width="9" style="310"/>
    <col min="10502" max="10502" width="11" style="310" customWidth="1"/>
    <col min="10503" max="10752" width="9" style="310"/>
    <col min="10753" max="10753" width="14" style="310" customWidth="1"/>
    <col min="10754" max="10754" width="8.25" style="310" customWidth="1"/>
    <col min="10755" max="10755" width="7.5" style="310" customWidth="1"/>
    <col min="10756" max="10757" width="9" style="310"/>
    <col min="10758" max="10758" width="11" style="310" customWidth="1"/>
    <col min="10759" max="11008" width="9" style="310"/>
    <col min="11009" max="11009" width="14" style="310" customWidth="1"/>
    <col min="11010" max="11010" width="8.25" style="310" customWidth="1"/>
    <col min="11011" max="11011" width="7.5" style="310" customWidth="1"/>
    <col min="11012" max="11013" width="9" style="310"/>
    <col min="11014" max="11014" width="11" style="310" customWidth="1"/>
    <col min="11015" max="11264" width="9" style="310"/>
    <col min="11265" max="11265" width="14" style="310" customWidth="1"/>
    <col min="11266" max="11266" width="8.25" style="310" customWidth="1"/>
    <col min="11267" max="11267" width="7.5" style="310" customWidth="1"/>
    <col min="11268" max="11269" width="9" style="310"/>
    <col min="11270" max="11270" width="11" style="310" customWidth="1"/>
    <col min="11271" max="11520" width="9" style="310"/>
    <col min="11521" max="11521" width="14" style="310" customWidth="1"/>
    <col min="11522" max="11522" width="8.25" style="310" customWidth="1"/>
    <col min="11523" max="11523" width="7.5" style="310" customWidth="1"/>
    <col min="11524" max="11525" width="9" style="310"/>
    <col min="11526" max="11526" width="11" style="310" customWidth="1"/>
    <col min="11527" max="11776" width="9" style="310"/>
    <col min="11777" max="11777" width="14" style="310" customWidth="1"/>
    <col min="11778" max="11778" width="8.25" style="310" customWidth="1"/>
    <col min="11779" max="11779" width="7.5" style="310" customWidth="1"/>
    <col min="11780" max="11781" width="9" style="310"/>
    <col min="11782" max="11782" width="11" style="310" customWidth="1"/>
    <col min="11783" max="12032" width="9" style="310"/>
    <col min="12033" max="12033" width="14" style="310" customWidth="1"/>
    <col min="12034" max="12034" width="8.25" style="310" customWidth="1"/>
    <col min="12035" max="12035" width="7.5" style="310" customWidth="1"/>
    <col min="12036" max="12037" width="9" style="310"/>
    <col min="12038" max="12038" width="11" style="310" customWidth="1"/>
    <col min="12039" max="12288" width="9" style="310"/>
    <col min="12289" max="12289" width="14" style="310" customWidth="1"/>
    <col min="12290" max="12290" width="8.25" style="310" customWidth="1"/>
    <col min="12291" max="12291" width="7.5" style="310" customWidth="1"/>
    <col min="12292" max="12293" width="9" style="310"/>
    <col min="12294" max="12294" width="11" style="310" customWidth="1"/>
    <col min="12295" max="12544" width="9" style="310"/>
    <col min="12545" max="12545" width="14" style="310" customWidth="1"/>
    <col min="12546" max="12546" width="8.25" style="310" customWidth="1"/>
    <col min="12547" max="12547" width="7.5" style="310" customWidth="1"/>
    <col min="12548" max="12549" width="9" style="310"/>
    <col min="12550" max="12550" width="11" style="310" customWidth="1"/>
    <col min="12551" max="12800" width="9" style="310"/>
    <col min="12801" max="12801" width="14" style="310" customWidth="1"/>
    <col min="12802" max="12802" width="8.25" style="310" customWidth="1"/>
    <col min="12803" max="12803" width="7.5" style="310" customWidth="1"/>
    <col min="12804" max="12805" width="9" style="310"/>
    <col min="12806" max="12806" width="11" style="310" customWidth="1"/>
    <col min="12807" max="13056" width="9" style="310"/>
    <col min="13057" max="13057" width="14" style="310" customWidth="1"/>
    <col min="13058" max="13058" width="8.25" style="310" customWidth="1"/>
    <col min="13059" max="13059" width="7.5" style="310" customWidth="1"/>
    <col min="13060" max="13061" width="9" style="310"/>
    <col min="13062" max="13062" width="11" style="310" customWidth="1"/>
    <col min="13063" max="13312" width="9" style="310"/>
    <col min="13313" max="13313" width="14" style="310" customWidth="1"/>
    <col min="13314" max="13314" width="8.25" style="310" customWidth="1"/>
    <col min="13315" max="13315" width="7.5" style="310" customWidth="1"/>
    <col min="13316" max="13317" width="9" style="310"/>
    <col min="13318" max="13318" width="11" style="310" customWidth="1"/>
    <col min="13319" max="13568" width="9" style="310"/>
    <col min="13569" max="13569" width="14" style="310" customWidth="1"/>
    <col min="13570" max="13570" width="8.25" style="310" customWidth="1"/>
    <col min="13571" max="13571" width="7.5" style="310" customWidth="1"/>
    <col min="13572" max="13573" width="9" style="310"/>
    <col min="13574" max="13574" width="11" style="310" customWidth="1"/>
    <col min="13575" max="13824" width="9" style="310"/>
    <col min="13825" max="13825" width="14" style="310" customWidth="1"/>
    <col min="13826" max="13826" width="8.25" style="310" customWidth="1"/>
    <col min="13827" max="13827" width="7.5" style="310" customWidth="1"/>
    <col min="13828" max="13829" width="9" style="310"/>
    <col min="13830" max="13830" width="11" style="310" customWidth="1"/>
    <col min="13831" max="14080" width="9" style="310"/>
    <col min="14081" max="14081" width="14" style="310" customWidth="1"/>
    <col min="14082" max="14082" width="8.25" style="310" customWidth="1"/>
    <col min="14083" max="14083" width="7.5" style="310" customWidth="1"/>
    <col min="14084" max="14085" width="9" style="310"/>
    <col min="14086" max="14086" width="11" style="310" customWidth="1"/>
    <col min="14087" max="14336" width="9" style="310"/>
    <col min="14337" max="14337" width="14" style="310" customWidth="1"/>
    <col min="14338" max="14338" width="8.25" style="310" customWidth="1"/>
    <col min="14339" max="14339" width="7.5" style="310" customWidth="1"/>
    <col min="14340" max="14341" width="9" style="310"/>
    <col min="14342" max="14342" width="11" style="310" customWidth="1"/>
    <col min="14343" max="14592" width="9" style="310"/>
    <col min="14593" max="14593" width="14" style="310" customWidth="1"/>
    <col min="14594" max="14594" width="8.25" style="310" customWidth="1"/>
    <col min="14595" max="14595" width="7.5" style="310" customWidth="1"/>
    <col min="14596" max="14597" width="9" style="310"/>
    <col min="14598" max="14598" width="11" style="310" customWidth="1"/>
    <col min="14599" max="14848" width="9" style="310"/>
    <col min="14849" max="14849" width="14" style="310" customWidth="1"/>
    <col min="14850" max="14850" width="8.25" style="310" customWidth="1"/>
    <col min="14851" max="14851" width="7.5" style="310" customWidth="1"/>
    <col min="14852" max="14853" width="9" style="310"/>
    <col min="14854" max="14854" width="11" style="310" customWidth="1"/>
    <col min="14855" max="15104" width="9" style="310"/>
    <col min="15105" max="15105" width="14" style="310" customWidth="1"/>
    <col min="15106" max="15106" width="8.25" style="310" customWidth="1"/>
    <col min="15107" max="15107" width="7.5" style="310" customWidth="1"/>
    <col min="15108" max="15109" width="9" style="310"/>
    <col min="15110" max="15110" width="11" style="310" customWidth="1"/>
    <col min="15111" max="15360" width="9" style="310"/>
    <col min="15361" max="15361" width="14" style="310" customWidth="1"/>
    <col min="15362" max="15362" width="8.25" style="310" customWidth="1"/>
    <col min="15363" max="15363" width="7.5" style="310" customWidth="1"/>
    <col min="15364" max="15365" width="9" style="310"/>
    <col min="15366" max="15366" width="11" style="310" customWidth="1"/>
    <col min="15367" max="15616" width="9" style="310"/>
    <col min="15617" max="15617" width="14" style="310" customWidth="1"/>
    <col min="15618" max="15618" width="8.25" style="310" customWidth="1"/>
    <col min="15619" max="15619" width="7.5" style="310" customWidth="1"/>
    <col min="15620" max="15621" width="9" style="310"/>
    <col min="15622" max="15622" width="11" style="310" customWidth="1"/>
    <col min="15623" max="15872" width="9" style="310"/>
    <col min="15873" max="15873" width="14" style="310" customWidth="1"/>
    <col min="15874" max="15874" width="8.25" style="310" customWidth="1"/>
    <col min="15875" max="15875" width="7.5" style="310" customWidth="1"/>
    <col min="15876" max="15877" width="9" style="310"/>
    <col min="15878" max="15878" width="11" style="310" customWidth="1"/>
    <col min="15879" max="16128" width="9" style="310"/>
    <col min="16129" max="16129" width="14" style="310" customWidth="1"/>
    <col min="16130" max="16130" width="8.25" style="310" customWidth="1"/>
    <col min="16131" max="16131" width="7.5" style="310" customWidth="1"/>
    <col min="16132" max="16133" width="9" style="310"/>
    <col min="16134" max="16134" width="11" style="310" customWidth="1"/>
    <col min="16135" max="16384" width="9" style="310"/>
  </cols>
  <sheetData>
    <row r="1" spans="1:9" s="493" customFormat="1">
      <c r="A1" s="484" t="s">
        <v>235</v>
      </c>
    </row>
    <row r="2" spans="1:9" s="493" customFormat="1">
      <c r="A2" s="493" t="s">
        <v>236</v>
      </c>
      <c r="B2" s="493" t="s">
        <v>237</v>
      </c>
    </row>
    <row r="3" spans="1:9" s="493" customFormat="1">
      <c r="A3" s="493" t="s">
        <v>238</v>
      </c>
    </row>
    <row r="4" spans="1:9" s="493" customFormat="1">
      <c r="A4" s="484" t="s">
        <v>239</v>
      </c>
    </row>
    <row r="5" spans="1:9" s="493" customFormat="1"/>
    <row r="6" spans="1:9" ht="15" customHeight="1">
      <c r="A6" s="475" t="s">
        <v>168</v>
      </c>
      <c r="B6" s="475"/>
      <c r="C6" s="475"/>
      <c r="D6" s="475"/>
      <c r="E6" s="475"/>
      <c r="F6" s="475"/>
      <c r="G6" s="341"/>
      <c r="H6" s="342"/>
      <c r="I6" s="342"/>
    </row>
    <row r="7" spans="1:9" ht="12.75" customHeight="1">
      <c r="A7" s="475" t="s">
        <v>177</v>
      </c>
      <c r="B7" s="475"/>
      <c r="C7" s="475"/>
      <c r="D7" s="475"/>
      <c r="E7" s="475"/>
      <c r="F7" s="475"/>
      <c r="G7" s="341"/>
      <c r="H7" s="342"/>
      <c r="I7" s="342"/>
    </row>
    <row r="8" spans="1:9" ht="12.75" customHeight="1">
      <c r="A8" s="476" t="s">
        <v>69</v>
      </c>
      <c r="B8" s="476"/>
      <c r="C8" s="476"/>
      <c r="D8" s="476"/>
      <c r="E8" s="476"/>
      <c r="F8" s="476"/>
      <c r="G8" s="343"/>
      <c r="H8" s="342"/>
      <c r="I8" s="342"/>
    </row>
    <row r="9" spans="1:9" ht="12" customHeight="1">
      <c r="A9" s="344"/>
      <c r="B9" s="344"/>
      <c r="C9" s="344"/>
      <c r="D9" s="344"/>
      <c r="E9" s="344"/>
      <c r="F9" s="345"/>
      <c r="G9" s="344"/>
      <c r="H9" s="344"/>
      <c r="I9" s="344"/>
    </row>
    <row r="10" spans="1:9" ht="12" customHeight="1">
      <c r="A10" s="344"/>
      <c r="B10" s="344"/>
      <c r="C10" s="344"/>
      <c r="D10" s="344"/>
      <c r="E10" s="344"/>
      <c r="F10" s="345"/>
      <c r="G10" s="344"/>
      <c r="H10" s="344"/>
      <c r="I10" s="344"/>
    </row>
    <row r="11" spans="1:9" ht="12" customHeight="1">
      <c r="A11" s="345"/>
      <c r="B11" s="343"/>
      <c r="C11" s="343"/>
      <c r="D11" s="343"/>
      <c r="E11" s="343"/>
      <c r="F11" s="343"/>
      <c r="G11" s="343"/>
      <c r="H11" s="342"/>
      <c r="I11" s="342"/>
    </row>
    <row r="12" spans="1:9" ht="12" customHeight="1">
      <c r="A12" s="345"/>
      <c r="B12" s="343"/>
      <c r="C12" s="343"/>
      <c r="D12" s="343"/>
      <c r="E12" s="343"/>
      <c r="F12" s="343"/>
      <c r="G12" s="343"/>
      <c r="H12" s="342"/>
      <c r="I12" s="342"/>
    </row>
    <row r="13" spans="1:9" ht="12" customHeight="1">
      <c r="A13" s="345"/>
      <c r="B13" s="343"/>
      <c r="C13" s="343"/>
      <c r="D13" s="343"/>
      <c r="E13" s="343"/>
      <c r="F13" s="343"/>
      <c r="G13" s="343"/>
      <c r="H13" s="342"/>
      <c r="I13" s="342"/>
    </row>
    <row r="14" spans="1:9" ht="12" customHeight="1">
      <c r="A14" s="345"/>
      <c r="B14" s="343"/>
      <c r="C14" s="343"/>
      <c r="D14" s="343"/>
      <c r="E14" s="343"/>
      <c r="F14" s="343"/>
      <c r="G14" s="343"/>
      <c r="H14" s="342"/>
      <c r="I14" s="342"/>
    </row>
    <row r="15" spans="1:9" ht="12" customHeight="1">
      <c r="A15" s="345"/>
      <c r="B15" s="343"/>
      <c r="C15" s="343"/>
      <c r="D15" s="343"/>
      <c r="E15" s="343"/>
      <c r="F15" s="343"/>
      <c r="G15" s="343"/>
      <c r="H15" s="342"/>
      <c r="I15" s="342"/>
    </row>
    <row r="16" spans="1:9" ht="12" customHeight="1">
      <c r="A16" s="345"/>
      <c r="B16" s="343"/>
      <c r="C16" s="343"/>
      <c r="D16" s="343"/>
      <c r="E16" s="343"/>
      <c r="F16" s="343"/>
      <c r="G16" s="343"/>
      <c r="H16" s="342"/>
      <c r="I16" s="342"/>
    </row>
    <row r="17" spans="1:9" ht="12" customHeight="1">
      <c r="A17" s="345"/>
      <c r="B17" s="343"/>
      <c r="C17" s="343"/>
      <c r="D17" s="343"/>
      <c r="E17" s="343"/>
      <c r="F17" s="343"/>
      <c r="G17" s="343"/>
      <c r="H17" s="342"/>
      <c r="I17" s="342"/>
    </row>
    <row r="18" spans="1:9" ht="12" customHeight="1">
      <c r="A18" s="345"/>
      <c r="B18" s="343"/>
      <c r="C18" s="343"/>
      <c r="D18" s="343"/>
      <c r="E18" s="343"/>
      <c r="F18" s="343"/>
      <c r="G18" s="343"/>
      <c r="H18" s="342"/>
      <c r="I18" s="342"/>
    </row>
    <row r="19" spans="1:9" ht="12" customHeight="1">
      <c r="A19" s="345"/>
      <c r="B19" s="343"/>
      <c r="C19" s="343"/>
      <c r="D19" s="343"/>
      <c r="E19" s="343"/>
      <c r="F19" s="343"/>
      <c r="G19" s="343"/>
      <c r="H19" s="342"/>
      <c r="I19" s="342"/>
    </row>
    <row r="20" spans="1:9" ht="12" customHeight="1">
      <c r="A20" s="345"/>
      <c r="B20" s="343"/>
      <c r="C20" s="343"/>
      <c r="D20" s="343"/>
      <c r="E20" s="343"/>
      <c r="F20" s="343"/>
      <c r="G20" s="343"/>
      <c r="H20" s="342"/>
      <c r="I20" s="342"/>
    </row>
    <row r="21" spans="1:9" ht="12" customHeight="1">
      <c r="A21" s="345"/>
      <c r="B21" s="343"/>
      <c r="C21" s="343"/>
      <c r="D21" s="343"/>
      <c r="E21" s="343"/>
      <c r="F21" s="343"/>
      <c r="G21" s="343"/>
      <c r="H21" s="342"/>
      <c r="I21" s="342"/>
    </row>
    <row r="22" spans="1:9" ht="12" customHeight="1">
      <c r="A22" s="345"/>
      <c r="B22" s="343"/>
      <c r="C22" s="343"/>
      <c r="D22" s="343"/>
      <c r="E22" s="343"/>
      <c r="F22" s="343"/>
      <c r="G22" s="343"/>
      <c r="H22" s="342"/>
      <c r="I22" s="342"/>
    </row>
    <row r="23" spans="1:9" ht="12" customHeight="1">
      <c r="A23" s="345"/>
      <c r="B23" s="343"/>
      <c r="C23" s="343"/>
      <c r="D23" s="343"/>
      <c r="E23" s="343"/>
      <c r="F23" s="343"/>
      <c r="G23" s="343"/>
      <c r="H23" s="342"/>
      <c r="I23" s="342"/>
    </row>
    <row r="24" spans="1:9" ht="12" customHeight="1">
      <c r="A24" s="345"/>
      <c r="B24" s="343"/>
      <c r="C24" s="343"/>
      <c r="D24" s="343"/>
      <c r="E24" s="343"/>
      <c r="F24" s="343"/>
      <c r="G24" s="343"/>
      <c r="H24" s="342"/>
      <c r="I24" s="342"/>
    </row>
    <row r="25" spans="1:9" ht="12" customHeight="1">
      <c r="A25" s="345"/>
      <c r="B25" s="343"/>
      <c r="C25" s="343"/>
      <c r="D25" s="343"/>
      <c r="E25" s="343"/>
      <c r="F25" s="343"/>
      <c r="G25" s="343"/>
      <c r="H25" s="342"/>
      <c r="I25" s="342"/>
    </row>
    <row r="26" spans="1:9" ht="12" customHeight="1">
      <c r="A26" s="345"/>
      <c r="B26" s="343"/>
      <c r="C26" s="343"/>
      <c r="D26" s="343"/>
      <c r="E26" s="343"/>
      <c r="F26" s="343"/>
      <c r="G26" s="343"/>
      <c r="H26" s="342"/>
      <c r="I26" s="342"/>
    </row>
    <row r="27" spans="1:9" ht="12" customHeight="1">
      <c r="A27" s="345"/>
      <c r="B27" s="343"/>
      <c r="C27" s="343"/>
      <c r="D27" s="343"/>
      <c r="E27" s="343"/>
      <c r="F27" s="343"/>
      <c r="G27" s="343"/>
      <c r="H27" s="342"/>
      <c r="I27" s="342"/>
    </row>
    <row r="28" spans="1:9" ht="12" customHeight="1">
      <c r="A28" s="345"/>
      <c r="B28" s="343"/>
      <c r="C28" s="343"/>
      <c r="D28" s="343"/>
      <c r="E28" s="343"/>
      <c r="F28" s="343"/>
      <c r="G28" s="343"/>
      <c r="H28" s="342"/>
      <c r="I28" s="342"/>
    </row>
    <row r="29" spans="1:9" ht="12" customHeight="1">
      <c r="A29" s="345"/>
      <c r="B29" s="343"/>
      <c r="C29" s="343"/>
      <c r="D29" s="343"/>
      <c r="E29" s="343"/>
      <c r="F29" s="343"/>
      <c r="G29" s="343"/>
      <c r="H29" s="342"/>
      <c r="I29" s="342"/>
    </row>
    <row r="30" spans="1:9" ht="12" customHeight="1">
      <c r="A30" s="345"/>
      <c r="B30" s="343"/>
      <c r="C30" s="343"/>
      <c r="D30" s="343"/>
      <c r="E30" s="343"/>
      <c r="F30" s="343"/>
      <c r="G30" s="343"/>
      <c r="H30" s="342"/>
      <c r="I30" s="342"/>
    </row>
    <row r="31" spans="1:9" ht="12" customHeight="1">
      <c r="A31" s="345"/>
      <c r="B31" s="343"/>
      <c r="C31" s="343"/>
      <c r="D31" s="343"/>
      <c r="E31" s="343"/>
      <c r="F31" s="343"/>
      <c r="G31" s="343"/>
      <c r="H31" s="342"/>
      <c r="I31" s="342"/>
    </row>
    <row r="32" spans="1:9" ht="12" customHeight="1">
      <c r="A32" s="345"/>
      <c r="B32" s="343"/>
      <c r="C32" s="343"/>
      <c r="D32" s="343"/>
      <c r="E32" s="343"/>
      <c r="F32" s="343"/>
      <c r="G32" s="343"/>
      <c r="H32" s="342"/>
      <c r="I32" s="342"/>
    </row>
    <row r="33" spans="1:9" ht="12" customHeight="1">
      <c r="A33" s="346" t="s">
        <v>76</v>
      </c>
      <c r="B33" s="343"/>
      <c r="C33" s="343"/>
      <c r="D33" s="343"/>
      <c r="E33" s="343"/>
      <c r="F33" s="343"/>
      <c r="G33" s="343"/>
      <c r="H33" s="342"/>
      <c r="I33" s="342"/>
    </row>
    <row r="34" spans="1:9" ht="23.25" customHeight="1">
      <c r="A34" s="477" t="s">
        <v>220</v>
      </c>
      <c r="B34" s="478"/>
      <c r="C34" s="478"/>
      <c r="D34" s="478"/>
      <c r="E34" s="478"/>
      <c r="F34" s="478"/>
      <c r="G34" s="478"/>
      <c r="H34" s="478"/>
      <c r="I34" s="479"/>
    </row>
    <row r="35" spans="1:9" ht="12" customHeight="1">
      <c r="A35" s="344"/>
      <c r="B35" s="343"/>
      <c r="C35" s="343"/>
      <c r="D35" s="343"/>
      <c r="E35" s="343"/>
      <c r="F35" s="343"/>
      <c r="G35" s="343"/>
      <c r="H35" s="342"/>
      <c r="I35" s="342"/>
    </row>
    <row r="39" spans="1:9">
      <c r="A39" s="311"/>
      <c r="B39" s="311"/>
      <c r="C39" s="311"/>
    </row>
    <row r="40" spans="1:9" ht="30.6">
      <c r="A40" s="312"/>
      <c r="B40" s="313" t="s">
        <v>74</v>
      </c>
      <c r="C40" s="314" t="s">
        <v>75</v>
      </c>
    </row>
    <row r="41" spans="1:9" ht="11.25" customHeight="1">
      <c r="A41" s="315" t="s">
        <v>73</v>
      </c>
      <c r="B41" s="316">
        <v>1046.93</v>
      </c>
      <c r="C41" s="317">
        <v>718.2</v>
      </c>
    </row>
    <row r="42" spans="1:9" ht="11.25" customHeight="1">
      <c r="A42" s="318" t="s">
        <v>18</v>
      </c>
      <c r="B42" s="319">
        <v>817.74</v>
      </c>
      <c r="C42" s="320">
        <v>795.38401184808663</v>
      </c>
    </row>
    <row r="43" spans="1:9" ht="11.25" customHeight="1">
      <c r="A43" s="321" t="s">
        <v>15</v>
      </c>
      <c r="B43" s="322">
        <v>760</v>
      </c>
      <c r="C43" s="323">
        <v>760</v>
      </c>
    </row>
    <row r="44" spans="1:9" ht="11.25" customHeight="1">
      <c r="A44" s="318" t="s">
        <v>39</v>
      </c>
      <c r="B44" s="319">
        <v>668</v>
      </c>
      <c r="C44" s="320">
        <v>627</v>
      </c>
    </row>
    <row r="45" spans="1:9" ht="11.25" customHeight="1">
      <c r="A45" s="321" t="s">
        <v>4</v>
      </c>
      <c r="B45" s="322">
        <v>649.31334188940343</v>
      </c>
      <c r="C45" s="323">
        <v>684</v>
      </c>
    </row>
    <row r="46" spans="1:9" ht="11.25" customHeight="1">
      <c r="A46" s="318" t="s">
        <v>28</v>
      </c>
      <c r="B46" s="319">
        <v>617.1</v>
      </c>
      <c r="C46" s="320">
        <v>617.1</v>
      </c>
    </row>
    <row r="47" spans="1:9" ht="11.25" customHeight="1">
      <c r="A47" s="321" t="s">
        <v>41</v>
      </c>
      <c r="B47" s="322">
        <v>610.92215455567896</v>
      </c>
      <c r="C47" s="323">
        <v>602</v>
      </c>
    </row>
    <row r="48" spans="1:9" ht="11.25" customHeight="1">
      <c r="A48" s="318" t="s">
        <v>12</v>
      </c>
      <c r="B48" s="319">
        <v>605</v>
      </c>
      <c r="C48" s="320">
        <v>605.00000005499999</v>
      </c>
    </row>
    <row r="49" spans="1:3" ht="11.25" customHeight="1">
      <c r="A49" s="321" t="s">
        <v>83</v>
      </c>
      <c r="B49" s="322">
        <v>602</v>
      </c>
      <c r="C49" s="323">
        <v>612</v>
      </c>
    </row>
    <row r="50" spans="1:3" ht="11.25" customHeight="1">
      <c r="A50" s="318" t="s">
        <v>3</v>
      </c>
      <c r="B50" s="319">
        <v>598.5</v>
      </c>
      <c r="C50" s="320">
        <v>595.35</v>
      </c>
    </row>
    <row r="51" spans="1:3" ht="11.25" customHeight="1">
      <c r="A51" s="324" t="s">
        <v>31</v>
      </c>
      <c r="B51" s="325">
        <v>548</v>
      </c>
      <c r="C51" s="326">
        <v>480.6</v>
      </c>
    </row>
  </sheetData>
  <mergeCells count="4">
    <mergeCell ref="A6:F6"/>
    <mergeCell ref="A7:F7"/>
    <mergeCell ref="A8:F8"/>
    <mergeCell ref="A34:I34"/>
  </mergeCells>
  <hyperlinks>
    <hyperlink ref="A1" r:id="rId1" display="https://doi.org/10.1787/eag-2018-en"/>
    <hyperlink ref="A4" r:id="rId2"/>
  </hyperlinks>
  <pageMargins left="0.7" right="0.7" top="0.75" bottom="0.75" header="0.3" footer="0.3"/>
  <pageSetup paperSize="9" orientation="portrait" r:id="rId3"/>
  <customProperties>
    <customPr name="CycleColor" r:id="rId4"/>
    <customPr name="DashStyle" r:id="rId5"/>
    <customPr name="GraphSizeIndex" r:id="rId6"/>
    <customPr name="GraphSizeName" r:id="rId7"/>
    <customPr name="PageSizeIndex" r:id="rId8"/>
    <customPr name="PageSizeName" r:id="rId9"/>
    <customPr name="PaletteIndex" r:id="rId10"/>
    <customPr name="PaletteName" r:id="rId11"/>
    <customPr name="SinglePanel" r:id="rId12"/>
    <customPr name="StartColorIndex" r:id="rId13"/>
    <customPr name="StartColorName" r:id="rId14"/>
    <customPr name="StyleTemplateIndex" r:id="rId15"/>
    <customPr name="StyleTemplateName" r:id="rId16"/>
  </customProperties>
  <drawing r:id="rId17"/>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L56"/>
  <sheetViews>
    <sheetView showGridLines="0" zoomScaleNormal="100" workbookViewId="0"/>
  </sheetViews>
  <sheetFormatPr defaultRowHeight="13.2"/>
  <cols>
    <col min="1" max="1" width="81.875" style="310" customWidth="1"/>
    <col min="2" max="3" width="6.75" style="310" customWidth="1"/>
    <col min="4" max="5" width="6" style="310" customWidth="1"/>
    <col min="6" max="6" width="6.75" style="310" customWidth="1"/>
    <col min="7" max="10" width="6" style="310" customWidth="1"/>
    <col min="11" max="12" width="9.875" style="310" customWidth="1"/>
    <col min="13" max="256" width="9" style="310"/>
    <col min="257" max="257" width="87.375" style="310" customWidth="1"/>
    <col min="258" max="259" width="6.75" style="310" customWidth="1"/>
    <col min="260" max="261" width="6" style="310" customWidth="1"/>
    <col min="262" max="262" width="6.75" style="310" customWidth="1"/>
    <col min="263" max="266" width="6" style="310" customWidth="1"/>
    <col min="267" max="268" width="9.875" style="310" customWidth="1"/>
    <col min="269" max="512" width="9" style="310"/>
    <col min="513" max="513" width="87.375" style="310" customWidth="1"/>
    <col min="514" max="515" width="6.75" style="310" customWidth="1"/>
    <col min="516" max="517" width="6" style="310" customWidth="1"/>
    <col min="518" max="518" width="6.75" style="310" customWidth="1"/>
    <col min="519" max="522" width="6" style="310" customWidth="1"/>
    <col min="523" max="524" width="9.875" style="310" customWidth="1"/>
    <col min="525" max="768" width="9" style="310"/>
    <col min="769" max="769" width="87.375" style="310" customWidth="1"/>
    <col min="770" max="771" width="6.75" style="310" customWidth="1"/>
    <col min="772" max="773" width="6" style="310" customWidth="1"/>
    <col min="774" max="774" width="6.75" style="310" customWidth="1"/>
    <col min="775" max="778" width="6" style="310" customWidth="1"/>
    <col min="779" max="780" width="9.875" style="310" customWidth="1"/>
    <col min="781" max="1024" width="9" style="310"/>
    <col min="1025" max="1025" width="87.375" style="310" customWidth="1"/>
    <col min="1026" max="1027" width="6.75" style="310" customWidth="1"/>
    <col min="1028" max="1029" width="6" style="310" customWidth="1"/>
    <col min="1030" max="1030" width="6.75" style="310" customWidth="1"/>
    <col min="1031" max="1034" width="6" style="310" customWidth="1"/>
    <col min="1035" max="1036" width="9.875" style="310" customWidth="1"/>
    <col min="1037" max="1280" width="9" style="310"/>
    <col min="1281" max="1281" width="87.375" style="310" customWidth="1"/>
    <col min="1282" max="1283" width="6.75" style="310" customWidth="1"/>
    <col min="1284" max="1285" width="6" style="310" customWidth="1"/>
    <col min="1286" max="1286" width="6.75" style="310" customWidth="1"/>
    <col min="1287" max="1290" width="6" style="310" customWidth="1"/>
    <col min="1291" max="1292" width="9.875" style="310" customWidth="1"/>
    <col min="1293" max="1536" width="9" style="310"/>
    <col min="1537" max="1537" width="87.375" style="310" customWidth="1"/>
    <col min="1538" max="1539" width="6.75" style="310" customWidth="1"/>
    <col min="1540" max="1541" width="6" style="310" customWidth="1"/>
    <col min="1542" max="1542" width="6.75" style="310" customWidth="1"/>
    <col min="1543" max="1546" width="6" style="310" customWidth="1"/>
    <col min="1547" max="1548" width="9.875" style="310" customWidth="1"/>
    <col min="1549" max="1792" width="9" style="310"/>
    <col min="1793" max="1793" width="87.375" style="310" customWidth="1"/>
    <col min="1794" max="1795" width="6.75" style="310" customWidth="1"/>
    <col min="1796" max="1797" width="6" style="310" customWidth="1"/>
    <col min="1798" max="1798" width="6.75" style="310" customWidth="1"/>
    <col min="1799" max="1802" width="6" style="310" customWidth="1"/>
    <col min="1803" max="1804" width="9.875" style="310" customWidth="1"/>
    <col min="1805" max="2048" width="9" style="310"/>
    <col min="2049" max="2049" width="87.375" style="310" customWidth="1"/>
    <col min="2050" max="2051" width="6.75" style="310" customWidth="1"/>
    <col min="2052" max="2053" width="6" style="310" customWidth="1"/>
    <col min="2054" max="2054" width="6.75" style="310" customWidth="1"/>
    <col min="2055" max="2058" width="6" style="310" customWidth="1"/>
    <col min="2059" max="2060" width="9.875" style="310" customWidth="1"/>
    <col min="2061" max="2304" width="9" style="310"/>
    <col min="2305" max="2305" width="87.375" style="310" customWidth="1"/>
    <col min="2306" max="2307" width="6.75" style="310" customWidth="1"/>
    <col min="2308" max="2309" width="6" style="310" customWidth="1"/>
    <col min="2310" max="2310" width="6.75" style="310" customWidth="1"/>
    <col min="2311" max="2314" width="6" style="310" customWidth="1"/>
    <col min="2315" max="2316" width="9.875" style="310" customWidth="1"/>
    <col min="2317" max="2560" width="9" style="310"/>
    <col min="2561" max="2561" width="87.375" style="310" customWidth="1"/>
    <col min="2562" max="2563" width="6.75" style="310" customWidth="1"/>
    <col min="2564" max="2565" width="6" style="310" customWidth="1"/>
    <col min="2566" max="2566" width="6.75" style="310" customWidth="1"/>
    <col min="2567" max="2570" width="6" style="310" customWidth="1"/>
    <col min="2571" max="2572" width="9.875" style="310" customWidth="1"/>
    <col min="2573" max="2816" width="9" style="310"/>
    <col min="2817" max="2817" width="87.375" style="310" customWidth="1"/>
    <col min="2818" max="2819" width="6.75" style="310" customWidth="1"/>
    <col min="2820" max="2821" width="6" style="310" customWidth="1"/>
    <col min="2822" max="2822" width="6.75" style="310" customWidth="1"/>
    <col min="2823" max="2826" width="6" style="310" customWidth="1"/>
    <col min="2827" max="2828" width="9.875" style="310" customWidth="1"/>
    <col min="2829" max="3072" width="9" style="310"/>
    <col min="3073" max="3073" width="87.375" style="310" customWidth="1"/>
    <col min="3074" max="3075" width="6.75" style="310" customWidth="1"/>
    <col min="3076" max="3077" width="6" style="310" customWidth="1"/>
    <col min="3078" max="3078" width="6.75" style="310" customWidth="1"/>
    <col min="3079" max="3082" width="6" style="310" customWidth="1"/>
    <col min="3083" max="3084" width="9.875" style="310" customWidth="1"/>
    <col min="3085" max="3328" width="9" style="310"/>
    <col min="3329" max="3329" width="87.375" style="310" customWidth="1"/>
    <col min="3330" max="3331" width="6.75" style="310" customWidth="1"/>
    <col min="3332" max="3333" width="6" style="310" customWidth="1"/>
    <col min="3334" max="3334" width="6.75" style="310" customWidth="1"/>
    <col min="3335" max="3338" width="6" style="310" customWidth="1"/>
    <col min="3339" max="3340" width="9.875" style="310" customWidth="1"/>
    <col min="3341" max="3584" width="9" style="310"/>
    <col min="3585" max="3585" width="87.375" style="310" customWidth="1"/>
    <col min="3586" max="3587" width="6.75" style="310" customWidth="1"/>
    <col min="3588" max="3589" width="6" style="310" customWidth="1"/>
    <col min="3590" max="3590" width="6.75" style="310" customWidth="1"/>
    <col min="3591" max="3594" width="6" style="310" customWidth="1"/>
    <col min="3595" max="3596" width="9.875" style="310" customWidth="1"/>
    <col min="3597" max="3840" width="9" style="310"/>
    <col min="3841" max="3841" width="87.375" style="310" customWidth="1"/>
    <col min="3842" max="3843" width="6.75" style="310" customWidth="1"/>
    <col min="3844" max="3845" width="6" style="310" customWidth="1"/>
    <col min="3846" max="3846" width="6.75" style="310" customWidth="1"/>
    <col min="3847" max="3850" width="6" style="310" customWidth="1"/>
    <col min="3851" max="3852" width="9.875" style="310" customWidth="1"/>
    <col min="3853" max="4096" width="9" style="310"/>
    <col min="4097" max="4097" width="87.375" style="310" customWidth="1"/>
    <col min="4098" max="4099" width="6.75" style="310" customWidth="1"/>
    <col min="4100" max="4101" width="6" style="310" customWidth="1"/>
    <col min="4102" max="4102" width="6.75" style="310" customWidth="1"/>
    <col min="4103" max="4106" width="6" style="310" customWidth="1"/>
    <col min="4107" max="4108" width="9.875" style="310" customWidth="1"/>
    <col min="4109" max="4352" width="9" style="310"/>
    <col min="4353" max="4353" width="87.375" style="310" customWidth="1"/>
    <col min="4354" max="4355" width="6.75" style="310" customWidth="1"/>
    <col min="4356" max="4357" width="6" style="310" customWidth="1"/>
    <col min="4358" max="4358" width="6.75" style="310" customWidth="1"/>
    <col min="4359" max="4362" width="6" style="310" customWidth="1"/>
    <col min="4363" max="4364" width="9.875" style="310" customWidth="1"/>
    <col min="4365" max="4608" width="9" style="310"/>
    <col min="4609" max="4609" width="87.375" style="310" customWidth="1"/>
    <col min="4610" max="4611" width="6.75" style="310" customWidth="1"/>
    <col min="4612" max="4613" width="6" style="310" customWidth="1"/>
    <col min="4614" max="4614" width="6.75" style="310" customWidth="1"/>
    <col min="4615" max="4618" width="6" style="310" customWidth="1"/>
    <col min="4619" max="4620" width="9.875" style="310" customWidth="1"/>
    <col min="4621" max="4864" width="9" style="310"/>
    <col min="4865" max="4865" width="87.375" style="310" customWidth="1"/>
    <col min="4866" max="4867" width="6.75" style="310" customWidth="1"/>
    <col min="4868" max="4869" width="6" style="310" customWidth="1"/>
    <col min="4870" max="4870" width="6.75" style="310" customWidth="1"/>
    <col min="4871" max="4874" width="6" style="310" customWidth="1"/>
    <col min="4875" max="4876" width="9.875" style="310" customWidth="1"/>
    <col min="4877" max="5120" width="9" style="310"/>
    <col min="5121" max="5121" width="87.375" style="310" customWidth="1"/>
    <col min="5122" max="5123" width="6.75" style="310" customWidth="1"/>
    <col min="5124" max="5125" width="6" style="310" customWidth="1"/>
    <col min="5126" max="5126" width="6.75" style="310" customWidth="1"/>
    <col min="5127" max="5130" width="6" style="310" customWidth="1"/>
    <col min="5131" max="5132" width="9.875" style="310" customWidth="1"/>
    <col min="5133" max="5376" width="9" style="310"/>
    <col min="5377" max="5377" width="87.375" style="310" customWidth="1"/>
    <col min="5378" max="5379" width="6.75" style="310" customWidth="1"/>
    <col min="5380" max="5381" width="6" style="310" customWidth="1"/>
    <col min="5382" max="5382" width="6.75" style="310" customWidth="1"/>
    <col min="5383" max="5386" width="6" style="310" customWidth="1"/>
    <col min="5387" max="5388" width="9.875" style="310" customWidth="1"/>
    <col min="5389" max="5632" width="9" style="310"/>
    <col min="5633" max="5633" width="87.375" style="310" customWidth="1"/>
    <col min="5634" max="5635" width="6.75" style="310" customWidth="1"/>
    <col min="5636" max="5637" width="6" style="310" customWidth="1"/>
    <col min="5638" max="5638" width="6.75" style="310" customWidth="1"/>
    <col min="5639" max="5642" width="6" style="310" customWidth="1"/>
    <col min="5643" max="5644" width="9.875" style="310" customWidth="1"/>
    <col min="5645" max="5888" width="9" style="310"/>
    <col min="5889" max="5889" width="87.375" style="310" customWidth="1"/>
    <col min="5890" max="5891" width="6.75" style="310" customWidth="1"/>
    <col min="5892" max="5893" width="6" style="310" customWidth="1"/>
    <col min="5894" max="5894" width="6.75" style="310" customWidth="1"/>
    <col min="5895" max="5898" width="6" style="310" customWidth="1"/>
    <col min="5899" max="5900" width="9.875" style="310" customWidth="1"/>
    <col min="5901" max="6144" width="9" style="310"/>
    <col min="6145" max="6145" width="87.375" style="310" customWidth="1"/>
    <col min="6146" max="6147" width="6.75" style="310" customWidth="1"/>
    <col min="6148" max="6149" width="6" style="310" customWidth="1"/>
    <col min="6150" max="6150" width="6.75" style="310" customWidth="1"/>
    <col min="6151" max="6154" width="6" style="310" customWidth="1"/>
    <col min="6155" max="6156" width="9.875" style="310" customWidth="1"/>
    <col min="6157" max="6400" width="9" style="310"/>
    <col min="6401" max="6401" width="87.375" style="310" customWidth="1"/>
    <col min="6402" max="6403" width="6.75" style="310" customWidth="1"/>
    <col min="6404" max="6405" width="6" style="310" customWidth="1"/>
    <col min="6406" max="6406" width="6.75" style="310" customWidth="1"/>
    <col min="6407" max="6410" width="6" style="310" customWidth="1"/>
    <col min="6411" max="6412" width="9.875" style="310" customWidth="1"/>
    <col min="6413" max="6656" width="9" style="310"/>
    <col min="6657" max="6657" width="87.375" style="310" customWidth="1"/>
    <col min="6658" max="6659" width="6.75" style="310" customWidth="1"/>
    <col min="6660" max="6661" width="6" style="310" customWidth="1"/>
    <col min="6662" max="6662" width="6.75" style="310" customWidth="1"/>
    <col min="6663" max="6666" width="6" style="310" customWidth="1"/>
    <col min="6667" max="6668" width="9.875" style="310" customWidth="1"/>
    <col min="6669" max="6912" width="9" style="310"/>
    <col min="6913" max="6913" width="87.375" style="310" customWidth="1"/>
    <col min="6914" max="6915" width="6.75" style="310" customWidth="1"/>
    <col min="6916" max="6917" width="6" style="310" customWidth="1"/>
    <col min="6918" max="6918" width="6.75" style="310" customWidth="1"/>
    <col min="6919" max="6922" width="6" style="310" customWidth="1"/>
    <col min="6923" max="6924" width="9.875" style="310" customWidth="1"/>
    <col min="6925" max="7168" width="9" style="310"/>
    <col min="7169" max="7169" width="87.375" style="310" customWidth="1"/>
    <col min="7170" max="7171" width="6.75" style="310" customWidth="1"/>
    <col min="7172" max="7173" width="6" style="310" customWidth="1"/>
    <col min="7174" max="7174" width="6.75" style="310" customWidth="1"/>
    <col min="7175" max="7178" width="6" style="310" customWidth="1"/>
    <col min="7179" max="7180" width="9.875" style="310" customWidth="1"/>
    <col min="7181" max="7424" width="9" style="310"/>
    <col min="7425" max="7425" width="87.375" style="310" customWidth="1"/>
    <col min="7426" max="7427" width="6.75" style="310" customWidth="1"/>
    <col min="7428" max="7429" width="6" style="310" customWidth="1"/>
    <col min="7430" max="7430" width="6.75" style="310" customWidth="1"/>
    <col min="7431" max="7434" width="6" style="310" customWidth="1"/>
    <col min="7435" max="7436" width="9.875" style="310" customWidth="1"/>
    <col min="7437" max="7680" width="9" style="310"/>
    <col min="7681" max="7681" width="87.375" style="310" customWidth="1"/>
    <col min="7682" max="7683" width="6.75" style="310" customWidth="1"/>
    <col min="7684" max="7685" width="6" style="310" customWidth="1"/>
    <col min="7686" max="7686" width="6.75" style="310" customWidth="1"/>
    <col min="7687" max="7690" width="6" style="310" customWidth="1"/>
    <col min="7691" max="7692" width="9.875" style="310" customWidth="1"/>
    <col min="7693" max="7936" width="9" style="310"/>
    <col min="7937" max="7937" width="87.375" style="310" customWidth="1"/>
    <col min="7938" max="7939" width="6.75" style="310" customWidth="1"/>
    <col min="7940" max="7941" width="6" style="310" customWidth="1"/>
    <col min="7942" max="7942" width="6.75" style="310" customWidth="1"/>
    <col min="7943" max="7946" width="6" style="310" customWidth="1"/>
    <col min="7947" max="7948" width="9.875" style="310" customWidth="1"/>
    <col min="7949" max="8192" width="9" style="310"/>
    <col min="8193" max="8193" width="87.375" style="310" customWidth="1"/>
    <col min="8194" max="8195" width="6.75" style="310" customWidth="1"/>
    <col min="8196" max="8197" width="6" style="310" customWidth="1"/>
    <col min="8198" max="8198" width="6.75" style="310" customWidth="1"/>
    <col min="8199" max="8202" width="6" style="310" customWidth="1"/>
    <col min="8203" max="8204" width="9.875" style="310" customWidth="1"/>
    <col min="8205" max="8448" width="9" style="310"/>
    <col min="8449" max="8449" width="87.375" style="310" customWidth="1"/>
    <col min="8450" max="8451" width="6.75" style="310" customWidth="1"/>
    <col min="8452" max="8453" width="6" style="310" customWidth="1"/>
    <col min="8454" max="8454" width="6.75" style="310" customWidth="1"/>
    <col min="8455" max="8458" width="6" style="310" customWidth="1"/>
    <col min="8459" max="8460" width="9.875" style="310" customWidth="1"/>
    <col min="8461" max="8704" width="9" style="310"/>
    <col min="8705" max="8705" width="87.375" style="310" customWidth="1"/>
    <col min="8706" max="8707" width="6.75" style="310" customWidth="1"/>
    <col min="8708" max="8709" width="6" style="310" customWidth="1"/>
    <col min="8710" max="8710" width="6.75" style="310" customWidth="1"/>
    <col min="8711" max="8714" width="6" style="310" customWidth="1"/>
    <col min="8715" max="8716" width="9.875" style="310" customWidth="1"/>
    <col min="8717" max="8960" width="9" style="310"/>
    <col min="8961" max="8961" width="87.375" style="310" customWidth="1"/>
    <col min="8962" max="8963" width="6.75" style="310" customWidth="1"/>
    <col min="8964" max="8965" width="6" style="310" customWidth="1"/>
    <col min="8966" max="8966" width="6.75" style="310" customWidth="1"/>
    <col min="8967" max="8970" width="6" style="310" customWidth="1"/>
    <col min="8971" max="8972" width="9.875" style="310" customWidth="1"/>
    <col min="8973" max="9216" width="9" style="310"/>
    <col min="9217" max="9217" width="87.375" style="310" customWidth="1"/>
    <col min="9218" max="9219" width="6.75" style="310" customWidth="1"/>
    <col min="9220" max="9221" width="6" style="310" customWidth="1"/>
    <col min="9222" max="9222" width="6.75" style="310" customWidth="1"/>
    <col min="9223" max="9226" width="6" style="310" customWidth="1"/>
    <col min="9227" max="9228" width="9.875" style="310" customWidth="1"/>
    <col min="9229" max="9472" width="9" style="310"/>
    <col min="9473" max="9473" width="87.375" style="310" customWidth="1"/>
    <col min="9474" max="9475" width="6.75" style="310" customWidth="1"/>
    <col min="9476" max="9477" width="6" style="310" customWidth="1"/>
    <col min="9478" max="9478" width="6.75" style="310" customWidth="1"/>
    <col min="9479" max="9482" width="6" style="310" customWidth="1"/>
    <col min="9483" max="9484" width="9.875" style="310" customWidth="1"/>
    <col min="9485" max="9728" width="9" style="310"/>
    <col min="9729" max="9729" width="87.375" style="310" customWidth="1"/>
    <col min="9730" max="9731" width="6.75" style="310" customWidth="1"/>
    <col min="9732" max="9733" width="6" style="310" customWidth="1"/>
    <col min="9734" max="9734" width="6.75" style="310" customWidth="1"/>
    <col min="9735" max="9738" width="6" style="310" customWidth="1"/>
    <col min="9739" max="9740" width="9.875" style="310" customWidth="1"/>
    <col min="9741" max="9984" width="9" style="310"/>
    <col min="9985" max="9985" width="87.375" style="310" customWidth="1"/>
    <col min="9986" max="9987" width="6.75" style="310" customWidth="1"/>
    <col min="9988" max="9989" width="6" style="310" customWidth="1"/>
    <col min="9990" max="9990" width="6.75" style="310" customWidth="1"/>
    <col min="9991" max="9994" width="6" style="310" customWidth="1"/>
    <col min="9995" max="9996" width="9.875" style="310" customWidth="1"/>
    <col min="9997" max="10240" width="9" style="310"/>
    <col min="10241" max="10241" width="87.375" style="310" customWidth="1"/>
    <col min="10242" max="10243" width="6.75" style="310" customWidth="1"/>
    <col min="10244" max="10245" width="6" style="310" customWidth="1"/>
    <col min="10246" max="10246" width="6.75" style="310" customWidth="1"/>
    <col min="10247" max="10250" width="6" style="310" customWidth="1"/>
    <col min="10251" max="10252" width="9.875" style="310" customWidth="1"/>
    <col min="10253" max="10496" width="9" style="310"/>
    <col min="10497" max="10497" width="87.375" style="310" customWidth="1"/>
    <col min="10498" max="10499" width="6.75" style="310" customWidth="1"/>
    <col min="10500" max="10501" width="6" style="310" customWidth="1"/>
    <col min="10502" max="10502" width="6.75" style="310" customWidth="1"/>
    <col min="10503" max="10506" width="6" style="310" customWidth="1"/>
    <col min="10507" max="10508" width="9.875" style="310" customWidth="1"/>
    <col min="10509" max="10752" width="9" style="310"/>
    <col min="10753" max="10753" width="87.375" style="310" customWidth="1"/>
    <col min="10754" max="10755" width="6.75" style="310" customWidth="1"/>
    <col min="10756" max="10757" width="6" style="310" customWidth="1"/>
    <col min="10758" max="10758" width="6.75" style="310" customWidth="1"/>
    <col min="10759" max="10762" width="6" style="310" customWidth="1"/>
    <col min="10763" max="10764" width="9.875" style="310" customWidth="1"/>
    <col min="10765" max="11008" width="9" style="310"/>
    <col min="11009" max="11009" width="87.375" style="310" customWidth="1"/>
    <col min="11010" max="11011" width="6.75" style="310" customWidth="1"/>
    <col min="11012" max="11013" width="6" style="310" customWidth="1"/>
    <col min="11014" max="11014" width="6.75" style="310" customWidth="1"/>
    <col min="11015" max="11018" width="6" style="310" customWidth="1"/>
    <col min="11019" max="11020" width="9.875" style="310" customWidth="1"/>
    <col min="11021" max="11264" width="9" style="310"/>
    <col min="11265" max="11265" width="87.375" style="310" customWidth="1"/>
    <col min="11266" max="11267" width="6.75" style="310" customWidth="1"/>
    <col min="11268" max="11269" width="6" style="310" customWidth="1"/>
    <col min="11270" max="11270" width="6.75" style="310" customWidth="1"/>
    <col min="11271" max="11274" width="6" style="310" customWidth="1"/>
    <col min="11275" max="11276" width="9.875" style="310" customWidth="1"/>
    <col min="11277" max="11520" width="9" style="310"/>
    <col min="11521" max="11521" width="87.375" style="310" customWidth="1"/>
    <col min="11522" max="11523" width="6.75" style="310" customWidth="1"/>
    <col min="11524" max="11525" width="6" style="310" customWidth="1"/>
    <col min="11526" max="11526" width="6.75" style="310" customWidth="1"/>
    <col min="11527" max="11530" width="6" style="310" customWidth="1"/>
    <col min="11531" max="11532" width="9.875" style="310" customWidth="1"/>
    <col min="11533" max="11776" width="9" style="310"/>
    <col min="11777" max="11777" width="87.375" style="310" customWidth="1"/>
    <col min="11778" max="11779" width="6.75" style="310" customWidth="1"/>
    <col min="11780" max="11781" width="6" style="310" customWidth="1"/>
    <col min="11782" max="11782" width="6.75" style="310" customWidth="1"/>
    <col min="11783" max="11786" width="6" style="310" customWidth="1"/>
    <col min="11787" max="11788" width="9.875" style="310" customWidth="1"/>
    <col min="11789" max="12032" width="9" style="310"/>
    <col min="12033" max="12033" width="87.375" style="310" customWidth="1"/>
    <col min="12034" max="12035" width="6.75" style="310" customWidth="1"/>
    <col min="12036" max="12037" width="6" style="310" customWidth="1"/>
    <col min="12038" max="12038" width="6.75" style="310" customWidth="1"/>
    <col min="12039" max="12042" width="6" style="310" customWidth="1"/>
    <col min="12043" max="12044" width="9.875" style="310" customWidth="1"/>
    <col min="12045" max="12288" width="9" style="310"/>
    <col min="12289" max="12289" width="87.375" style="310" customWidth="1"/>
    <col min="12290" max="12291" width="6.75" style="310" customWidth="1"/>
    <col min="12292" max="12293" width="6" style="310" customWidth="1"/>
    <col min="12294" max="12294" width="6.75" style="310" customWidth="1"/>
    <col min="12295" max="12298" width="6" style="310" customWidth="1"/>
    <col min="12299" max="12300" width="9.875" style="310" customWidth="1"/>
    <col min="12301" max="12544" width="9" style="310"/>
    <col min="12545" max="12545" width="87.375" style="310" customWidth="1"/>
    <col min="12546" max="12547" width="6.75" style="310" customWidth="1"/>
    <col min="12548" max="12549" width="6" style="310" customWidth="1"/>
    <col min="12550" max="12550" width="6.75" style="310" customWidth="1"/>
    <col min="12551" max="12554" width="6" style="310" customWidth="1"/>
    <col min="12555" max="12556" width="9.875" style="310" customWidth="1"/>
    <col min="12557" max="12800" width="9" style="310"/>
    <col min="12801" max="12801" width="87.375" style="310" customWidth="1"/>
    <col min="12802" max="12803" width="6.75" style="310" customWidth="1"/>
    <col min="12804" max="12805" width="6" style="310" customWidth="1"/>
    <col min="12806" max="12806" width="6.75" style="310" customWidth="1"/>
    <col min="12807" max="12810" width="6" style="310" customWidth="1"/>
    <col min="12811" max="12812" width="9.875" style="310" customWidth="1"/>
    <col min="12813" max="13056" width="9" style="310"/>
    <col min="13057" max="13057" width="87.375" style="310" customWidth="1"/>
    <col min="13058" max="13059" width="6.75" style="310" customWidth="1"/>
    <col min="13060" max="13061" width="6" style="310" customWidth="1"/>
    <col min="13062" max="13062" width="6.75" style="310" customWidth="1"/>
    <col min="13063" max="13066" width="6" style="310" customWidth="1"/>
    <col min="13067" max="13068" width="9.875" style="310" customWidth="1"/>
    <col min="13069" max="13312" width="9" style="310"/>
    <col min="13313" max="13313" width="87.375" style="310" customWidth="1"/>
    <col min="13314" max="13315" width="6.75" style="310" customWidth="1"/>
    <col min="13316" max="13317" width="6" style="310" customWidth="1"/>
    <col min="13318" max="13318" width="6.75" style="310" customWidth="1"/>
    <col min="13319" max="13322" width="6" style="310" customWidth="1"/>
    <col min="13323" max="13324" width="9.875" style="310" customWidth="1"/>
    <col min="13325" max="13568" width="9" style="310"/>
    <col min="13569" max="13569" width="87.375" style="310" customWidth="1"/>
    <col min="13570" max="13571" width="6.75" style="310" customWidth="1"/>
    <col min="13572" max="13573" width="6" style="310" customWidth="1"/>
    <col min="13574" max="13574" width="6.75" style="310" customWidth="1"/>
    <col min="13575" max="13578" width="6" style="310" customWidth="1"/>
    <col min="13579" max="13580" width="9.875" style="310" customWidth="1"/>
    <col min="13581" max="13824" width="9" style="310"/>
    <col min="13825" max="13825" width="87.375" style="310" customWidth="1"/>
    <col min="13826" max="13827" width="6.75" style="310" customWidth="1"/>
    <col min="13828" max="13829" width="6" style="310" customWidth="1"/>
    <col min="13830" max="13830" width="6.75" style="310" customWidth="1"/>
    <col min="13831" max="13834" width="6" style="310" customWidth="1"/>
    <col min="13835" max="13836" width="9.875" style="310" customWidth="1"/>
    <col min="13837" max="14080" width="9" style="310"/>
    <col min="14081" max="14081" width="87.375" style="310" customWidth="1"/>
    <col min="14082" max="14083" width="6.75" style="310" customWidth="1"/>
    <col min="14084" max="14085" width="6" style="310" customWidth="1"/>
    <col min="14086" max="14086" width="6.75" style="310" customWidth="1"/>
    <col min="14087" max="14090" width="6" style="310" customWidth="1"/>
    <col min="14091" max="14092" width="9.875" style="310" customWidth="1"/>
    <col min="14093" max="14336" width="9" style="310"/>
    <col min="14337" max="14337" width="87.375" style="310" customWidth="1"/>
    <col min="14338" max="14339" width="6.75" style="310" customWidth="1"/>
    <col min="14340" max="14341" width="6" style="310" customWidth="1"/>
    <col min="14342" max="14342" width="6.75" style="310" customWidth="1"/>
    <col min="14343" max="14346" width="6" style="310" customWidth="1"/>
    <col min="14347" max="14348" width="9.875" style="310" customWidth="1"/>
    <col min="14349" max="14592" width="9" style="310"/>
    <col min="14593" max="14593" width="87.375" style="310" customWidth="1"/>
    <col min="14594" max="14595" width="6.75" style="310" customWidth="1"/>
    <col min="14596" max="14597" width="6" style="310" customWidth="1"/>
    <col min="14598" max="14598" width="6.75" style="310" customWidth="1"/>
    <col min="14599" max="14602" width="6" style="310" customWidth="1"/>
    <col min="14603" max="14604" width="9.875" style="310" customWidth="1"/>
    <col min="14605" max="14848" width="9" style="310"/>
    <col min="14849" max="14849" width="87.375" style="310" customWidth="1"/>
    <col min="14850" max="14851" width="6.75" style="310" customWidth="1"/>
    <col min="14852" max="14853" width="6" style="310" customWidth="1"/>
    <col min="14854" max="14854" width="6.75" style="310" customWidth="1"/>
    <col min="14855" max="14858" width="6" style="310" customWidth="1"/>
    <col min="14859" max="14860" width="9.875" style="310" customWidth="1"/>
    <col min="14861" max="15104" width="9" style="310"/>
    <col min="15105" max="15105" width="87.375" style="310" customWidth="1"/>
    <col min="15106" max="15107" width="6.75" style="310" customWidth="1"/>
    <col min="15108" max="15109" width="6" style="310" customWidth="1"/>
    <col min="15110" max="15110" width="6.75" style="310" customWidth="1"/>
    <col min="15111" max="15114" width="6" style="310" customWidth="1"/>
    <col min="15115" max="15116" width="9.875" style="310" customWidth="1"/>
    <col min="15117" max="15360" width="9" style="310"/>
    <col min="15361" max="15361" width="87.375" style="310" customWidth="1"/>
    <col min="15362" max="15363" width="6.75" style="310" customWidth="1"/>
    <col min="15364" max="15365" width="6" style="310" customWidth="1"/>
    <col min="15366" max="15366" width="6.75" style="310" customWidth="1"/>
    <col min="15367" max="15370" width="6" style="310" customWidth="1"/>
    <col min="15371" max="15372" width="9.875" style="310" customWidth="1"/>
    <col min="15373" max="15616" width="9" style="310"/>
    <col min="15617" max="15617" width="87.375" style="310" customWidth="1"/>
    <col min="15618" max="15619" width="6.75" style="310" customWidth="1"/>
    <col min="15620" max="15621" width="6" style="310" customWidth="1"/>
    <col min="15622" max="15622" width="6.75" style="310" customWidth="1"/>
    <col min="15623" max="15626" width="6" style="310" customWidth="1"/>
    <col min="15627" max="15628" width="9.875" style="310" customWidth="1"/>
    <col min="15629" max="15872" width="9" style="310"/>
    <col min="15873" max="15873" width="87.375" style="310" customWidth="1"/>
    <col min="15874" max="15875" width="6.75" style="310" customWidth="1"/>
    <col min="15876" max="15877" width="6" style="310" customWidth="1"/>
    <col min="15878" max="15878" width="6.75" style="310" customWidth="1"/>
    <col min="15879" max="15882" width="6" style="310" customWidth="1"/>
    <col min="15883" max="15884" width="9.875" style="310" customWidth="1"/>
    <col min="15885" max="16128" width="9" style="310"/>
    <col min="16129" max="16129" width="87.375" style="310" customWidth="1"/>
    <col min="16130" max="16131" width="6.75" style="310" customWidth="1"/>
    <col min="16132" max="16133" width="6" style="310" customWidth="1"/>
    <col min="16134" max="16134" width="6.75" style="310" customWidth="1"/>
    <col min="16135" max="16138" width="6" style="310" customWidth="1"/>
    <col min="16139" max="16140" width="9.875" style="310" customWidth="1"/>
    <col min="16141" max="16384" width="9" style="310"/>
  </cols>
  <sheetData>
    <row r="1" spans="1:12" s="493" customFormat="1">
      <c r="A1" s="484" t="s">
        <v>235</v>
      </c>
    </row>
    <row r="2" spans="1:12" s="493" customFormat="1">
      <c r="A2" s="493" t="s">
        <v>236</v>
      </c>
      <c r="B2" s="493" t="s">
        <v>237</v>
      </c>
    </row>
    <row r="3" spans="1:12" s="493" customFormat="1">
      <c r="A3" s="493" t="s">
        <v>238</v>
      </c>
    </row>
    <row r="4" spans="1:12" s="493" customFormat="1">
      <c r="A4" s="484" t="s">
        <v>239</v>
      </c>
    </row>
    <row r="5" spans="1:12" s="493" customFormat="1"/>
    <row r="6" spans="1:12" ht="12.75" customHeight="1">
      <c r="A6" s="357" t="s">
        <v>135</v>
      </c>
      <c r="B6" s="357"/>
      <c r="C6" s="357"/>
      <c r="D6" s="357"/>
      <c r="E6" s="357"/>
      <c r="F6" s="357"/>
      <c r="G6" s="357"/>
      <c r="H6" s="357"/>
      <c r="I6" s="357"/>
      <c r="J6" s="358"/>
      <c r="K6" s="359"/>
      <c r="L6" s="359"/>
    </row>
    <row r="7" spans="1:12" ht="12.75" customHeight="1">
      <c r="A7" s="357" t="s">
        <v>173</v>
      </c>
      <c r="B7" s="357"/>
      <c r="C7" s="357"/>
      <c r="D7" s="357"/>
      <c r="E7" s="357"/>
      <c r="F7" s="357"/>
      <c r="G7" s="357"/>
      <c r="H7" s="357"/>
      <c r="I7" s="357"/>
      <c r="J7" s="358"/>
      <c r="K7" s="359"/>
      <c r="L7" s="359"/>
    </row>
    <row r="8" spans="1:12" ht="12.75" customHeight="1">
      <c r="A8" s="360" t="s">
        <v>225</v>
      </c>
      <c r="B8" s="361"/>
      <c r="C8" s="362"/>
      <c r="D8" s="358"/>
      <c r="E8" s="362"/>
      <c r="F8" s="362"/>
      <c r="G8" s="362"/>
      <c r="H8" s="358"/>
      <c r="I8" s="362"/>
      <c r="J8" s="358"/>
      <c r="K8" s="361"/>
      <c r="L8" s="361"/>
    </row>
    <row r="9" spans="1:12" ht="13.5" customHeight="1">
      <c r="A9" s="361"/>
      <c r="B9" s="361"/>
      <c r="C9" s="362"/>
      <c r="D9" s="358"/>
      <c r="E9" s="362"/>
      <c r="F9" s="362"/>
      <c r="G9" s="362"/>
      <c r="H9" s="358"/>
      <c r="I9" s="362"/>
      <c r="J9" s="358"/>
      <c r="K9" s="361"/>
      <c r="L9" s="361"/>
    </row>
    <row r="10" spans="1:12" ht="13.5" customHeight="1">
      <c r="A10" s="361"/>
      <c r="B10" s="361"/>
      <c r="C10" s="362"/>
      <c r="D10" s="358"/>
      <c r="E10" s="362"/>
      <c r="F10" s="362"/>
      <c r="G10" s="362"/>
      <c r="H10" s="358"/>
      <c r="I10" s="362"/>
      <c r="J10" s="358"/>
      <c r="K10" s="361"/>
      <c r="L10" s="361"/>
    </row>
    <row r="11" spans="1:12" ht="13.5" customHeight="1">
      <c r="A11" s="361"/>
      <c r="B11" s="361"/>
      <c r="C11" s="362"/>
      <c r="D11" s="358"/>
      <c r="E11" s="362"/>
      <c r="F11" s="362"/>
      <c r="G11" s="362"/>
      <c r="H11" s="358"/>
      <c r="I11" s="362"/>
      <c r="J11" s="358"/>
      <c r="K11" s="361"/>
      <c r="L11" s="361"/>
    </row>
    <row r="12" spans="1:12" ht="13.5" customHeight="1">
      <c r="A12" s="361"/>
      <c r="B12" s="361"/>
      <c r="C12" s="362"/>
      <c r="D12" s="358"/>
      <c r="E12" s="362"/>
      <c r="F12" s="362"/>
      <c r="G12" s="362"/>
      <c r="H12" s="358"/>
      <c r="I12" s="362"/>
      <c r="J12" s="358"/>
      <c r="K12" s="361"/>
      <c r="L12" s="361"/>
    </row>
    <row r="13" spans="1:12" ht="13.5" customHeight="1">
      <c r="A13" s="361"/>
      <c r="B13" s="361"/>
      <c r="C13" s="362"/>
      <c r="D13" s="358"/>
      <c r="E13" s="362"/>
      <c r="F13" s="362"/>
      <c r="G13" s="362"/>
      <c r="H13" s="358"/>
      <c r="I13" s="362"/>
      <c r="J13" s="358"/>
      <c r="K13" s="361"/>
      <c r="L13" s="361"/>
    </row>
    <row r="14" spans="1:12" ht="13.5" customHeight="1">
      <c r="A14" s="361"/>
      <c r="B14" s="361"/>
      <c r="C14" s="362"/>
      <c r="D14" s="358"/>
      <c r="E14" s="362"/>
      <c r="F14" s="362"/>
      <c r="G14" s="362"/>
      <c r="H14" s="358"/>
      <c r="I14" s="362"/>
      <c r="J14" s="358"/>
      <c r="K14" s="361"/>
      <c r="L14" s="361"/>
    </row>
    <row r="15" spans="1:12" ht="13.5" customHeight="1">
      <c r="A15" s="361"/>
      <c r="B15" s="361"/>
      <c r="C15" s="362"/>
      <c r="D15" s="358"/>
      <c r="E15" s="362"/>
      <c r="F15" s="362"/>
      <c r="G15" s="362"/>
      <c r="H15" s="358"/>
      <c r="I15" s="362"/>
      <c r="J15" s="358"/>
      <c r="K15" s="361"/>
      <c r="L15" s="361"/>
    </row>
    <row r="16" spans="1:12" ht="13.5" customHeight="1">
      <c r="A16" s="361"/>
      <c r="B16" s="361"/>
      <c r="C16" s="362"/>
      <c r="D16" s="358"/>
      <c r="E16" s="362"/>
      <c r="F16" s="362"/>
      <c r="G16" s="362"/>
      <c r="H16" s="358"/>
      <c r="I16" s="362"/>
      <c r="J16" s="358"/>
      <c r="K16" s="361"/>
      <c r="L16" s="361"/>
    </row>
    <row r="17" spans="1:12" ht="13.5" customHeight="1">
      <c r="A17" s="361"/>
      <c r="B17" s="361"/>
      <c r="C17" s="362"/>
      <c r="D17" s="358"/>
      <c r="E17" s="362"/>
      <c r="F17" s="362"/>
      <c r="G17" s="362"/>
      <c r="H17" s="358"/>
      <c r="I17" s="362"/>
      <c r="J17" s="358"/>
      <c r="K17" s="361"/>
      <c r="L17" s="361"/>
    </row>
    <row r="18" spans="1:12" ht="13.5" customHeight="1">
      <c r="A18" s="361"/>
      <c r="B18" s="361"/>
      <c r="C18" s="362"/>
      <c r="D18" s="358"/>
      <c r="E18" s="362"/>
      <c r="F18" s="362"/>
      <c r="G18" s="362"/>
      <c r="H18" s="358"/>
      <c r="I18" s="362"/>
      <c r="J18" s="358"/>
      <c r="K18" s="361"/>
      <c r="L18" s="361"/>
    </row>
    <row r="19" spans="1:12" ht="13.5" customHeight="1">
      <c r="A19" s="361"/>
      <c r="B19" s="361"/>
      <c r="C19" s="362"/>
      <c r="D19" s="358"/>
      <c r="E19" s="362"/>
      <c r="F19" s="362"/>
      <c r="G19" s="362"/>
      <c r="H19" s="358"/>
      <c r="I19" s="362"/>
      <c r="J19" s="358"/>
      <c r="K19" s="361"/>
      <c r="L19" s="361"/>
    </row>
    <row r="20" spans="1:12" ht="13.5" customHeight="1">
      <c r="A20" s="361"/>
      <c r="B20" s="361"/>
      <c r="C20" s="362"/>
      <c r="D20" s="358"/>
      <c r="E20" s="362"/>
      <c r="F20" s="362"/>
      <c r="G20" s="362"/>
      <c r="H20" s="358"/>
      <c r="I20" s="362"/>
      <c r="J20" s="358"/>
      <c r="K20" s="361"/>
      <c r="L20" s="361"/>
    </row>
    <row r="21" spans="1:12" ht="13.5" customHeight="1">
      <c r="A21" s="361"/>
      <c r="B21" s="361"/>
      <c r="C21" s="362"/>
      <c r="D21" s="358"/>
      <c r="E21" s="362"/>
      <c r="F21" s="362"/>
      <c r="G21" s="362"/>
      <c r="H21" s="358"/>
      <c r="I21" s="362"/>
      <c r="J21" s="358"/>
      <c r="K21" s="361"/>
      <c r="L21" s="361"/>
    </row>
    <row r="22" spans="1:12" ht="13.5" customHeight="1">
      <c r="A22" s="361"/>
      <c r="B22" s="361"/>
      <c r="C22" s="362"/>
      <c r="D22" s="358"/>
      <c r="E22" s="362"/>
      <c r="F22" s="362"/>
      <c r="G22" s="362"/>
      <c r="H22" s="358"/>
      <c r="I22" s="362"/>
      <c r="J22" s="358"/>
      <c r="K22" s="361"/>
      <c r="L22" s="361"/>
    </row>
    <row r="23" spans="1:12" ht="13.5" customHeight="1">
      <c r="A23" s="361"/>
      <c r="B23" s="361"/>
      <c r="C23" s="362"/>
      <c r="D23" s="358"/>
      <c r="E23" s="362"/>
      <c r="F23" s="362"/>
      <c r="G23" s="362"/>
      <c r="H23" s="358"/>
      <c r="I23" s="362"/>
      <c r="J23" s="358"/>
      <c r="K23" s="361"/>
      <c r="L23" s="361"/>
    </row>
    <row r="24" spans="1:12" ht="13.5" customHeight="1">
      <c r="A24" s="361"/>
      <c r="B24" s="361"/>
      <c r="C24" s="362"/>
      <c r="D24" s="358"/>
      <c r="E24" s="362"/>
      <c r="F24" s="362"/>
      <c r="G24" s="362"/>
      <c r="H24" s="358"/>
      <c r="I24" s="362"/>
      <c r="J24" s="358"/>
      <c r="K24" s="361"/>
      <c r="L24" s="361"/>
    </row>
    <row r="25" spans="1:12" ht="13.5" customHeight="1">
      <c r="A25" s="361"/>
      <c r="B25" s="361"/>
      <c r="C25" s="362"/>
      <c r="D25" s="358"/>
      <c r="E25" s="362"/>
      <c r="F25" s="362"/>
      <c r="G25" s="362"/>
      <c r="H25" s="358"/>
      <c r="I25" s="362"/>
      <c r="J25" s="358"/>
      <c r="K25" s="361"/>
      <c r="L25" s="361"/>
    </row>
    <row r="26" spans="1:12" ht="13.5" customHeight="1">
      <c r="A26" s="361"/>
      <c r="B26" s="361"/>
      <c r="C26" s="362"/>
      <c r="D26" s="358"/>
      <c r="E26" s="362"/>
      <c r="F26" s="362"/>
      <c r="G26" s="362"/>
      <c r="H26" s="358"/>
      <c r="I26" s="362"/>
      <c r="J26" s="358"/>
      <c r="K26" s="361"/>
      <c r="L26" s="361"/>
    </row>
    <row r="27" spans="1:12" ht="13.5" customHeight="1">
      <c r="A27" s="361"/>
      <c r="B27" s="361"/>
      <c r="C27" s="362"/>
      <c r="D27" s="358"/>
      <c r="E27" s="362"/>
      <c r="F27" s="362"/>
      <c r="G27" s="362"/>
      <c r="H27" s="358"/>
      <c r="I27" s="362"/>
      <c r="J27" s="358"/>
      <c r="K27" s="361"/>
      <c r="L27" s="361"/>
    </row>
    <row r="28" spans="1:12" ht="13.5" customHeight="1">
      <c r="A28" s="361"/>
      <c r="B28" s="361"/>
      <c r="C28" s="362"/>
      <c r="D28" s="358"/>
      <c r="E28" s="362"/>
      <c r="F28" s="362"/>
      <c r="G28" s="362"/>
      <c r="H28" s="358"/>
      <c r="I28" s="362"/>
      <c r="J28" s="358"/>
      <c r="K28" s="361"/>
      <c r="L28" s="361"/>
    </row>
    <row r="29" spans="1:12" ht="13.5" customHeight="1">
      <c r="A29" s="363"/>
      <c r="B29" s="364"/>
      <c r="C29" s="364"/>
      <c r="D29" s="364"/>
      <c r="E29" s="364"/>
      <c r="F29" s="364"/>
      <c r="G29" s="364"/>
      <c r="H29" s="364"/>
      <c r="I29" s="364"/>
      <c r="J29" s="364"/>
      <c r="K29" s="364"/>
      <c r="L29" s="364"/>
    </row>
    <row r="30" spans="1:12" ht="13.5" customHeight="1">
      <c r="A30" s="365"/>
      <c r="B30" s="366"/>
      <c r="C30" s="366"/>
      <c r="D30" s="358"/>
      <c r="E30" s="366"/>
      <c r="F30" s="366"/>
      <c r="G30" s="366"/>
      <c r="H30" s="358"/>
      <c r="I30" s="366"/>
      <c r="J30" s="358"/>
      <c r="K30" s="366"/>
      <c r="L30" s="366"/>
    </row>
    <row r="31" spans="1:12" ht="13.5" customHeight="1">
      <c r="A31" s="365"/>
      <c r="B31" s="366"/>
      <c r="C31" s="366"/>
      <c r="D31" s="358"/>
      <c r="E31" s="366"/>
      <c r="F31" s="366"/>
      <c r="G31" s="366"/>
      <c r="H31" s="358"/>
      <c r="I31" s="366"/>
      <c r="J31" s="358"/>
      <c r="K31" s="366"/>
      <c r="L31" s="366"/>
    </row>
    <row r="32" spans="1:12" ht="13.5" customHeight="1">
      <c r="A32" s="365"/>
      <c r="B32" s="366"/>
      <c r="C32" s="366"/>
      <c r="D32" s="358"/>
      <c r="E32" s="366"/>
      <c r="F32" s="366"/>
      <c r="G32" s="366"/>
      <c r="H32" s="358"/>
      <c r="I32" s="366"/>
      <c r="J32" s="358"/>
      <c r="K32" s="366"/>
      <c r="L32" s="366"/>
    </row>
    <row r="33" spans="1:12" ht="13.5" customHeight="1">
      <c r="A33" s="367"/>
      <c r="B33" s="358"/>
      <c r="C33" s="358"/>
      <c r="D33" s="358"/>
      <c r="E33" s="358"/>
      <c r="F33" s="358"/>
      <c r="G33" s="358"/>
      <c r="H33" s="358"/>
      <c r="I33" s="358"/>
      <c r="J33" s="358"/>
      <c r="K33" s="358"/>
      <c r="L33" s="358"/>
    </row>
    <row r="34" spans="1:12" ht="13.5" customHeight="1">
      <c r="A34" s="368"/>
      <c r="B34" s="358"/>
      <c r="C34" s="358"/>
      <c r="D34" s="358"/>
      <c r="E34" s="358"/>
      <c r="F34" s="358"/>
      <c r="G34" s="358"/>
      <c r="H34" s="358"/>
      <c r="I34" s="358"/>
      <c r="J34" s="358"/>
      <c r="K34" s="358"/>
      <c r="L34" s="358"/>
    </row>
    <row r="35" spans="1:12" ht="12" customHeight="1">
      <c r="A35" s="480" t="s">
        <v>221</v>
      </c>
      <c r="B35" s="481"/>
      <c r="C35" s="481"/>
      <c r="D35" s="481"/>
      <c r="E35" s="481"/>
      <c r="F35" s="481"/>
      <c r="G35" s="481"/>
      <c r="H35" s="482"/>
      <c r="I35" s="358"/>
      <c r="J35" s="358"/>
      <c r="K35" s="358"/>
      <c r="L35" s="358"/>
    </row>
    <row r="36" spans="1:12" ht="12.75" customHeight="1">
      <c r="A36" s="369" t="s">
        <v>231</v>
      </c>
      <c r="B36" s="358"/>
      <c r="C36" s="358"/>
      <c r="D36" s="358"/>
      <c r="E36" s="358"/>
      <c r="F36" s="358"/>
      <c r="G36" s="358"/>
      <c r="H36" s="358"/>
      <c r="I36" s="358"/>
      <c r="J36" s="358"/>
      <c r="K36" s="358"/>
      <c r="L36" s="358"/>
    </row>
    <row r="40" spans="1:12">
      <c r="A40" s="311"/>
      <c r="B40" s="311"/>
      <c r="C40" s="311"/>
      <c r="D40" s="311"/>
      <c r="E40" s="311"/>
      <c r="F40" s="311"/>
      <c r="G40" s="311"/>
      <c r="H40" s="311"/>
      <c r="I40" s="311"/>
      <c r="J40" s="311"/>
    </row>
    <row r="41" spans="1:12" ht="173.4">
      <c r="A41" s="312"/>
      <c r="B41" s="313" t="s">
        <v>114</v>
      </c>
      <c r="C41" s="313" t="s">
        <v>144</v>
      </c>
      <c r="D41" s="313" t="s">
        <v>146</v>
      </c>
      <c r="E41" s="313" t="s">
        <v>145</v>
      </c>
      <c r="F41" s="313" t="s">
        <v>111</v>
      </c>
      <c r="G41" s="313" t="s">
        <v>125</v>
      </c>
      <c r="H41" s="313" t="s">
        <v>110</v>
      </c>
      <c r="I41" s="313" t="s">
        <v>109</v>
      </c>
      <c r="J41" s="314" t="s">
        <v>174</v>
      </c>
    </row>
    <row r="42" spans="1:12" ht="11.25" customHeight="1">
      <c r="A42" s="327" t="s">
        <v>88</v>
      </c>
      <c r="B42" s="316">
        <v>4</v>
      </c>
      <c r="C42" s="328">
        <v>14</v>
      </c>
      <c r="D42" s="328">
        <v>0</v>
      </c>
      <c r="E42" s="328">
        <v>0</v>
      </c>
      <c r="F42" s="328">
        <v>18</v>
      </c>
      <c r="G42" s="328">
        <v>1</v>
      </c>
      <c r="H42" s="328">
        <v>1</v>
      </c>
      <c r="I42" s="328">
        <v>0</v>
      </c>
      <c r="J42" s="329">
        <v>0</v>
      </c>
    </row>
    <row r="43" spans="1:12" ht="11.25" customHeight="1">
      <c r="A43" s="330" t="s">
        <v>123</v>
      </c>
      <c r="B43" s="331">
        <v>2</v>
      </c>
      <c r="C43" s="331">
        <v>14</v>
      </c>
      <c r="D43" s="331">
        <v>0</v>
      </c>
      <c r="E43" s="331">
        <v>0</v>
      </c>
      <c r="F43" s="331">
        <v>20</v>
      </c>
      <c r="G43" s="331">
        <v>2</v>
      </c>
      <c r="H43" s="331">
        <v>0</v>
      </c>
      <c r="I43" s="331">
        <v>0</v>
      </c>
      <c r="J43" s="332">
        <v>0</v>
      </c>
    </row>
    <row r="44" spans="1:12" ht="11.25" customHeight="1">
      <c r="A44" s="333" t="s">
        <v>122</v>
      </c>
      <c r="B44" s="334">
        <v>3</v>
      </c>
      <c r="C44" s="334">
        <v>7</v>
      </c>
      <c r="D44" s="334">
        <v>1</v>
      </c>
      <c r="E44" s="334">
        <v>0</v>
      </c>
      <c r="F44" s="334">
        <v>22</v>
      </c>
      <c r="G44" s="334">
        <v>5</v>
      </c>
      <c r="H44" s="334">
        <v>0</v>
      </c>
      <c r="I44" s="334">
        <v>0</v>
      </c>
      <c r="J44" s="335">
        <v>0</v>
      </c>
    </row>
    <row r="45" spans="1:12" ht="11.25" customHeight="1">
      <c r="A45" s="330" t="s">
        <v>121</v>
      </c>
      <c r="B45" s="331">
        <v>5</v>
      </c>
      <c r="C45" s="331">
        <v>17</v>
      </c>
      <c r="D45" s="331">
        <v>1</v>
      </c>
      <c r="E45" s="331">
        <v>0</v>
      </c>
      <c r="F45" s="331">
        <v>13</v>
      </c>
      <c r="G45" s="331">
        <v>1</v>
      </c>
      <c r="H45" s="331">
        <v>1</v>
      </c>
      <c r="I45" s="331">
        <v>0</v>
      </c>
      <c r="J45" s="332">
        <v>0</v>
      </c>
    </row>
    <row r="46" spans="1:12" ht="11.25" customHeight="1">
      <c r="A46" s="333" t="s">
        <v>120</v>
      </c>
      <c r="B46" s="334">
        <v>3</v>
      </c>
      <c r="C46" s="334">
        <v>11</v>
      </c>
      <c r="D46" s="334">
        <v>1</v>
      </c>
      <c r="E46" s="334">
        <v>0</v>
      </c>
      <c r="F46" s="334">
        <v>16</v>
      </c>
      <c r="G46" s="334">
        <v>6</v>
      </c>
      <c r="H46" s="334">
        <v>0</v>
      </c>
      <c r="I46" s="334">
        <v>0</v>
      </c>
      <c r="J46" s="335">
        <v>1</v>
      </c>
    </row>
    <row r="47" spans="1:12" ht="11.25" customHeight="1">
      <c r="A47" s="330" t="s">
        <v>89</v>
      </c>
      <c r="B47" s="331">
        <v>4</v>
      </c>
      <c r="C47" s="331">
        <v>21</v>
      </c>
      <c r="D47" s="331">
        <v>1</v>
      </c>
      <c r="E47" s="331">
        <v>0</v>
      </c>
      <c r="F47" s="331">
        <v>6</v>
      </c>
      <c r="G47" s="331">
        <v>5</v>
      </c>
      <c r="H47" s="331">
        <v>1</v>
      </c>
      <c r="I47" s="331">
        <v>0</v>
      </c>
      <c r="J47" s="332">
        <v>0</v>
      </c>
    </row>
    <row r="48" spans="1:12" ht="11.25" customHeight="1">
      <c r="A48" s="333" t="s">
        <v>119</v>
      </c>
      <c r="B48" s="334">
        <v>15</v>
      </c>
      <c r="C48" s="334">
        <v>10</v>
      </c>
      <c r="D48" s="334">
        <v>1</v>
      </c>
      <c r="E48" s="334">
        <v>0</v>
      </c>
      <c r="F48" s="334">
        <v>7</v>
      </c>
      <c r="G48" s="334">
        <v>5</v>
      </c>
      <c r="H48" s="334">
        <v>0</v>
      </c>
      <c r="I48" s="334">
        <v>0</v>
      </c>
      <c r="J48" s="335">
        <v>0</v>
      </c>
    </row>
    <row r="49" spans="1:10" ht="11.25" customHeight="1">
      <c r="A49" s="330"/>
      <c r="B49" s="331"/>
      <c r="C49" s="331"/>
      <c r="D49" s="331"/>
      <c r="E49" s="331"/>
      <c r="F49" s="331"/>
      <c r="G49" s="331"/>
      <c r="H49" s="331"/>
      <c r="I49" s="331"/>
      <c r="J49" s="332"/>
    </row>
    <row r="50" spans="1:10" ht="11.25" customHeight="1">
      <c r="A50" s="333" t="s">
        <v>96</v>
      </c>
      <c r="B50" s="334">
        <v>15</v>
      </c>
      <c r="C50" s="334">
        <v>14</v>
      </c>
      <c r="D50" s="334">
        <v>1</v>
      </c>
      <c r="E50" s="334">
        <v>0</v>
      </c>
      <c r="F50" s="334">
        <v>6</v>
      </c>
      <c r="G50" s="334">
        <v>2</v>
      </c>
      <c r="H50" s="334">
        <v>0</v>
      </c>
      <c r="I50" s="334">
        <v>0</v>
      </c>
      <c r="J50" s="335">
        <v>0</v>
      </c>
    </row>
    <row r="51" spans="1:10" ht="11.25" customHeight="1">
      <c r="A51" s="330" t="s">
        <v>118</v>
      </c>
      <c r="B51" s="331">
        <v>25</v>
      </c>
      <c r="C51" s="331">
        <v>7</v>
      </c>
      <c r="D51" s="331">
        <v>1</v>
      </c>
      <c r="E51" s="331">
        <v>0</v>
      </c>
      <c r="F51" s="331">
        <v>5</v>
      </c>
      <c r="G51" s="331">
        <v>0</v>
      </c>
      <c r="H51" s="331">
        <v>0</v>
      </c>
      <c r="I51" s="331">
        <v>0</v>
      </c>
      <c r="J51" s="332">
        <v>0</v>
      </c>
    </row>
    <row r="52" spans="1:10" ht="11.25" customHeight="1">
      <c r="A52" s="333" t="s">
        <v>108</v>
      </c>
      <c r="B52" s="334">
        <v>26</v>
      </c>
      <c r="C52" s="334">
        <v>8</v>
      </c>
      <c r="D52" s="334">
        <v>0</v>
      </c>
      <c r="E52" s="334">
        <v>0</v>
      </c>
      <c r="F52" s="334">
        <v>3</v>
      </c>
      <c r="G52" s="334">
        <v>1</v>
      </c>
      <c r="H52" s="334">
        <v>0</v>
      </c>
      <c r="I52" s="334">
        <v>0</v>
      </c>
      <c r="J52" s="335">
        <v>0</v>
      </c>
    </row>
    <row r="53" spans="1:10" ht="11.25" customHeight="1">
      <c r="A53" s="330" t="s">
        <v>117</v>
      </c>
      <c r="B53" s="331">
        <v>31</v>
      </c>
      <c r="C53" s="331">
        <v>6</v>
      </c>
      <c r="D53" s="331">
        <v>0</v>
      </c>
      <c r="E53" s="331">
        <v>0</v>
      </c>
      <c r="F53" s="331">
        <v>1</v>
      </c>
      <c r="G53" s="331">
        <v>0</v>
      </c>
      <c r="H53" s="331">
        <v>0</v>
      </c>
      <c r="I53" s="331">
        <v>0</v>
      </c>
      <c r="J53" s="332">
        <v>0</v>
      </c>
    </row>
    <row r="54" spans="1:10" ht="11.25" customHeight="1">
      <c r="A54" s="333" t="s">
        <v>99</v>
      </c>
      <c r="B54" s="334">
        <v>34</v>
      </c>
      <c r="C54" s="334">
        <v>3</v>
      </c>
      <c r="D54" s="334">
        <v>0</v>
      </c>
      <c r="E54" s="334">
        <v>0</v>
      </c>
      <c r="F54" s="334">
        <v>1</v>
      </c>
      <c r="G54" s="334">
        <v>0</v>
      </c>
      <c r="H54" s="334">
        <v>0</v>
      </c>
      <c r="I54" s="334">
        <v>0</v>
      </c>
      <c r="J54" s="335">
        <v>0</v>
      </c>
    </row>
    <row r="55" spans="1:10" ht="11.25" customHeight="1">
      <c r="A55" s="330" t="s">
        <v>116</v>
      </c>
      <c r="B55" s="331">
        <v>35</v>
      </c>
      <c r="C55" s="331">
        <v>2</v>
      </c>
      <c r="D55" s="331">
        <v>0</v>
      </c>
      <c r="E55" s="331">
        <v>0</v>
      </c>
      <c r="F55" s="331">
        <v>1</v>
      </c>
      <c r="G55" s="331">
        <v>0</v>
      </c>
      <c r="H55" s="331">
        <v>0</v>
      </c>
      <c r="I55" s="331">
        <v>0</v>
      </c>
      <c r="J55" s="332">
        <v>0</v>
      </c>
    </row>
    <row r="56" spans="1:10" ht="11.25" customHeight="1">
      <c r="A56" s="336" t="s">
        <v>101</v>
      </c>
      <c r="B56" s="337">
        <v>37</v>
      </c>
      <c r="C56" s="337">
        <v>1</v>
      </c>
      <c r="D56" s="337">
        <v>0</v>
      </c>
      <c r="E56" s="337">
        <v>0</v>
      </c>
      <c r="F56" s="337">
        <v>0</v>
      </c>
      <c r="G56" s="337">
        <v>0</v>
      </c>
      <c r="H56" s="337">
        <v>0</v>
      </c>
      <c r="I56" s="337">
        <v>0</v>
      </c>
      <c r="J56" s="338">
        <v>0</v>
      </c>
    </row>
  </sheetData>
  <mergeCells count="1">
    <mergeCell ref="A35:H35"/>
  </mergeCells>
  <hyperlinks>
    <hyperlink ref="A1" r:id="rId1" display="https://doi.org/10.1787/eag-2018-en"/>
    <hyperlink ref="A4" r:id="rId2"/>
  </hyperlinks>
  <pageMargins left="0.7" right="0.7" top="0.75" bottom="0.75" header="0.3" footer="0.3"/>
  <pageSetup paperSize="9" scale="65" orientation="portrait" r:id="rId3"/>
  <customProperties>
    <customPr name="CycleColor" r:id="rId4"/>
    <customPr name="DashStyle" r:id="rId5"/>
    <customPr name="GraphSizeIndex" r:id="rId6"/>
    <customPr name="GraphSizeName" r:id="rId7"/>
    <customPr name="PageSizeIndex" r:id="rId8"/>
    <customPr name="PageSizeName" r:id="rId9"/>
    <customPr name="PaletteIndex" r:id="rId10"/>
    <customPr name="PaletteName" r:id="rId11"/>
    <customPr name="SinglePanel" r:id="rId12"/>
    <customPr name="StartColorIndex" r:id="rId13"/>
    <customPr name="StartColorName" r:id="rId14"/>
    <customPr name="StyleTemplateIndex" r:id="rId15"/>
    <customPr name="StyleTemplateName" r:id="rId16"/>
  </customProperties>
  <drawing r:id="rId1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item1.xml><?xml version="1.0" encoding="utf-8"?>
<?mso-contentType ?>
<spe:Receivers xmlns:spe="http://schemas.microsoft.com/sharepoint/events"/>
</file>

<file path=customXml/item2.xml><?xml version="1.0" encoding="utf-8"?>
<LongProperties xmlns="http://schemas.microsoft.com/office/2006/metadata/longProperties"/>
</file>

<file path=customXml/item3.xml><?xml version="1.0" encoding="utf-8"?>
<ct:contentTypeSchema xmlns:ct="http://schemas.microsoft.com/office/2006/metadata/contentType" xmlns:ma="http://schemas.microsoft.com/office/2006/metadata/properties/metaAttributes" ct:_="" ma:_="" ma:contentTypeName="Working Document" ma:contentTypeID="0x0101008B4DD370EC31429186F3AD49F0D3098F00D44DBCB9EB4F45278CB5C9765BE5299500A4858B360C6A491AA753F8BCA47AA9100014A2018E1BB9544A8FBAB2EE07D37855" ma:contentTypeVersion="130" ma:contentTypeDescription="" ma:contentTypeScope="" ma:versionID="e402b873dc90a413fce2533b7678c26d">
  <xsd:schema xmlns:xsd="http://www.w3.org/2001/XMLSchema" xmlns:xs="http://www.w3.org/2001/XMLSchema" xmlns:p="http://schemas.microsoft.com/office/2006/metadata/properties" xmlns:ns2="54c4cd27-f286-408f-9ce0-33c1e0f3ab39" xmlns:ns3="1684bd79-52b6-45ad-8153-7a6215e64acc" xmlns:ns4="ca82dde9-3436-4d3d-bddd-d31447390034" xmlns:ns5="e17e282e-9611-44ec-9739-20d5a34fe778" xmlns:ns6="c9f238dd-bb73-4aef-a7a5-d644ad823e52" xmlns:ns7="http://schemas.microsoft.com/sharepoint/v4" targetNamespace="http://schemas.microsoft.com/office/2006/metadata/properties" ma:root="true" ma:fieldsID="acf09deadb6f5fa63e6ece83e4fcfac4" ns2:_="" ns3:_="" ns4:_="" ns5:_="" ns6:_="" ns7:_="">
    <xsd:import namespace="54c4cd27-f286-408f-9ce0-33c1e0f3ab39"/>
    <xsd:import namespace="1684bd79-52b6-45ad-8153-7a6215e64acc"/>
    <xsd:import namespace="ca82dde9-3436-4d3d-bddd-d31447390034"/>
    <xsd:import namespace="e17e282e-9611-44ec-9739-20d5a34fe778"/>
    <xsd:import namespace="c9f238dd-bb73-4aef-a7a5-d644ad823e52"/>
    <xsd:import namespace="http://schemas.microsoft.com/sharepoint/v4"/>
    <xsd:element name="properties">
      <xsd:complexType>
        <xsd:sequence>
          <xsd:element name="documentManagement">
            <xsd:complexType>
              <xsd:all>
                <xsd:element ref="ns2:OECDMeetingDate" minOccurs="0"/>
                <xsd:element ref="ns4:OECDlanguage" minOccurs="0"/>
                <xsd:element ref="ns3:OECDExpirationDate" minOccurs="0"/>
                <xsd:element ref="ns5:OECDProjectLookup" minOccurs="0"/>
                <xsd:element ref="ns5:OECDProjectManager" minOccurs="0"/>
                <xsd:element ref="ns5:OECDProjectMembers" minOccurs="0"/>
                <xsd:element ref="ns5:OECDMainProject" minOccurs="0"/>
                <xsd:element ref="ns5:OECDPinnedBy" minOccurs="0"/>
                <xsd:element ref="ns2:OECDKimStatus" minOccurs="0"/>
                <xsd:element ref="ns5:OECDTagsCache" minOccurs="0"/>
                <xsd:element ref="ns3:_dlc_DocIdUrl" minOccurs="0"/>
                <xsd:element ref="ns6:eShareCountryTaxHTField0" minOccurs="0"/>
                <xsd:element ref="ns6:eShareTopicTaxHTField0" minOccurs="0"/>
                <xsd:element ref="ns6:eShareKeywordsTaxHTField0" minOccurs="0"/>
                <xsd:element ref="ns6:eShareCommitteeTaxHTField0" minOccurs="0"/>
                <xsd:element ref="ns6:eSharePWBTaxHTField0" minOccurs="0"/>
                <xsd:element ref="ns5:f94ef5d5be104a9b994d4c7c4f3d268a" minOccurs="0"/>
                <xsd:element ref="ns4:TaxCatchAll" minOccurs="0"/>
                <xsd:element ref="ns3:_dlc_DocIdPersistId" minOccurs="0"/>
                <xsd:element ref="ns4:TaxCatchAllLabel" minOccurs="0"/>
                <xsd:element ref="ns2:OECDKimProvenance" minOccurs="0"/>
                <xsd:element ref="ns3:_dlc_DocId" minOccurs="0"/>
                <xsd:element ref="ns5:fa9e4784786d4da6a600e050e04c81aa" minOccurs="0"/>
                <xsd:element ref="ns2:OECDKimBussinessContext" minOccurs="0"/>
                <xsd:element ref="ns5:Project_x003a_Project_x0020_status" minOccurs="0"/>
                <xsd:element ref="ns3:m49dce442af64f59b762f831aa8de435" minOccurs="0"/>
                <xsd:element ref="ns5:kd75f6e4f01741a8b1cee43ec2c0a7ac" minOccurs="0"/>
                <xsd:element ref="ns5:OECDSharingStatus" minOccurs="0"/>
                <xsd:element ref="ns5:OECDCommunityDocumentURL" minOccurs="0"/>
                <xsd:element ref="ns5:OECDCommunityDocumentID" minOccurs="0"/>
                <xsd:element ref="ns3:eShareHorizProjTaxHTField0" minOccurs="0"/>
                <xsd:element ref="ns3:OECDAllRelatedUsers" minOccurs="0"/>
                <xsd:element ref="ns5:SharedWithUsers" minOccurs="0"/>
                <xsd:element ref="ns7:IconOverla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c4cd27-f286-408f-9ce0-33c1e0f3ab39" elementFormDefault="qualified">
    <xsd:import namespace="http://schemas.microsoft.com/office/2006/documentManagement/types"/>
    <xsd:import namespace="http://schemas.microsoft.com/office/infopath/2007/PartnerControls"/>
    <xsd:element name="OECDMeetingDate" ma:index="4" nillable="true" ma:displayName="Meeting Date" ma:default="" ma:format="DateOnly" ma:hidden="true" ma:internalName="OECDMeetingDate" ma:readOnly="false">
      <xsd:simpleType>
        <xsd:restriction base="dms:DateTime"/>
      </xsd:simpleType>
    </xsd:element>
    <xsd:element name="OECDKimStatus" ma:index="16" nillable="true" ma:displayName="Kim status" ma:default="Draft" ma:description="" ma:format="Dropdown" ma:hidden="true" ma:internalName="OECDKimStatus">
      <xsd:simpleType>
        <xsd:restriction base="dms:Choice">
          <xsd:enumeration value="Draft"/>
          <xsd:enumeration value="Final"/>
        </xsd:restriction>
      </xsd:simpleType>
    </xsd:element>
    <xsd:element name="OECDKimProvenance" ma:index="29" nillable="true" ma:displayName="Kim provenance" ma:description="" ma:hidden="true" ma:internalName="OECDKimProvenance" ma:readOnly="false">
      <xsd:simpleType>
        <xsd:restriction base="dms:Text">
          <xsd:maxLength value="255"/>
        </xsd:restriction>
      </xsd:simpleType>
    </xsd:element>
    <xsd:element name="OECDKimBussinessContext" ma:index="36" nillable="true" ma:displayName="Kim business context" ma:description="" ma:hidden="true" ma:internalName="OECDKimBussinessContext"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684bd79-52b6-45ad-8153-7a6215e64acc" elementFormDefault="qualified">
    <xsd:import namespace="http://schemas.microsoft.com/office/2006/documentManagement/types"/>
    <xsd:import namespace="http://schemas.microsoft.com/office/infopath/2007/PartnerControls"/>
    <xsd:element name="OECDExpirationDate" ma:index="8" nillable="true" ma:displayName="Highlights" ma:default="" ma:description="" ma:format="DateOnly" ma:hidden="true" ma:indexed="true" ma:internalName="OECDExpirationDate">
      <xsd:simpleType>
        <xsd:restriction base="dms:DateTime"/>
      </xsd:simpleType>
    </xsd:element>
    <xsd:element name="_dlc_DocIdUrl" ma:index="18" nillable="true" ma:displayName="Document ID" ma:description=""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7" nillable="true" ma:displayName="Persist ID" ma:description="Keep ID on add." ma:hidden="true" ma:internalName="_dlc_DocIdPersistId" ma:readOnly="true">
      <xsd:simpleType>
        <xsd:restriction base="dms:Boolean"/>
      </xsd:simpleType>
    </xsd:element>
    <xsd:element name="_dlc_DocId" ma:index="30" nillable="true" ma:displayName="Document ID" ma:description="" ma:hidden="true" ma:internalName="_dlc_DocId" ma:readOnly="true">
      <xsd:simpleType>
        <xsd:restriction base="dms:Text"/>
      </xsd:simpleType>
    </xsd:element>
    <xsd:element name="m49dce442af64f59b762f831aa8de435" ma:index="38" nillable="true" ma:taxonomy="true" ma:internalName="m49dce442af64f59b762f831aa8de435" ma:taxonomyFieldName="OECDHorizontalProjects" ma:displayName="Horizontal project" ma:readOnly="false" ma:default="" ma:fieldId="649dce44-2af6-4f59-b762-f831aa8de435" ma:taxonomyMulti="true" ma:sspId="27ec883c-a62c-444f-a935-fcddb579e39d" ma:termSetId="d3ca0e0e-65f9-44bf-9d98-5271504f6d61" ma:anchorId="00000000-0000-0000-0000-000000000000" ma:open="false" ma:isKeyword="false">
      <xsd:complexType>
        <xsd:sequence>
          <xsd:element ref="pc:Terms" minOccurs="0" maxOccurs="1"/>
        </xsd:sequence>
      </xsd:complexType>
    </xsd:element>
    <xsd:element name="eShareHorizProjTaxHTField0" ma:index="44" nillable="true" ma:displayName="OECDHorizontalProjects_0" ma:description="" ma:hidden="true" ma:internalName="eShareHorizProjTaxHTField0">
      <xsd:simpleType>
        <xsd:restriction base="dms:Note"/>
      </xsd:simpleType>
    </xsd:element>
    <xsd:element name="OECDAllRelatedUsers" ma:index="47" nillable="true" ma:displayName="All related users" ma:description="" ma:hidden="true" ma:internalName="OECDAllRelatedUs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a82dde9-3436-4d3d-bddd-d31447390034" elementFormDefault="qualified">
    <xsd:import namespace="http://schemas.microsoft.com/office/2006/documentManagement/types"/>
    <xsd:import namespace="http://schemas.microsoft.com/office/infopath/2007/PartnerControls"/>
    <xsd:element name="OECDlanguage" ma:index="5" nillable="true" ma:displayName="Document language" ma:default="English" ma:description="" ma:format="Dropdown" ma:hidden="true" ma:internalName="OECDlanguage" ma:readOnly="false">
      <xsd:simpleType>
        <xsd:restriction base="dms:Choice">
          <xsd:enumeration value="English"/>
          <xsd:enumeration value="French"/>
        </xsd:restriction>
      </xsd:simpleType>
    </xsd:element>
    <xsd:element name="TaxCatchAll" ma:index="26" nillable="true" ma:displayName="Taxonomy Catch All Column" ma:hidden="true" ma:list="{510acfa0-d58a-46a0-af1e-eb8c813eb6b2}" ma:internalName="TaxCatchAll" ma:showField="CatchAllData" ma:web="1684bd79-52b6-45ad-8153-7a6215e64acc">
      <xsd:complexType>
        <xsd:complexContent>
          <xsd:extension base="dms:MultiChoiceLookup">
            <xsd:sequence>
              <xsd:element name="Value" type="dms:Lookup" maxOccurs="unbounded" minOccurs="0" nillable="true"/>
            </xsd:sequence>
          </xsd:extension>
        </xsd:complexContent>
      </xsd:complexType>
    </xsd:element>
    <xsd:element name="TaxCatchAllLabel" ma:index="28" nillable="true" ma:displayName="Taxonomy Catch All Column1" ma:hidden="true" ma:list="{510acfa0-d58a-46a0-af1e-eb8c813eb6b2}" ma:internalName="TaxCatchAllLabel" ma:readOnly="true" ma:showField="CatchAllDataLabel" ma:web="1684bd79-52b6-45ad-8153-7a6215e64ac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e17e282e-9611-44ec-9739-20d5a34fe778" elementFormDefault="qualified">
    <xsd:import namespace="http://schemas.microsoft.com/office/2006/documentManagement/types"/>
    <xsd:import namespace="http://schemas.microsoft.com/office/infopath/2007/PartnerControls"/>
    <xsd:element name="OECDProjectLookup" ma:index="9" nillable="true" ma:displayName="Project" ma:description="" ma:hidden="true" ma:indexed="true" ma:list="e121798c-086c-442d-894f-40b8a8686382" ma:internalName="OECDProjectLookup" ma:readOnly="false" ma:showField="OECDShortProjectName" ma:web="e17e282e-9611-44ec-9739-20d5a34fe778">
      <xsd:simpleType>
        <xsd:restriction base="dms:Lookup"/>
      </xsd:simpleType>
    </xsd:element>
    <xsd:element name="OECDProjectManager" ma:index="10" nillable="true" ma:displayName="Project manager" ma:description="" ma:hidden="true" ma:indexed="true" ma:internalName="OECDProjectManager" ma:readOnly="fals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ProjectMembers" ma:index="11" nillable="true" ma:displayName="Project members" ma:description="" ma:hidden="true" ma:internalName="OECDProjectMembers" ma:readOnly="fals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MainProject" ma:index="14" nillable="true" ma:displayName="Main project" ma:description="" ma:hidden="true" ma:indexed="true" ma:list="e121798c-086c-442d-894f-40b8a8686382" ma:internalName="OECDMainProject" ma:readOnly="false" ma:showField="OECDShortProjectName">
      <xsd:simpleType>
        <xsd:restriction base="dms:Lookup"/>
      </xsd:simpleType>
    </xsd:element>
    <xsd:element name="OECDPinnedBy" ma:index="15" nillable="true" ma:displayName="Pinned by" ma:description="" ma:hidden="true" ma:internalName="OECDPinn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TagsCache" ma:index="17" nillable="true" ma:displayName="Tags cache" ma:description="" ma:hidden="true" ma:internalName="OECDTagsCache">
      <xsd:simpleType>
        <xsd:restriction base="dms:Note"/>
      </xsd:simpleType>
    </xsd:element>
    <xsd:element name="f94ef5d5be104a9b994d4c7c4f3d268a" ma:index="25" nillable="true" ma:displayName="Deliverable partners_0" ma:hidden="true" ma:internalName="f94ef5d5be104a9b994d4c7c4f3d268a">
      <xsd:simpleType>
        <xsd:restriction base="dms:Note"/>
      </xsd:simpleType>
    </xsd:element>
    <xsd:element name="fa9e4784786d4da6a600e050e04c81aa" ma:index="32" nillable="true" ma:displayName="Deliverable owner_0" ma:hidden="true" ma:internalName="fa9e4784786d4da6a600e050e04c81aa">
      <xsd:simpleType>
        <xsd:restriction base="dms:Note"/>
      </xsd:simpleType>
    </xsd:element>
    <xsd:element name="Project_x003a_Project_x0020_status" ma:index="37" nillable="true" ma:displayName="Project:Project status" ma:hidden="true" ma:list="e121798c-086c-442d-894f-40b8a8686382" ma:internalName="Project_x003A_Project_x0020_status" ma:readOnly="true" ma:showField="OECDProjectStatus" ma:web="e17e282e-9611-44ec-9739-20d5a34fe778">
      <xsd:simpleType>
        <xsd:restriction base="dms:Lookup"/>
      </xsd:simpleType>
    </xsd:element>
    <xsd:element name="kd75f6e4f01741a8b1cee43ec2c0a7ac" ma:index="39" nillable="true" ma:taxonomy="true" ma:internalName="kd75f6e4f01741a8b1cee43ec2c0a7ac" ma:taxonomyFieldName="OECDProjectOwnerStructure" ma:displayName="Project owner" ma:readOnly="false" ma:default="" ma:fieldId="4d75f6e4-f017-41a8-b1ce-e43ec2c0a7ac" ma:taxonomyMulti="true" ma:sspId="27ec883c-a62c-444f-a935-fcddb579e39d" ma:termSetId="aeec4dcb-19ee-4bc0-941f-681845b568c9" ma:anchorId="00000000-0000-0000-0000-000000000000" ma:open="false" ma:isKeyword="false">
      <xsd:complexType>
        <xsd:sequence>
          <xsd:element ref="pc:Terms" minOccurs="0" maxOccurs="1"/>
        </xsd:sequence>
      </xsd:complexType>
    </xsd:element>
    <xsd:element name="OECDSharingStatus" ma:index="41" nillable="true" ma:displayName="O.N.E Document Sharing Status" ma:description="" ma:hidden="true" ma:internalName="OECDSharingStatus">
      <xsd:simpleType>
        <xsd:restriction base="dms:Text"/>
      </xsd:simpleType>
    </xsd:element>
    <xsd:element name="OECDCommunityDocumentURL" ma:index="42" nillable="true" ma:displayName="O.N.E Community Document URL" ma:description="" ma:hidden="true" ma:internalName="OECDCommunityDocumentURL">
      <xsd:simpleType>
        <xsd:restriction base="dms:Text"/>
      </xsd:simpleType>
    </xsd:element>
    <xsd:element name="OECDCommunityDocumentID" ma:index="43" nillable="true" ma:displayName="O.N.E Community Document ID" ma:decimals="0" ma:description="" ma:hidden="true" ma:internalName="OECDCommunityDocumentID">
      <xsd:simpleType>
        <xsd:restriction base="dms:Number"/>
      </xsd:simpleType>
    </xsd:element>
    <xsd:element name="SharedWithUsers" ma:index="4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9f238dd-bb73-4aef-a7a5-d644ad823e52" elementFormDefault="qualified">
    <xsd:import namespace="http://schemas.microsoft.com/office/2006/documentManagement/types"/>
    <xsd:import namespace="http://schemas.microsoft.com/office/infopath/2007/PartnerControls"/>
    <xsd:element name="eShareCountryTaxHTField0" ma:index="20" nillable="true" ma:taxonomy="true" ma:internalName="eShareCountryTaxHTField0" ma:taxonomyFieldName="OECDCountry" ma:displayName="Country" ma:readOnly="false" ma:default="" ma:fieldId="{aa366335-bba6-4f71-86c6-f91b1ae503c2}" ma:taxonomyMulti="true" ma:sspId="27ec883c-a62c-444f-a935-fcddb579e39d" ma:termSetId="e1026e78-e24d-4b33-a8f4-6ff75b8e5ad2" ma:anchorId="00000000-0000-0000-0000-000000000000" ma:open="false" ma:isKeyword="false">
      <xsd:complexType>
        <xsd:sequence>
          <xsd:element ref="pc:Terms" minOccurs="0" maxOccurs="1"/>
        </xsd:sequence>
      </xsd:complexType>
    </xsd:element>
    <xsd:element name="eShareTopicTaxHTField0" ma:index="21" nillable="true" ma:taxonomy="true" ma:internalName="eShareTopicTaxHTField0" ma:taxonomyFieldName="OECDTopic" ma:displayName="Topic" ma:readOnly="false" ma:default="" ma:fieldId="{9b5335f8-765c-484a-86dd-d10580650a95}" ma:taxonomyMulti="true" ma:sspId="27ec883c-a62c-444f-a935-fcddb579e39d" ma:termSetId="d0043ed9-7fdc-4b21-8641-a864cc50d2b2" ma:anchorId="00000000-0000-0000-0000-000000000000" ma:open="false" ma:isKeyword="false">
      <xsd:complexType>
        <xsd:sequence>
          <xsd:element ref="pc:Terms" minOccurs="0" maxOccurs="1"/>
        </xsd:sequence>
      </xsd:complexType>
    </xsd:element>
    <xsd:element name="eShareKeywordsTaxHTField0" ma:index="22" nillable="true" ma:taxonomy="true" ma:internalName="eShareKeywordsTaxHTField0" ma:taxonomyFieldName="OECDKeywords" ma:displayName="Keywords" ma:default="" ma:fieldId="{8a7c3663-990d-467c-b1b8-bb4b775674ad}" ma:taxonomyMulti="true" ma:sspId="27ec883c-a62c-444f-a935-fcddb579e39d" ma:termSetId="f51791ee-8e04-4654-a875-fc747102cd45" ma:anchorId="00000000-0000-0000-0000-000000000000" ma:open="true" ma:isKeyword="false">
      <xsd:complexType>
        <xsd:sequence>
          <xsd:element ref="pc:Terms" minOccurs="0" maxOccurs="1"/>
        </xsd:sequence>
      </xsd:complexType>
    </xsd:element>
    <xsd:element name="eShareCommitteeTaxHTField0" ma:index="23" nillable="true" ma:taxonomy="true" ma:internalName="eShareCommitteeTaxHTField0" ma:taxonomyFieldName="OECDCommittee" ma:displayName="Committee" ma:readOnly="false" ma:fieldId="{29494d90-e667-47b5-adc1-d09dfb5832ab}" ma:sspId="27ec883c-a62c-444f-a935-fcddb579e39d" ma:termSetId="87919aae-be42-4481-84cf-2389a5c84ac4" ma:anchorId="00000000-0000-0000-0000-000000000000" ma:open="false" ma:isKeyword="false">
      <xsd:complexType>
        <xsd:sequence>
          <xsd:element ref="pc:Terms" minOccurs="0" maxOccurs="1"/>
        </xsd:sequence>
      </xsd:complexType>
    </xsd:element>
    <xsd:element name="eSharePWBTaxHTField0" ma:index="24" nillable="true" ma:taxonomy="true" ma:internalName="eSharePWBTaxHTField0" ma:taxonomyFieldName="OECDPWB" ma:displayName="PWB" ma:readOnly="false" ma:fieldId="{fe327ce1-b783-48aa-9b0b-52ad26d1c9f6}" ma:taxonomyMulti="true" ma:sspId="27ec883c-a62c-444f-a935-fcddb579e39d" ma:termSetId="7bc7477d-4ef0-4820-a158-bb7b3cda138d"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4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31" ma:displayName="Content Type"/>
        <xsd:element ref="dc:title" minOccurs="0" maxOccurs="1" ma:index="0"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CtFieldPriority xmlns="http://www.oecd.org/eshare/projectsentre/CtFieldPriority/" xmlns:i="http://www.w3.org/2001/XMLSchema-instance">
  <PriorityFields xmlns:a="http://schemas.microsoft.com/2003/10/Serialization/Arrays">
    <a:string>Title</a:string>
    <a:string>OECDCountry</a:string>
    <a:string>OECDTopic</a:string>
    <a:string>OECDKeywords</a:string>
  </PriorityFields>
</CtFieldPriority>
</file>

<file path=customXml/item5.xml><?xml version="1.0" encoding="utf-8"?>
<?mso-contentType ?>
<FormTemplates xmlns="http://schemas.microsoft.com/sharepoint/v3/contenttype/forms">
  <Display>OECDListFormCollapsible</Display>
  <Edit>OECDListFormCollapsible</Edit>
  <New>OECDListFormCollapsible</New>
</FormTemplates>
</file>

<file path=customXml/item6.xml><?xml version="1.0" encoding="utf-8"?>
<p:properties xmlns:p="http://schemas.microsoft.com/office/2006/metadata/properties" xmlns:xsi="http://www.w3.org/2001/XMLSchema-instance" xmlns:pc="http://schemas.microsoft.com/office/infopath/2007/PartnerControls">
  <documentManagement>
    <OECDProjectMembers xmlns="e17e282e-9611-44ec-9739-20d5a34fe778">
      <UserInfo>
        <DisplayName>CHARBONNIER Eric, EDU/IMEP</DisplayName>
        <AccountId>196</AccountId>
        <AccountType/>
      </UserInfo>
      <UserInfo>
        <DisplayName>YIP Jean, EDU/PAI</DisplayName>
        <AccountId>118</AccountId>
        <AccountType/>
      </UserInfo>
      <UserInfo>
        <DisplayName>ROJAS GONZALEZ Gara, EDU/IMEP</DisplayName>
        <AccountId>178</AccountId>
        <AccountType/>
      </UserInfo>
      <UserInfo>
        <DisplayName>NORMANDEAU Simon, EDU/IMEP</DisplayName>
        <AccountId>381</AccountId>
        <AccountType/>
      </UserInfo>
      <UserInfo>
        <DisplayName>LOGEZ Karinne, EDU/IMEP</DisplayName>
        <AccountId>230</AccountId>
        <AccountType/>
      </UserInfo>
      <UserInfo>
        <DisplayName>DE MORAES Camila, EDU/IMEP</DisplayName>
        <AccountId>912</AccountId>
        <AccountType/>
      </UserInfo>
      <UserInfo>
        <DisplayName>ALBISER Etienne, EDU/PAI</DisplayName>
        <AccountId>141</AccountId>
        <AccountType/>
      </UserInfo>
      <UserInfo>
        <DisplayName>SCHWABE Markus, EDU/IMEP</DisplayName>
        <AccountId>720</AccountId>
        <AccountType/>
      </UserInfo>
      <UserInfo>
        <DisplayName>TOLEDO FIGUEROA Diana, EDU/PAI</DisplayName>
        <AccountId>75</AccountId>
        <AccountType/>
      </UserInfo>
      <UserInfo>
        <DisplayName>SEMERARO Giovanni Maria, EDU/IMEP</DisplayName>
        <AccountId>1403</AccountId>
        <AccountType/>
      </UserInfo>
      <UserInfo>
        <DisplayName>LIMOGES Sophie, EDU</DisplayName>
        <AccountId>543</AccountId>
        <AccountType/>
      </UserInfo>
      <UserInfo>
        <DisplayName>DOUMET Marie-Helene, EDU/IMEP</DisplayName>
        <AccountId>1476</AccountId>
        <AccountType/>
      </UserInfo>
      <UserInfo>
        <DisplayName>COSTINOT Manon, EDU/ECS</DisplayName>
        <AccountId>1549</AccountId>
        <AccountType/>
      </UserInfo>
      <UserInfo>
        <DisplayName>TUSZ Roland, ECO/CS4</DisplayName>
        <AccountId>1818</AccountId>
        <AccountType/>
      </UserInfo>
      <UserInfo>
        <DisplayName>MAGNIER Axelle, EDU/IMEP</DisplayName>
        <AccountId>1835</AccountId>
        <AccountType/>
      </UserInfo>
      <UserInfo>
        <DisplayName>SANCHEZ SERRA Daniel, EDU/IMEP</DisplayName>
        <AccountId>1491</AccountId>
        <AccountType/>
      </UserInfo>
      <UserInfo>
        <DisplayName>ROSEVEARE Deborah, EDU/IMEP</DisplayName>
        <AccountId>111</AccountId>
        <AccountType/>
      </UserInfo>
      <UserInfo>
        <DisplayName>FORGES Valérie, EDU/IMEP</DisplayName>
        <AccountId>1973</AccountId>
        <AccountType/>
      </UserInfo>
      <UserInfo>
        <DisplayName>GUEDIRA Fatine, EDU/IMEP</DisplayName>
        <AccountId>1868</AccountId>
        <AccountType/>
      </UserInfo>
      <UserInfo>
        <DisplayName>HECKMANN Corinne, EDU/IMEP</DisplayName>
        <AccountId>177</AccountId>
        <AccountType/>
      </UserInfo>
      <UserInfo>
        <DisplayName>HAM Yaelin, EDU/IMEP</DisplayName>
        <AccountId>2208</AccountId>
        <AccountType/>
      </UserInfo>
      <UserInfo>
        <DisplayName>GATTI Agnese, EDU/IMEP</DisplayName>
        <AccountId>2256</AccountId>
        <AccountType/>
      </UserInfo>
      <UserInfo>
        <DisplayName>LE PAPE Pauline, EDU/PAI</DisplayName>
        <AccountId>2196</AccountId>
        <AccountType/>
      </UserInfo>
    </OECDProjectMembers>
    <OECDKimBussinessContext xmlns="54c4cd27-f286-408f-9ce0-33c1e0f3ab39" xsi:nil="true"/>
    <OECDlanguage xmlns="ca82dde9-3436-4d3d-bddd-d31447390034">English</OECDlanguage>
    <OECDMainProject xmlns="e17e282e-9611-44ec-9739-20d5a34fe778" xsi:nil="true"/>
    <eSharePWBTaxHTField0 xmlns="c9f238dd-bb73-4aef-a7a5-d644ad823e52">
      <Terms xmlns="http://schemas.microsoft.com/office/infopath/2007/PartnerControls">
        <TermInfo xmlns="http://schemas.microsoft.com/office/infopath/2007/PartnerControls">
          <TermName xmlns="http://schemas.microsoft.com/office/infopath/2007/PartnerControls">2.1.1.1.1 INES: Education at a Glance - Flagship Publication</TermName>
          <TermId xmlns="http://schemas.microsoft.com/office/infopath/2007/PartnerControls">27372e3c-5222-4b52-a97b-7705d66f768e</TermId>
        </TermInfo>
      </Terms>
    </eSharePWBTaxHTField0>
    <kd75f6e4f01741a8b1cee43ec2c0a7ac xmlns="e17e282e-9611-44ec-9739-20d5a34fe778">
      <Terms xmlns="http://schemas.microsoft.com/office/infopath/2007/PartnerControls">
        <TermInfo xmlns="http://schemas.microsoft.com/office/infopath/2007/PartnerControls">
          <TermName xmlns="http://schemas.microsoft.com/office/infopath/2007/PartnerControls">EDU/IMEP/INES-EAG</TermName>
          <TermId xmlns="http://schemas.microsoft.com/office/infopath/2007/PartnerControls">bcc2eed1-4709-4a64-be35-973de9d1c14f</TermId>
        </TermInfo>
      </Terms>
    </kd75f6e4f01741a8b1cee43ec2c0a7ac>
    <OECDExpirationDate xmlns="1684bd79-52b6-45ad-8153-7a6215e64acc" xsi:nil="true"/>
    <IconOverlay xmlns="http://schemas.microsoft.com/sharepoint/v4" xsi:nil="true"/>
    <OECDCommunityDocumentID xmlns="e17e282e-9611-44ec-9739-20d5a34fe778" xsi:nil="true"/>
    <OECDProjectManager xmlns="e17e282e-9611-44ec-9739-20d5a34fe778">
      <UserInfo>
        <DisplayName>DOUMET Marie-Helene, EDU/IMEP</DisplayName>
        <AccountId>1476</AccountId>
        <AccountType/>
      </UserInfo>
    </OECDProjectManager>
    <OECDTagsCache xmlns="e17e282e-9611-44ec-9739-20d5a34fe778" xsi:nil="true"/>
    <OECDMeetingDate xmlns="54c4cd27-f286-408f-9ce0-33c1e0f3ab39" xsi:nil="true"/>
    <OECDSharingStatus xmlns="e17e282e-9611-44ec-9739-20d5a34fe778" xsi:nil="true"/>
    <eShareCommitteeTaxHTField0 xmlns="c9f238dd-bb73-4aef-a7a5-d644ad823e52">
      <Terms xmlns="http://schemas.microsoft.com/office/infopath/2007/PartnerControls">
        <TermInfo xmlns="http://schemas.microsoft.com/office/infopath/2007/PartnerControls">
          <TermName xmlns="http://schemas.microsoft.com/office/infopath/2007/PartnerControls">Education Policy Committee</TermName>
          <TermId xmlns="http://schemas.microsoft.com/office/infopath/2007/PartnerControls">c67b295a-63a1-442e-96af-7f8610159b9a</TermId>
        </TermInfo>
      </Terms>
    </eShareCommitteeTaxHTField0>
    <OECDCommunityDocumentURL xmlns="e17e282e-9611-44ec-9739-20d5a34fe778" xsi:nil="true"/>
    <OECDPinnedBy xmlns="e17e282e-9611-44ec-9739-20d5a34fe778">
      <UserInfo>
        <DisplayName/>
        <AccountId xsi:nil="true"/>
        <AccountType/>
      </UserInfo>
    </OECDPinnedBy>
    <OECDKimProvenance xmlns="54c4cd27-f286-408f-9ce0-33c1e0f3ab39" xsi:nil="true"/>
    <OECDKimStatus xmlns="54c4cd27-f286-408f-9ce0-33c1e0f3ab39">Draft</OECDKimStatus>
    <eShareCountryTaxHTField0 xmlns="c9f238dd-bb73-4aef-a7a5-d644ad823e52">
      <Terms xmlns="http://schemas.microsoft.com/office/infopath/2007/PartnerControls"/>
    </eShareCountryTaxHTField0>
    <eShareTopicTaxHTField0 xmlns="c9f238dd-bb73-4aef-a7a5-d644ad823e52">
      <Terms xmlns="http://schemas.microsoft.com/office/infopath/2007/PartnerControls">
        <TermInfo xmlns="http://schemas.microsoft.com/office/infopath/2007/PartnerControls">
          <TermName xmlns="http://schemas.microsoft.com/office/infopath/2007/PartnerControls">Education</TermName>
          <TermId xmlns="http://schemas.microsoft.com/office/infopath/2007/PartnerControls">efa18019-c5e7-4d07-b5cf-a61d17d44208</TermId>
        </TermInfo>
      </Terms>
    </eShareTopicTaxHTField0>
    <OECDProjectLookup xmlns="e17e282e-9611-44ec-9739-20d5a34fe778">55</OECDProjectLookup>
    <eShareKeywordsTaxHTField0 xmlns="c9f238dd-bb73-4aef-a7a5-d644ad823e52">
      <Terms xmlns="http://schemas.microsoft.com/office/infopath/2007/PartnerControls">
        <TermInfo xmlns="http://schemas.microsoft.com/office/infopath/2007/PartnerControls">
          <TermName xmlns="http://schemas.microsoft.com/office/infopath/2007/PartnerControls">D4</TermName>
          <TermId xmlns="http://schemas.microsoft.com/office/infopath/2007/PartnerControls">48cd668e-2411-4ca8-96f4-e07097c3dd47</TermId>
        </TermInfo>
        <TermInfo xmlns="http://schemas.microsoft.com/office/infopath/2007/PartnerControls">
          <TermName xmlns="http://schemas.microsoft.com/office/infopath/2007/PartnerControls">Chapter D</TermName>
          <TermId xmlns="http://schemas.microsoft.com/office/infopath/2007/PartnerControls">1b3b75b6-48b7-4aac-9bb9-3819fcd12d58</TermId>
        </TermInfo>
      </Terms>
    </eShareKeywordsTaxHTField0>
    <fa9e4784786d4da6a600e050e04c81aa xmlns="e17e282e-9611-44ec-9739-20d5a34fe778" xsi:nil="true"/>
    <OECDAllRelatedUsers xmlns="1684bd79-52b6-45ad-8153-7a6215e64acc">
      <UserInfo>
        <DisplayName/>
        <AccountId xsi:nil="true"/>
        <AccountType/>
      </UserInfo>
    </OECDAllRelatedUsers>
    <f94ef5d5be104a9b994d4c7c4f3d268a xmlns="e17e282e-9611-44ec-9739-20d5a34fe778" xsi:nil="true"/>
    <TaxCatchAll xmlns="ca82dde9-3436-4d3d-bddd-d31447390034">
      <Value>441</Value>
      <Value>1221</Value>
      <Value>931</Value>
      <Value>40</Value>
      <Value>21</Value>
      <Value>1021</Value>
    </TaxCatchAll>
    <m49dce442af64f59b762f831aa8de435 xmlns="1684bd79-52b6-45ad-8153-7a6215e64acc">
      <Terms xmlns="http://schemas.microsoft.com/office/infopath/2007/PartnerControls"/>
    </m49dce442af64f59b762f831aa8de435>
    <eShareHorizProjTaxHTField0 xmlns="1684bd79-52b6-45ad-8153-7a6215e64acc" xsi:nil="true"/>
  </documentManagement>
</p:properties>
</file>

<file path=customXml/item7.xml><?xml version="1.0" encoding="utf-8"?>
<?mso-contentType ?>
<SharedContentType xmlns="Microsoft.SharePoint.Taxonomy.ContentTypeSync" SourceId="27ec883c-a62c-444f-a935-fcddb579e39d" ContentTypeId="0x0101008B4DD370EC31429186F3AD49F0D3098F00D44DBCB9EB4F45278CB5C9765BE52995" PreviousValue="false"/>
</file>

<file path=customXml/itemProps1.xml><?xml version="1.0" encoding="utf-8"?>
<ds:datastoreItem xmlns:ds="http://schemas.openxmlformats.org/officeDocument/2006/customXml" ds:itemID="{94FFBD79-71AD-4E53-A102-75E9F52F04FB}">
  <ds:schemaRefs>
    <ds:schemaRef ds:uri="http://schemas.microsoft.com/sharepoint/events"/>
  </ds:schemaRefs>
</ds:datastoreItem>
</file>

<file path=customXml/itemProps2.xml><?xml version="1.0" encoding="utf-8"?>
<ds:datastoreItem xmlns:ds="http://schemas.openxmlformats.org/officeDocument/2006/customXml" ds:itemID="{03CD50B7-DA88-4ABE-BF42-E5B86E34A09D}">
  <ds:schemaRefs>
    <ds:schemaRef ds:uri="http://schemas.microsoft.com/office/2006/metadata/longProperties"/>
  </ds:schemaRefs>
</ds:datastoreItem>
</file>

<file path=customXml/itemProps3.xml><?xml version="1.0" encoding="utf-8"?>
<ds:datastoreItem xmlns:ds="http://schemas.openxmlformats.org/officeDocument/2006/customXml" ds:itemID="{8D46A535-FB79-4A80-8043-4E7003C3D9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4c4cd27-f286-408f-9ce0-33c1e0f3ab39"/>
    <ds:schemaRef ds:uri="1684bd79-52b6-45ad-8153-7a6215e64acc"/>
    <ds:schemaRef ds:uri="ca82dde9-3436-4d3d-bddd-d31447390034"/>
    <ds:schemaRef ds:uri="e17e282e-9611-44ec-9739-20d5a34fe778"/>
    <ds:schemaRef ds:uri="c9f238dd-bb73-4aef-a7a5-d644ad823e52"/>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F276E475-FB71-47EE-9F53-5FF81E93C715}">
  <ds:schemaRefs>
    <ds:schemaRef ds:uri="http://www.oecd.org/eshare/projectsentre/CtFieldPriority/"/>
    <ds:schemaRef ds:uri="http://schemas.microsoft.com/2003/10/Serialization/Arrays"/>
  </ds:schemaRefs>
</ds:datastoreItem>
</file>

<file path=customXml/itemProps5.xml><?xml version="1.0" encoding="utf-8"?>
<ds:datastoreItem xmlns:ds="http://schemas.openxmlformats.org/officeDocument/2006/customXml" ds:itemID="{5EB68974-D47C-4ACC-8BEE-9BA10DFA46AE}">
  <ds:schemaRefs>
    <ds:schemaRef ds:uri="http://schemas.microsoft.com/sharepoint/v3/contenttype/forms"/>
  </ds:schemaRefs>
</ds:datastoreItem>
</file>

<file path=customXml/itemProps6.xml><?xml version="1.0" encoding="utf-8"?>
<ds:datastoreItem xmlns:ds="http://schemas.openxmlformats.org/officeDocument/2006/customXml" ds:itemID="{76806753-1503-4CD9-8144-73CF4E07F7D4}">
  <ds:schemaRefs>
    <ds:schemaRef ds:uri="1684bd79-52b6-45ad-8153-7a6215e64acc"/>
    <ds:schemaRef ds:uri="54c4cd27-f286-408f-9ce0-33c1e0f3ab39"/>
    <ds:schemaRef ds:uri="ca82dde9-3436-4d3d-bddd-d31447390034"/>
    <ds:schemaRef ds:uri="http://purl.org/dc/dcmitype/"/>
    <ds:schemaRef ds:uri="http://purl.org/dc/elements/1.1/"/>
    <ds:schemaRef ds:uri="http://purl.org/dc/terms/"/>
    <ds:schemaRef ds:uri="http://schemas.microsoft.com/office/2006/documentManagement/types"/>
    <ds:schemaRef ds:uri="http://schemas.microsoft.com/office/infopath/2007/PartnerControls"/>
    <ds:schemaRef ds:uri="http://schemas.microsoft.com/office/2006/metadata/properties"/>
    <ds:schemaRef ds:uri="http://schemas.openxmlformats.org/package/2006/metadata/core-properties"/>
    <ds:schemaRef ds:uri="http://schemas.microsoft.com/sharepoint/v4"/>
    <ds:schemaRef ds:uri="c9f238dd-bb73-4aef-a7a5-d644ad823e52"/>
    <ds:schemaRef ds:uri="e17e282e-9611-44ec-9739-20d5a34fe778"/>
    <ds:schemaRef ds:uri="http://www.w3.org/XML/1998/namespace"/>
  </ds:schemaRefs>
</ds:datastoreItem>
</file>

<file path=customXml/itemProps7.xml><?xml version="1.0" encoding="utf-8"?>
<ds:datastoreItem xmlns:ds="http://schemas.openxmlformats.org/officeDocument/2006/customXml" ds:itemID="{7641CB9B-D10F-4831-9C89-47846E54899A}">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Contents</vt:lpstr>
      <vt:lpstr>Table D4.1.</vt:lpstr>
      <vt:lpstr>Table D4.2.</vt:lpstr>
      <vt:lpstr>Table D4.3.</vt:lpstr>
      <vt:lpstr>Figure D4.1.</vt:lpstr>
      <vt:lpstr>Figure D4.2.</vt:lpstr>
      <vt:lpstr>Figure D4.3.</vt:lpstr>
      <vt:lpstr>Figure D4.4.</vt:lpstr>
      <vt:lpstr>Statutory vs actual</vt:lpstr>
      <vt:lpstr>Figure D4.5 (Web only).</vt:lpstr>
      <vt:lpstr>Figure D4.a.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OECD</dc:creator>
  <cp:lastModifiedBy>SIMMONS Margaret</cp:lastModifiedBy>
  <cp:lastPrinted>2018-03-20T08:08:43Z</cp:lastPrinted>
  <dcterms:created xsi:type="dcterms:W3CDTF">1998-02-26T16:30:41Z</dcterms:created>
  <dcterms:modified xsi:type="dcterms:W3CDTF">2018-09-05T09:00:41Z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untries">
    <vt:lpwstr>42</vt:lpwstr>
  </property>
  <property fmtid="{D5CDD505-2E9C-101B-9397-08002B2CF9AE}" pid="3" name="ContentType">
    <vt:lpwstr>Document</vt:lpwstr>
  </property>
  <property fmtid="{D5CDD505-2E9C-101B-9397-08002B2CF9AE}" pid="4" name="Order">
    <vt:lpwstr>1800.00000000000</vt:lpwstr>
  </property>
  <property fmtid="{D5CDD505-2E9C-101B-9397-08002B2CF9AE}" pid="5" name="display_urn:schemas-microsoft-com:office:office#Editor">
    <vt:lpwstr>BOIRON Marika, EDU/IA</vt:lpwstr>
  </property>
  <property fmtid="{D5CDD505-2E9C-101B-9397-08002B2CF9AE}" pid="6" name="xd_Signature">
    <vt:lpwstr/>
  </property>
  <property fmtid="{D5CDD505-2E9C-101B-9397-08002B2CF9AE}" pid="7" name="TemplateUrl">
    <vt:lpwstr/>
  </property>
  <property fmtid="{D5CDD505-2E9C-101B-9397-08002B2CF9AE}" pid="8" name="xd_ProgID">
    <vt:lpwstr/>
  </property>
  <property fmtid="{D5CDD505-2E9C-101B-9397-08002B2CF9AE}" pid="9" name="display_urn:schemas-microsoft-com:office:office#Author">
    <vt:lpwstr>YIP Jean, EDU/IA</vt:lpwstr>
  </property>
  <property fmtid="{D5CDD505-2E9C-101B-9397-08002B2CF9AE}" pid="10" name="OECDTopic">
    <vt:lpwstr>21;#Education|efa18019-c5e7-4d07-b5cf-a61d17d44208</vt:lpwstr>
  </property>
  <property fmtid="{D5CDD505-2E9C-101B-9397-08002B2CF9AE}" pid="11" name="OECDCommittee">
    <vt:lpwstr>40;#Education Policy Committee|c67b295a-63a1-442e-96af-7f8610159b9a</vt:lpwstr>
  </property>
  <property fmtid="{D5CDD505-2E9C-101B-9397-08002B2CF9AE}" pid="12" name="ContentTypeId">
    <vt:lpwstr>0x0101008B4DD370EC31429186F3AD49F0D3098F00D44DBCB9EB4F45278CB5C9765BE5299500A4858B360C6A491AA753F8BCA47AA9100014A2018E1BB9544A8FBAB2EE07D37855</vt:lpwstr>
  </property>
  <property fmtid="{D5CDD505-2E9C-101B-9397-08002B2CF9AE}" pid="13" name="OECDPWB">
    <vt:lpwstr>931;#2.1.1.1.1 INES: Education at a Glance - Flagship Publication|27372e3c-5222-4b52-a97b-7705d66f768e</vt:lpwstr>
  </property>
  <property fmtid="{D5CDD505-2E9C-101B-9397-08002B2CF9AE}" pid="14" name="eShareOrganisationTaxHTField0">
    <vt:lpwstr/>
  </property>
  <property fmtid="{D5CDD505-2E9C-101B-9397-08002B2CF9AE}" pid="15" name="OECDKeywords">
    <vt:lpwstr>1221;#D4|48cd668e-2411-4ca8-96f4-e07097c3dd47;#1021;#Chapter D|1b3b75b6-48b7-4aac-9bb9-3819fcd12d58</vt:lpwstr>
  </property>
  <property fmtid="{D5CDD505-2E9C-101B-9397-08002B2CF9AE}" pid="16" name="OECDHorizontalProjects">
    <vt:lpwstr/>
  </property>
  <property fmtid="{D5CDD505-2E9C-101B-9397-08002B2CF9AE}" pid="17" name="OECDProjectOwnerStructure">
    <vt:lpwstr>441;#EDU/IMEP/INES-EAG|bcc2eed1-4709-4a64-be35-973de9d1c14f</vt:lpwstr>
  </property>
  <property fmtid="{D5CDD505-2E9C-101B-9397-08002B2CF9AE}" pid="18" name="OECDOrganisation">
    <vt:lpwstr/>
  </property>
  <property fmtid="{D5CDD505-2E9C-101B-9397-08002B2CF9AE}" pid="19" name="_docset_NoMedatataSyncRequired">
    <vt:lpwstr>False</vt:lpwstr>
  </property>
  <property fmtid="{D5CDD505-2E9C-101B-9397-08002B2CF9AE}" pid="20" name="OECDCountry">
    <vt:lpwstr/>
  </property>
</Properties>
</file>